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ork\Desktop\Excel Dashboard Youtube\"/>
    </mc:Choice>
  </mc:AlternateContent>
  <xr:revisionPtr revIDLastSave="0" documentId="13_ncr:1_{46E60D7A-A533-499F-A74F-6605307CB638}" xr6:coauthVersionLast="47" xr6:coauthVersionMax="47" xr10:uidLastSave="{00000000-0000-0000-0000-000000000000}"/>
  <bookViews>
    <workbookView xWindow="-120" yWindow="-120" windowWidth="29040" windowHeight="15720" firstSheet="1" activeTab="8" xr2:uid="{00000000-000D-0000-FFFF-FFFF00000000}"/>
  </bookViews>
  <sheets>
    <sheet name="Sheet1" sheetId="1" r:id="rId1"/>
    <sheet name="Jan" sheetId="2" r:id="rId2"/>
    <sheet name="Feb" sheetId="4" r:id="rId3"/>
    <sheet name="Mar" sheetId="5" r:id="rId4"/>
    <sheet name="Apr" sheetId="6" r:id="rId5"/>
    <sheet name="May" sheetId="7" r:id="rId6"/>
    <sheet name="Jun" sheetId="8" r:id="rId7"/>
    <sheet name="Jul" sheetId="9" r:id="rId8"/>
    <sheet name="Aug" sheetId="10" r:id="rId9"/>
    <sheet name="Sep" sheetId="11" r:id="rId10"/>
    <sheet name="Oct" sheetId="12" r:id="rId11"/>
    <sheet name="Nov" sheetId="13" r:id="rId12"/>
    <sheet name="Dec" sheetId="14" r:id="rId13"/>
    <sheet name="Sheet2" sheetId="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0" i="6" l="1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AD10" i="9"/>
  <c r="AD11" i="9"/>
  <c r="W10" i="9"/>
  <c r="X10" i="14"/>
  <c r="X11" i="14"/>
  <c r="AN12" i="13"/>
  <c r="Z10" i="13"/>
  <c r="Z11" i="13"/>
  <c r="X10" i="11"/>
  <c r="AH21" i="10"/>
  <c r="AA10" i="10"/>
  <c r="M10" i="10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F29" i="8"/>
  <c r="AF28" i="8"/>
  <c r="AF27" i="8"/>
  <c r="AF26" i="8"/>
  <c r="AF25" i="8"/>
  <c r="AF24" i="8"/>
  <c r="AF23" i="8"/>
  <c r="AF22" i="8"/>
  <c r="AF21" i="8"/>
  <c r="AF20" i="8"/>
  <c r="AF19" i="8"/>
  <c r="AF18" i="8"/>
  <c r="AF17" i="8"/>
  <c r="AF16" i="8"/>
  <c r="AF15" i="8"/>
  <c r="AF14" i="8"/>
  <c r="AF13" i="8"/>
  <c r="AF12" i="8"/>
  <c r="AF11" i="8"/>
  <c r="AF10" i="8"/>
  <c r="Y29" i="8"/>
  <c r="Y28" i="8"/>
  <c r="Y27" i="8"/>
  <c r="Y26" i="8"/>
  <c r="Y25" i="8"/>
  <c r="Y24" i="8"/>
  <c r="Y23" i="8"/>
  <c r="Y22" i="8"/>
  <c r="Y21" i="8"/>
  <c r="Y20" i="8"/>
  <c r="Y19" i="8"/>
  <c r="Y18" i="8"/>
  <c r="Y17" i="8"/>
  <c r="Y16" i="8"/>
  <c r="Y15" i="8"/>
  <c r="Y14" i="8"/>
  <c r="Y13" i="8"/>
  <c r="Y12" i="8"/>
  <c r="Y11" i="8"/>
  <c r="Y10" i="8"/>
  <c r="R2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10" i="8"/>
  <c r="AI29" i="7"/>
  <c r="AI28" i="7"/>
  <c r="AI27" i="7"/>
  <c r="AI26" i="7"/>
  <c r="AI25" i="7"/>
  <c r="AI24" i="7"/>
  <c r="AI23" i="7"/>
  <c r="AI22" i="7"/>
  <c r="AI21" i="7"/>
  <c r="AI20" i="7"/>
  <c r="AI19" i="7"/>
  <c r="AI18" i="7"/>
  <c r="AI17" i="7"/>
  <c r="AI16" i="7"/>
  <c r="AI15" i="7"/>
  <c r="AI14" i="7"/>
  <c r="AI13" i="7"/>
  <c r="AI12" i="7"/>
  <c r="AI11" i="7"/>
  <c r="AI10" i="7"/>
  <c r="AB29" i="7"/>
  <c r="AB28" i="7"/>
  <c r="AB27" i="7"/>
  <c r="AB26" i="7"/>
  <c r="AB25" i="7"/>
  <c r="AB24" i="7"/>
  <c r="AB23" i="7"/>
  <c r="AB22" i="7"/>
  <c r="AB21" i="7"/>
  <c r="AB20" i="7"/>
  <c r="AB19" i="7"/>
  <c r="AB18" i="7"/>
  <c r="AB17" i="7"/>
  <c r="AB16" i="7"/>
  <c r="AB15" i="7"/>
  <c r="AB14" i="7"/>
  <c r="AB13" i="7"/>
  <c r="AB12" i="7"/>
  <c r="AB11" i="7"/>
  <c r="AB10" i="7"/>
  <c r="U29" i="7"/>
  <c r="U28" i="7"/>
  <c r="U27" i="7"/>
  <c r="U26" i="7"/>
  <c r="U25" i="7"/>
  <c r="U24" i="7"/>
  <c r="U23" i="7"/>
  <c r="U22" i="7"/>
  <c r="U21" i="7"/>
  <c r="U20" i="7"/>
  <c r="U19" i="7"/>
  <c r="U18" i="7"/>
  <c r="U17" i="7"/>
  <c r="U16" i="7"/>
  <c r="U15" i="7"/>
  <c r="U14" i="7"/>
  <c r="U13" i="7"/>
  <c r="U12" i="7"/>
  <c r="U11" i="7"/>
  <c r="U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10" i="7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10" i="6"/>
  <c r="AD10" i="6"/>
  <c r="W10" i="6"/>
  <c r="AN29" i="5"/>
  <c r="AN28" i="5"/>
  <c r="AN27" i="5"/>
  <c r="AN26" i="5"/>
  <c r="AN25" i="5"/>
  <c r="AN24" i="5"/>
  <c r="AN23" i="5"/>
  <c r="AN22" i="5"/>
  <c r="AN21" i="5"/>
  <c r="AN20" i="5"/>
  <c r="AN19" i="5"/>
  <c r="AN18" i="5"/>
  <c r="AN17" i="5"/>
  <c r="AN16" i="5"/>
  <c r="AN15" i="5"/>
  <c r="AN14" i="5"/>
  <c r="AN13" i="5"/>
  <c r="AN12" i="5"/>
  <c r="AN11" i="5"/>
  <c r="AN10" i="5"/>
  <c r="AG29" i="5"/>
  <c r="AG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10" i="5"/>
  <c r="K9" i="14"/>
  <c r="K8" i="14" s="1"/>
  <c r="M6" i="14"/>
  <c r="I6" i="14" s="1"/>
  <c r="J6" i="14"/>
  <c r="AT20" i="14" s="1"/>
  <c r="K9" i="13"/>
  <c r="K8" i="13" s="1"/>
  <c r="M6" i="13"/>
  <c r="I6" i="13" s="1"/>
  <c r="J6" i="13"/>
  <c r="AT20" i="13" s="1"/>
  <c r="K9" i="12"/>
  <c r="K8" i="12" s="1"/>
  <c r="M6" i="12"/>
  <c r="I6" i="12" s="1"/>
  <c r="J6" i="12"/>
  <c r="AT20" i="12" s="1"/>
  <c r="K9" i="11"/>
  <c r="K8" i="11" s="1"/>
  <c r="M6" i="11"/>
  <c r="I6" i="11" s="1"/>
  <c r="AZ15" i="11" s="1"/>
  <c r="J6" i="11"/>
  <c r="AT20" i="11" s="1"/>
  <c r="K9" i="10"/>
  <c r="K8" i="10" s="1"/>
  <c r="M6" i="10"/>
  <c r="I6" i="10" s="1"/>
  <c r="AZ10" i="10" s="1"/>
  <c r="BC10" i="10" s="1"/>
  <c r="J6" i="10"/>
  <c r="AT20" i="10" s="1"/>
  <c r="K9" i="9"/>
  <c r="K8" i="9" s="1"/>
  <c r="M6" i="9"/>
  <c r="I6" i="9" s="1"/>
  <c r="J6" i="9"/>
  <c r="AT20" i="9" s="1"/>
  <c r="K9" i="8"/>
  <c r="K8" i="8" s="1"/>
  <c r="M6" i="8"/>
  <c r="I6" i="8" s="1"/>
  <c r="J6" i="8"/>
  <c r="AT20" i="8" s="1"/>
  <c r="K9" i="7"/>
  <c r="K8" i="7" s="1"/>
  <c r="M6" i="7"/>
  <c r="I6" i="7" s="1"/>
  <c r="J6" i="7"/>
  <c r="AT20" i="7" s="1"/>
  <c r="K9" i="6"/>
  <c r="K8" i="6" s="1"/>
  <c r="M6" i="6"/>
  <c r="I6" i="6" s="1"/>
  <c r="J6" i="6"/>
  <c r="AT10" i="6" s="1"/>
  <c r="K9" i="5"/>
  <c r="K8" i="5" s="1"/>
  <c r="M6" i="5"/>
  <c r="I6" i="5" s="1"/>
  <c r="AZ15" i="5" s="1"/>
  <c r="J6" i="5"/>
  <c r="AT20" i="5" s="1"/>
  <c r="K9" i="4"/>
  <c r="K8" i="4" s="1"/>
  <c r="M6" i="4"/>
  <c r="I6" i="4" s="1"/>
  <c r="AZ10" i="4" s="1"/>
  <c r="J6" i="4"/>
  <c r="AT14" i="4" s="1"/>
  <c r="J6" i="2"/>
  <c r="AT10" i="2" s="1"/>
  <c r="M6" i="2"/>
  <c r="I6" i="2" s="1"/>
  <c r="AZ10" i="2" s="1"/>
  <c r="BC10" i="2" s="1"/>
  <c r="K9" i="2"/>
  <c r="K8" i="2" s="1"/>
  <c r="AT13" i="14" l="1"/>
  <c r="AT13" i="13"/>
  <c r="AT13" i="12"/>
  <c r="AT10" i="12"/>
  <c r="AT11" i="12"/>
  <c r="AT11" i="11"/>
  <c r="AT18" i="11"/>
  <c r="AT13" i="11"/>
  <c r="AT11" i="10"/>
  <c r="AT13" i="10"/>
  <c r="AT13" i="9"/>
  <c r="AT13" i="7"/>
  <c r="AT10" i="5"/>
  <c r="AT11" i="5"/>
  <c r="AT13" i="5"/>
  <c r="AT13" i="8"/>
  <c r="AT21" i="4"/>
  <c r="AZ12" i="14"/>
  <c r="AZ19" i="14"/>
  <c r="AZ14" i="14"/>
  <c r="AZ21" i="14"/>
  <c r="AZ25" i="14"/>
  <c r="AZ23" i="14"/>
  <c r="AZ16" i="14"/>
  <c r="AZ29" i="14"/>
  <c r="AZ27" i="14"/>
  <c r="AZ18" i="14"/>
  <c r="AZ11" i="14"/>
  <c r="AZ13" i="14"/>
  <c r="AZ20" i="14"/>
  <c r="AZ22" i="14"/>
  <c r="AZ24" i="14"/>
  <c r="AZ15" i="14"/>
  <c r="AZ28" i="14"/>
  <c r="AZ26" i="14"/>
  <c r="AZ17" i="14"/>
  <c r="AZ10" i="14"/>
  <c r="AT11" i="14"/>
  <c r="AT18" i="14"/>
  <c r="AT27" i="14"/>
  <c r="AT29" i="14"/>
  <c r="L9" i="14"/>
  <c r="AT16" i="14"/>
  <c r="AT23" i="14"/>
  <c r="AT25" i="14"/>
  <c r="AT21" i="14"/>
  <c r="AT14" i="14"/>
  <c r="AT19" i="14"/>
  <c r="AT12" i="14"/>
  <c r="AT10" i="14"/>
  <c r="AT17" i="14"/>
  <c r="AT26" i="14"/>
  <c r="AT28" i="14"/>
  <c r="AT15" i="14"/>
  <c r="AT24" i="14"/>
  <c r="AT22" i="14"/>
  <c r="AZ12" i="13"/>
  <c r="AZ19" i="13"/>
  <c r="AZ14" i="13"/>
  <c r="AZ21" i="13"/>
  <c r="AZ25" i="13"/>
  <c r="AZ23" i="13"/>
  <c r="AZ16" i="13"/>
  <c r="AZ29" i="13"/>
  <c r="AZ27" i="13"/>
  <c r="AZ11" i="13"/>
  <c r="AZ18" i="13"/>
  <c r="AZ13" i="13"/>
  <c r="AZ20" i="13"/>
  <c r="AZ22" i="13"/>
  <c r="AZ24" i="13"/>
  <c r="AZ15" i="13"/>
  <c r="AZ28" i="13"/>
  <c r="AZ26" i="13"/>
  <c r="AZ17" i="13"/>
  <c r="AZ10" i="13"/>
  <c r="AT11" i="13"/>
  <c r="AT18" i="13"/>
  <c r="AT27" i="13"/>
  <c r="AT29" i="13"/>
  <c r="L9" i="13"/>
  <c r="AT16" i="13"/>
  <c r="AT23" i="13"/>
  <c r="AT25" i="13"/>
  <c r="AT21" i="13"/>
  <c r="AT14" i="13"/>
  <c r="AT19" i="13"/>
  <c r="AT12" i="13"/>
  <c r="AT10" i="13"/>
  <c r="AT17" i="13"/>
  <c r="AT26" i="13"/>
  <c r="AT28" i="13"/>
  <c r="AT15" i="13"/>
  <c r="AT24" i="13"/>
  <c r="AT22" i="13"/>
  <c r="AZ12" i="12"/>
  <c r="AZ19" i="12"/>
  <c r="AZ14" i="12"/>
  <c r="AZ21" i="12"/>
  <c r="AZ25" i="12"/>
  <c r="AZ23" i="12"/>
  <c r="AZ16" i="12"/>
  <c r="AZ29" i="12"/>
  <c r="AZ27" i="12"/>
  <c r="AZ11" i="12"/>
  <c r="AZ18" i="12"/>
  <c r="AZ13" i="12"/>
  <c r="AZ20" i="12"/>
  <c r="AZ22" i="12"/>
  <c r="AZ24" i="12"/>
  <c r="AZ15" i="12"/>
  <c r="AZ28" i="12"/>
  <c r="AZ26" i="12"/>
  <c r="AZ17" i="12"/>
  <c r="AZ10" i="12"/>
  <c r="L9" i="12"/>
  <c r="AT18" i="12"/>
  <c r="AT27" i="12"/>
  <c r="AT29" i="12"/>
  <c r="AT16" i="12"/>
  <c r="AT23" i="12"/>
  <c r="AT25" i="12"/>
  <c r="AT21" i="12"/>
  <c r="AT14" i="12"/>
  <c r="AT19" i="12"/>
  <c r="AT12" i="12"/>
  <c r="AT17" i="12"/>
  <c r="AT26" i="12"/>
  <c r="AT28" i="12"/>
  <c r="AT15" i="12"/>
  <c r="AT24" i="12"/>
  <c r="AT22" i="12"/>
  <c r="BC15" i="11"/>
  <c r="AZ17" i="11"/>
  <c r="AZ26" i="11"/>
  <c r="AZ10" i="11"/>
  <c r="AZ28" i="11"/>
  <c r="L9" i="11"/>
  <c r="AZ12" i="11"/>
  <c r="AZ19" i="11"/>
  <c r="AZ14" i="11"/>
  <c r="AZ21" i="11"/>
  <c r="AZ25" i="11"/>
  <c r="AZ23" i="11"/>
  <c r="AZ16" i="11"/>
  <c r="AZ29" i="11"/>
  <c r="AZ27" i="11"/>
  <c r="AZ18" i="11"/>
  <c r="AZ11" i="11"/>
  <c r="AZ13" i="11"/>
  <c r="AZ20" i="11"/>
  <c r="AZ22" i="11"/>
  <c r="AZ24" i="11"/>
  <c r="AT27" i="11"/>
  <c r="AT29" i="11"/>
  <c r="AT16" i="11"/>
  <c r="AT23" i="11"/>
  <c r="AT25" i="11"/>
  <c r="AT21" i="11"/>
  <c r="AT14" i="11"/>
  <c r="AT19" i="11"/>
  <c r="AT12" i="11"/>
  <c r="AT10" i="11"/>
  <c r="AT17" i="11"/>
  <c r="AT26" i="11"/>
  <c r="AT28" i="11"/>
  <c r="AT15" i="11"/>
  <c r="AT24" i="11"/>
  <c r="AT22" i="11"/>
  <c r="AZ12" i="10"/>
  <c r="AZ19" i="10"/>
  <c r="AZ14" i="10"/>
  <c r="AZ21" i="10"/>
  <c r="AZ25" i="10"/>
  <c r="AZ23" i="10"/>
  <c r="AZ16" i="10"/>
  <c r="AZ29" i="10"/>
  <c r="AZ27" i="10"/>
  <c r="AZ11" i="10"/>
  <c r="AZ18" i="10"/>
  <c r="AZ13" i="10"/>
  <c r="AZ20" i="10"/>
  <c r="AZ22" i="10"/>
  <c r="AZ24" i="10"/>
  <c r="AZ15" i="10"/>
  <c r="AZ28" i="10"/>
  <c r="AZ26" i="10"/>
  <c r="AZ17" i="10"/>
  <c r="L9" i="10"/>
  <c r="AT18" i="10"/>
  <c r="AT27" i="10"/>
  <c r="AT29" i="10"/>
  <c r="AT16" i="10"/>
  <c r="AT23" i="10"/>
  <c r="AT25" i="10"/>
  <c r="AT21" i="10"/>
  <c r="AT14" i="10"/>
  <c r="AT19" i="10"/>
  <c r="AT12" i="10"/>
  <c r="AT10" i="10"/>
  <c r="AT17" i="10"/>
  <c r="AT26" i="10"/>
  <c r="AT28" i="10"/>
  <c r="AT15" i="10"/>
  <c r="AT24" i="10"/>
  <c r="AT22" i="10"/>
  <c r="AZ12" i="9"/>
  <c r="AZ11" i="9"/>
  <c r="AZ19" i="9"/>
  <c r="AZ14" i="9"/>
  <c r="AZ21" i="9"/>
  <c r="AZ25" i="9"/>
  <c r="AZ23" i="9"/>
  <c r="AZ16" i="9"/>
  <c r="AZ29" i="9"/>
  <c r="AZ27" i="9"/>
  <c r="AZ18" i="9"/>
  <c r="AZ13" i="9"/>
  <c r="AZ20" i="9"/>
  <c r="AZ22" i="9"/>
  <c r="AZ24" i="9"/>
  <c r="AZ15" i="9"/>
  <c r="AZ28" i="9"/>
  <c r="AZ26" i="9"/>
  <c r="AZ17" i="9"/>
  <c r="AZ10" i="9"/>
  <c r="AT11" i="9"/>
  <c r="AT18" i="9"/>
  <c r="AT27" i="9"/>
  <c r="AT29" i="9"/>
  <c r="L9" i="9"/>
  <c r="AT16" i="9"/>
  <c r="AT23" i="9"/>
  <c r="AT25" i="9"/>
  <c r="AT21" i="9"/>
  <c r="AT14" i="9"/>
  <c r="AT19" i="9"/>
  <c r="AT12" i="9"/>
  <c r="AT10" i="9"/>
  <c r="AT17" i="9"/>
  <c r="AT26" i="9"/>
  <c r="AT28" i="9"/>
  <c r="AT15" i="9"/>
  <c r="AT24" i="9"/>
  <c r="AT22" i="9"/>
  <c r="AZ12" i="8"/>
  <c r="AZ19" i="8"/>
  <c r="AZ14" i="8"/>
  <c r="AZ21" i="8"/>
  <c r="AZ25" i="8"/>
  <c r="AZ23" i="8"/>
  <c r="AZ16" i="8"/>
  <c r="AZ29" i="8"/>
  <c r="AZ27" i="8"/>
  <c r="AZ18" i="8"/>
  <c r="AZ11" i="8"/>
  <c r="AZ13" i="8"/>
  <c r="AZ20" i="8"/>
  <c r="AZ22" i="8"/>
  <c r="AZ24" i="8"/>
  <c r="AZ15" i="8"/>
  <c r="AZ28" i="8"/>
  <c r="AZ26" i="8"/>
  <c r="AZ17" i="8"/>
  <c r="AZ10" i="8"/>
  <c r="AT11" i="8"/>
  <c r="AT18" i="8"/>
  <c r="AT27" i="8"/>
  <c r="AT29" i="8"/>
  <c r="AT16" i="8"/>
  <c r="AT23" i="8"/>
  <c r="AT25" i="8"/>
  <c r="L9" i="8"/>
  <c r="AT21" i="8"/>
  <c r="AT14" i="8"/>
  <c r="AT19" i="8"/>
  <c r="AT12" i="8"/>
  <c r="AT10" i="8"/>
  <c r="AT17" i="8"/>
  <c r="AT26" i="8"/>
  <c r="AT28" i="8"/>
  <c r="AT15" i="8"/>
  <c r="AT24" i="8"/>
  <c r="AT22" i="8"/>
  <c r="AZ12" i="7"/>
  <c r="AZ19" i="7"/>
  <c r="AZ14" i="7"/>
  <c r="AZ21" i="7"/>
  <c r="AZ25" i="7"/>
  <c r="AZ23" i="7"/>
  <c r="AZ16" i="7"/>
  <c r="AZ29" i="7"/>
  <c r="AZ27" i="7"/>
  <c r="AZ18" i="7"/>
  <c r="AZ11" i="7"/>
  <c r="AZ13" i="7"/>
  <c r="AZ20" i="7"/>
  <c r="AZ22" i="7"/>
  <c r="AZ24" i="7"/>
  <c r="AZ15" i="7"/>
  <c r="AZ28" i="7"/>
  <c r="AZ26" i="7"/>
  <c r="AZ17" i="7"/>
  <c r="AZ10" i="7"/>
  <c r="AT11" i="7"/>
  <c r="AT18" i="7"/>
  <c r="AT27" i="7"/>
  <c r="AT29" i="7"/>
  <c r="AT16" i="7"/>
  <c r="AT23" i="7"/>
  <c r="AT25" i="7"/>
  <c r="AT21" i="7"/>
  <c r="AT14" i="7"/>
  <c r="AT19" i="7"/>
  <c r="AT12" i="7"/>
  <c r="L9" i="7"/>
  <c r="AT10" i="7"/>
  <c r="AT17" i="7"/>
  <c r="AT26" i="7"/>
  <c r="AT28" i="7"/>
  <c r="AT15" i="7"/>
  <c r="AT24" i="7"/>
  <c r="AT22" i="7"/>
  <c r="AZ12" i="6"/>
  <c r="AZ19" i="6"/>
  <c r="AZ14" i="6"/>
  <c r="AZ21" i="6"/>
  <c r="AZ25" i="6"/>
  <c r="AZ23" i="6"/>
  <c r="AZ16" i="6"/>
  <c r="AZ29" i="6"/>
  <c r="AZ27" i="6"/>
  <c r="AZ18" i="6"/>
  <c r="AZ11" i="6"/>
  <c r="AZ13" i="6"/>
  <c r="AZ20" i="6"/>
  <c r="AZ22" i="6"/>
  <c r="AZ24" i="6"/>
  <c r="AZ28" i="6"/>
  <c r="AZ26" i="6"/>
  <c r="AZ17" i="6"/>
  <c r="AZ15" i="6"/>
  <c r="L9" i="6"/>
  <c r="AZ10" i="6"/>
  <c r="AT20" i="6"/>
  <c r="AT22" i="6"/>
  <c r="AT24" i="6"/>
  <c r="AT28" i="6"/>
  <c r="AT26" i="6"/>
  <c r="AT17" i="6"/>
  <c r="AT12" i="6"/>
  <c r="AT19" i="6"/>
  <c r="AT14" i="6"/>
  <c r="AT21" i="6"/>
  <c r="AT25" i="6"/>
  <c r="AT23" i="6"/>
  <c r="AT29" i="6"/>
  <c r="AT27" i="6"/>
  <c r="AT18" i="6"/>
  <c r="AT15" i="6"/>
  <c r="AT11" i="6"/>
  <c r="AT16" i="6"/>
  <c r="AT13" i="6"/>
  <c r="BC15" i="5"/>
  <c r="AZ12" i="5"/>
  <c r="AZ19" i="5"/>
  <c r="AZ14" i="5"/>
  <c r="AZ21" i="5"/>
  <c r="AZ25" i="5"/>
  <c r="AZ23" i="5"/>
  <c r="AZ16" i="5"/>
  <c r="AZ29" i="5"/>
  <c r="AZ27" i="5"/>
  <c r="AZ18" i="5"/>
  <c r="AZ11" i="5"/>
  <c r="AZ13" i="5"/>
  <c r="AZ20" i="5"/>
  <c r="AZ22" i="5"/>
  <c r="AZ24" i="5"/>
  <c r="AZ28" i="5"/>
  <c r="AZ26" i="5"/>
  <c r="AZ17" i="5"/>
  <c r="L9" i="5"/>
  <c r="AZ10" i="5"/>
  <c r="AT18" i="5"/>
  <c r="AT27" i="5"/>
  <c r="AT29" i="5"/>
  <c r="AT16" i="5"/>
  <c r="AT23" i="5"/>
  <c r="AT25" i="5"/>
  <c r="AT21" i="5"/>
  <c r="AT14" i="5"/>
  <c r="AT19" i="5"/>
  <c r="AT12" i="5"/>
  <c r="AT17" i="5"/>
  <c r="AT26" i="5"/>
  <c r="AT28" i="5"/>
  <c r="AT24" i="5"/>
  <c r="AT15" i="5"/>
  <c r="AT22" i="5"/>
  <c r="BC10" i="4"/>
  <c r="AZ13" i="4"/>
  <c r="AZ19" i="4"/>
  <c r="AZ14" i="4"/>
  <c r="AZ21" i="4"/>
  <c r="AZ25" i="4"/>
  <c r="AZ23" i="4"/>
  <c r="AZ16" i="4"/>
  <c r="AZ29" i="4"/>
  <c r="AZ27" i="4"/>
  <c r="AZ18" i="4"/>
  <c r="AZ11" i="4"/>
  <c r="AZ28" i="4"/>
  <c r="AZ26" i="4"/>
  <c r="AZ20" i="4"/>
  <c r="AZ12" i="4"/>
  <c r="AZ15" i="4"/>
  <c r="AZ22" i="4"/>
  <c r="AZ17" i="4"/>
  <c r="AZ24" i="4"/>
  <c r="AT20" i="4"/>
  <c r="AT22" i="4"/>
  <c r="AT24" i="4"/>
  <c r="AT28" i="4"/>
  <c r="AT26" i="4"/>
  <c r="AT17" i="4"/>
  <c r="AT12" i="4"/>
  <c r="AT29" i="4"/>
  <c r="AT13" i="4"/>
  <c r="AT23" i="4"/>
  <c r="AT10" i="4"/>
  <c r="AT18" i="4"/>
  <c r="AT16" i="4"/>
  <c r="AT27" i="4"/>
  <c r="AT25" i="4"/>
  <c r="AT19" i="4"/>
  <c r="AT15" i="4"/>
  <c r="AT11" i="4"/>
  <c r="L9" i="4"/>
  <c r="AT21" i="2"/>
  <c r="AT19" i="2"/>
  <c r="AT14" i="2"/>
  <c r="AT29" i="2"/>
  <c r="AT17" i="2"/>
  <c r="AT28" i="2"/>
  <c r="AT16" i="2"/>
  <c r="AT27" i="2"/>
  <c r="AT15" i="2"/>
  <c r="AT26" i="2"/>
  <c r="AT25" i="2"/>
  <c r="AT13" i="2"/>
  <c r="AT12" i="2"/>
  <c r="AT20" i="2"/>
  <c r="AT18" i="2"/>
  <c r="AT24" i="2"/>
  <c r="AT23" i="2"/>
  <c r="AT11" i="2"/>
  <c r="AT22" i="2"/>
  <c r="AZ21" i="2"/>
  <c r="BC21" i="2" s="1"/>
  <c r="AZ19" i="2"/>
  <c r="BC19" i="2" s="1"/>
  <c r="AZ17" i="2"/>
  <c r="BC17" i="2" s="1"/>
  <c r="AZ16" i="2"/>
  <c r="BC16" i="2" s="1"/>
  <c r="AZ15" i="2"/>
  <c r="BC15" i="2" s="1"/>
  <c r="AZ14" i="2"/>
  <c r="BC14" i="2" s="1"/>
  <c r="AZ13" i="2"/>
  <c r="BC13" i="2" s="1"/>
  <c r="AZ12" i="2"/>
  <c r="BC12" i="2" s="1"/>
  <c r="AZ23" i="2"/>
  <c r="BC23" i="2" s="1"/>
  <c r="AZ11" i="2"/>
  <c r="BC11" i="2" s="1"/>
  <c r="AZ20" i="2"/>
  <c r="BC20" i="2" s="1"/>
  <c r="AZ18" i="2"/>
  <c r="BC18" i="2" s="1"/>
  <c r="AZ29" i="2"/>
  <c r="BC29" i="2" s="1"/>
  <c r="AZ28" i="2"/>
  <c r="BC28" i="2" s="1"/>
  <c r="AZ27" i="2"/>
  <c r="BC27" i="2" s="1"/>
  <c r="AZ26" i="2"/>
  <c r="BC26" i="2" s="1"/>
  <c r="AZ25" i="2"/>
  <c r="BC25" i="2" s="1"/>
  <c r="AZ24" i="2"/>
  <c r="BC24" i="2" s="1"/>
  <c r="AZ22" i="2"/>
  <c r="BC22" i="2" s="1"/>
  <c r="L9" i="2"/>
  <c r="BC27" i="14" l="1"/>
  <c r="BC10" i="14"/>
  <c r="BC29" i="14"/>
  <c r="BC18" i="14"/>
  <c r="BC17" i="14"/>
  <c r="BC16" i="14"/>
  <c r="BC26" i="14"/>
  <c r="BC23" i="14"/>
  <c r="BC28" i="14"/>
  <c r="BC25" i="14"/>
  <c r="BC15" i="14"/>
  <c r="BC21" i="14"/>
  <c r="L8" i="14"/>
  <c r="M9" i="14"/>
  <c r="BC24" i="14"/>
  <c r="BC14" i="14"/>
  <c r="BC22" i="14"/>
  <c r="BC19" i="14"/>
  <c r="BC20" i="14"/>
  <c r="BC12" i="14"/>
  <c r="BC13" i="14"/>
  <c r="BC11" i="14"/>
  <c r="BC17" i="13"/>
  <c r="BC16" i="13"/>
  <c r="BC26" i="13"/>
  <c r="BC23" i="13"/>
  <c r="BC29" i="13"/>
  <c r="BC28" i="13"/>
  <c r="BC25" i="13"/>
  <c r="BC10" i="13"/>
  <c r="BC15" i="13"/>
  <c r="BC21" i="13"/>
  <c r="BC24" i="13"/>
  <c r="BC14" i="13"/>
  <c r="BC22" i="13"/>
  <c r="BC19" i="13"/>
  <c r="L8" i="13"/>
  <c r="M9" i="13"/>
  <c r="BC20" i="13"/>
  <c r="BC12" i="13"/>
  <c r="BC13" i="13"/>
  <c r="BC18" i="13"/>
  <c r="BC11" i="13"/>
  <c r="BC27" i="13"/>
  <c r="BC13" i="12"/>
  <c r="M9" i="12"/>
  <c r="L8" i="12"/>
  <c r="BC18" i="12"/>
  <c r="BC11" i="12"/>
  <c r="BC27" i="12"/>
  <c r="BC10" i="12"/>
  <c r="BC29" i="12"/>
  <c r="BC17" i="12"/>
  <c r="BC16" i="12"/>
  <c r="BC26" i="12"/>
  <c r="BC23" i="12"/>
  <c r="BC28" i="12"/>
  <c r="BC25" i="12"/>
  <c r="BC15" i="12"/>
  <c r="BC21" i="12"/>
  <c r="BC24" i="12"/>
  <c r="BC14" i="12"/>
  <c r="BC22" i="12"/>
  <c r="BC19" i="12"/>
  <c r="BC20" i="12"/>
  <c r="BC12" i="12"/>
  <c r="BC22" i="11"/>
  <c r="BC19" i="11"/>
  <c r="BC20" i="11"/>
  <c r="BC12" i="11"/>
  <c r="BC13" i="11"/>
  <c r="L8" i="11"/>
  <c r="M9" i="11"/>
  <c r="BC11" i="11"/>
  <c r="BC28" i="11"/>
  <c r="BC18" i="11"/>
  <c r="BC10" i="11"/>
  <c r="BC14" i="11"/>
  <c r="BC27" i="11"/>
  <c r="BC26" i="11"/>
  <c r="BC24" i="11"/>
  <c r="BC29" i="11"/>
  <c r="BC16" i="11"/>
  <c r="BC17" i="11"/>
  <c r="BC23" i="11"/>
  <c r="BC25" i="11"/>
  <c r="BC21" i="11"/>
  <c r="BC11" i="10"/>
  <c r="M9" i="10"/>
  <c r="L8" i="10"/>
  <c r="BC27" i="10"/>
  <c r="BC29" i="10"/>
  <c r="BC17" i="10"/>
  <c r="BC16" i="10"/>
  <c r="BC26" i="10"/>
  <c r="BC23" i="10"/>
  <c r="BC28" i="10"/>
  <c r="BC25" i="10"/>
  <c r="BC15" i="10"/>
  <c r="BC21" i="10"/>
  <c r="BC24" i="10"/>
  <c r="BC14" i="10"/>
  <c r="BC22" i="10"/>
  <c r="BC19" i="10"/>
  <c r="BC20" i="10"/>
  <c r="BC12" i="10"/>
  <c r="BC13" i="10"/>
  <c r="BC18" i="10"/>
  <c r="BC13" i="9"/>
  <c r="BC18" i="9"/>
  <c r="BC27" i="9"/>
  <c r="BC29" i="9"/>
  <c r="BC10" i="9"/>
  <c r="BC16" i="9"/>
  <c r="BC17" i="9"/>
  <c r="BC23" i="9"/>
  <c r="BC26" i="9"/>
  <c r="BC25" i="9"/>
  <c r="L8" i="9"/>
  <c r="M9" i="9"/>
  <c r="BC28" i="9"/>
  <c r="BC21" i="9"/>
  <c r="BC15" i="9"/>
  <c r="BC14" i="9"/>
  <c r="BC24" i="9"/>
  <c r="BC19" i="9"/>
  <c r="BC22" i="9"/>
  <c r="BC11" i="9"/>
  <c r="BC20" i="9"/>
  <c r="BC12" i="9"/>
  <c r="BC27" i="8"/>
  <c r="BC10" i="8"/>
  <c r="BC29" i="8"/>
  <c r="L8" i="8"/>
  <c r="M9" i="8"/>
  <c r="BC17" i="8"/>
  <c r="BC16" i="8"/>
  <c r="BC26" i="8"/>
  <c r="BC23" i="8"/>
  <c r="BC28" i="8"/>
  <c r="BC25" i="8"/>
  <c r="BC15" i="8"/>
  <c r="BC21" i="8"/>
  <c r="BC24" i="8"/>
  <c r="BC14" i="8"/>
  <c r="BC22" i="8"/>
  <c r="BC19" i="8"/>
  <c r="BC20" i="8"/>
  <c r="BC12" i="8"/>
  <c r="BC13" i="8"/>
  <c r="BC11" i="8"/>
  <c r="BC18" i="8"/>
  <c r="BC28" i="7"/>
  <c r="BC25" i="7"/>
  <c r="BC24" i="7"/>
  <c r="BC21" i="7"/>
  <c r="BC22" i="7"/>
  <c r="BC19" i="7"/>
  <c r="BC26" i="7"/>
  <c r="BC15" i="7"/>
  <c r="BC14" i="7"/>
  <c r="BC20" i="7"/>
  <c r="BC12" i="7"/>
  <c r="BC23" i="7"/>
  <c r="BC13" i="7"/>
  <c r="BC11" i="7"/>
  <c r="BC18" i="7"/>
  <c r="BC27" i="7"/>
  <c r="L8" i="7"/>
  <c r="M9" i="7"/>
  <c r="BC10" i="7"/>
  <c r="BC29" i="7"/>
  <c r="BC17" i="7"/>
  <c r="BC16" i="7"/>
  <c r="BC11" i="6"/>
  <c r="BC18" i="6"/>
  <c r="BC27" i="6"/>
  <c r="M9" i="6"/>
  <c r="L8" i="6"/>
  <c r="BC29" i="6"/>
  <c r="BC15" i="6"/>
  <c r="BC16" i="6"/>
  <c r="BC17" i="6"/>
  <c r="BC23" i="6"/>
  <c r="BC13" i="6"/>
  <c r="BC26" i="6"/>
  <c r="BC25" i="6"/>
  <c r="BC28" i="6"/>
  <c r="BC21" i="6"/>
  <c r="BC24" i="6"/>
  <c r="BC14" i="6"/>
  <c r="BC22" i="6"/>
  <c r="BC19" i="6"/>
  <c r="BC10" i="6"/>
  <c r="BC20" i="6"/>
  <c r="BC12" i="6"/>
  <c r="BC28" i="5"/>
  <c r="BC21" i="5"/>
  <c r="BC24" i="5"/>
  <c r="BC22" i="5"/>
  <c r="BC20" i="5"/>
  <c r="BC12" i="5"/>
  <c r="BC26" i="5"/>
  <c r="BC14" i="5"/>
  <c r="BC13" i="5"/>
  <c r="BC25" i="5"/>
  <c r="BC18" i="5"/>
  <c r="BC27" i="5"/>
  <c r="BC19" i="5"/>
  <c r="BC11" i="5"/>
  <c r="BC10" i="5"/>
  <c r="BC29" i="5"/>
  <c r="M9" i="5"/>
  <c r="L8" i="5"/>
  <c r="BC16" i="5"/>
  <c r="BC17" i="5"/>
  <c r="BC23" i="5"/>
  <c r="BC15" i="4"/>
  <c r="BC21" i="4"/>
  <c r="BC12" i="4"/>
  <c r="BC14" i="4"/>
  <c r="BC20" i="4"/>
  <c r="BC19" i="4"/>
  <c r="BC28" i="4"/>
  <c r="BC11" i="4"/>
  <c r="BC13" i="4"/>
  <c r="BC25" i="4"/>
  <c r="BC18" i="4"/>
  <c r="BC27" i="4"/>
  <c r="BC26" i="4"/>
  <c r="BC29" i="4"/>
  <c r="BC24" i="4"/>
  <c r="BC16" i="4"/>
  <c r="BC22" i="4"/>
  <c r="M9" i="4"/>
  <c r="L8" i="4"/>
  <c r="BC17" i="4"/>
  <c r="BC23" i="4"/>
  <c r="M9" i="2"/>
  <c r="L8" i="2"/>
  <c r="L12" i="4" l="1"/>
  <c r="L24" i="4"/>
  <c r="L13" i="4"/>
  <c r="L25" i="4"/>
  <c r="L14" i="4"/>
  <c r="L26" i="4"/>
  <c r="L15" i="4"/>
  <c r="L27" i="4"/>
  <c r="L16" i="4"/>
  <c r="L28" i="4"/>
  <c r="L17" i="4"/>
  <c r="L29" i="4"/>
  <c r="L18" i="4"/>
  <c r="L10" i="4"/>
  <c r="L19" i="4"/>
  <c r="L22" i="4"/>
  <c r="L23" i="4"/>
  <c r="L20" i="4"/>
  <c r="L21" i="4"/>
  <c r="L11" i="4"/>
  <c r="M8" i="14"/>
  <c r="N9" i="14"/>
  <c r="M8" i="13"/>
  <c r="N9" i="13"/>
  <c r="L21" i="13"/>
  <c r="L10" i="13"/>
  <c r="L23" i="13"/>
  <c r="L25" i="13"/>
  <c r="L16" i="13"/>
  <c r="L29" i="13"/>
  <c r="L27" i="13"/>
  <c r="L18" i="13"/>
  <c r="L11" i="13"/>
  <c r="L13" i="13"/>
  <c r="L20" i="13"/>
  <c r="L15" i="13"/>
  <c r="L22" i="13"/>
  <c r="L26" i="13"/>
  <c r="L24" i="13"/>
  <c r="L17" i="13"/>
  <c r="L28" i="13"/>
  <c r="L19" i="13"/>
  <c r="L12" i="13"/>
  <c r="L14" i="13"/>
  <c r="N9" i="12"/>
  <c r="M8" i="12"/>
  <c r="N9" i="11"/>
  <c r="M8" i="11"/>
  <c r="N9" i="10"/>
  <c r="M8" i="10"/>
  <c r="M8" i="9"/>
  <c r="N9" i="9"/>
  <c r="M8" i="8"/>
  <c r="N9" i="8"/>
  <c r="M8" i="7"/>
  <c r="N9" i="7"/>
  <c r="N9" i="6"/>
  <c r="M8" i="6"/>
  <c r="N9" i="5"/>
  <c r="M8" i="5"/>
  <c r="M8" i="4"/>
  <c r="N9" i="4"/>
  <c r="N9" i="2"/>
  <c r="M8" i="2"/>
  <c r="N8" i="14" l="1"/>
  <c r="O9" i="14"/>
  <c r="N8" i="13"/>
  <c r="O9" i="13"/>
  <c r="O9" i="12"/>
  <c r="N8" i="12"/>
  <c r="N8" i="11"/>
  <c r="O9" i="11"/>
  <c r="M23" i="10"/>
  <c r="M11" i="10"/>
  <c r="M25" i="10"/>
  <c r="M16" i="10"/>
  <c r="M29" i="10"/>
  <c r="M27" i="10"/>
  <c r="M18" i="10"/>
  <c r="M13" i="10"/>
  <c r="M20" i="10"/>
  <c r="M15" i="10"/>
  <c r="M22" i="10"/>
  <c r="M26" i="10"/>
  <c r="M24" i="10"/>
  <c r="M17" i="10"/>
  <c r="M28" i="10"/>
  <c r="M19" i="10"/>
  <c r="M14" i="10"/>
  <c r="M21" i="10"/>
  <c r="M12" i="10"/>
  <c r="N8" i="10"/>
  <c r="O9" i="10"/>
  <c r="N8" i="9"/>
  <c r="O9" i="9"/>
  <c r="N8" i="8"/>
  <c r="O9" i="8"/>
  <c r="N8" i="7"/>
  <c r="O9" i="7"/>
  <c r="O9" i="6"/>
  <c r="N8" i="6"/>
  <c r="N8" i="5"/>
  <c r="O9" i="5"/>
  <c r="N8" i="4"/>
  <c r="O9" i="4"/>
  <c r="O9" i="2"/>
  <c r="N8" i="2"/>
  <c r="O8" i="14" l="1"/>
  <c r="P9" i="14"/>
  <c r="O8" i="13"/>
  <c r="P9" i="13"/>
  <c r="O8" i="12"/>
  <c r="P9" i="12"/>
  <c r="P9" i="11"/>
  <c r="O8" i="11"/>
  <c r="O8" i="10"/>
  <c r="P9" i="10"/>
  <c r="O8" i="9"/>
  <c r="P9" i="9"/>
  <c r="O8" i="8"/>
  <c r="P9" i="8"/>
  <c r="O8" i="7"/>
  <c r="P9" i="7"/>
  <c r="O8" i="6"/>
  <c r="P9" i="6"/>
  <c r="O8" i="5"/>
  <c r="P9" i="5"/>
  <c r="P9" i="4"/>
  <c r="O8" i="4"/>
  <c r="P9" i="2"/>
  <c r="O8" i="2"/>
  <c r="O23" i="2" l="1"/>
  <c r="O21" i="2"/>
  <c r="O19" i="2"/>
  <c r="O17" i="2"/>
  <c r="O15" i="2"/>
  <c r="O10" i="2"/>
  <c r="O14" i="2"/>
  <c r="O13" i="2"/>
  <c r="O11" i="2"/>
  <c r="O28" i="2"/>
  <c r="O26" i="2"/>
  <c r="O24" i="2"/>
  <c r="O22" i="2"/>
  <c r="O18" i="2"/>
  <c r="O29" i="2"/>
  <c r="O20" i="2"/>
  <c r="O16" i="2"/>
  <c r="O12" i="2"/>
  <c r="O27" i="2"/>
  <c r="O25" i="2"/>
  <c r="Q9" i="14"/>
  <c r="P8" i="14"/>
  <c r="Q9" i="13"/>
  <c r="P8" i="13"/>
  <c r="O29" i="12"/>
  <c r="O27" i="12"/>
  <c r="O18" i="12"/>
  <c r="O11" i="12"/>
  <c r="O20" i="12"/>
  <c r="O15" i="12"/>
  <c r="O22" i="12"/>
  <c r="O26" i="12"/>
  <c r="O24" i="12"/>
  <c r="O17" i="12"/>
  <c r="O28" i="12"/>
  <c r="O19" i="12"/>
  <c r="O21" i="12"/>
  <c r="O23" i="12"/>
  <c r="O16" i="12"/>
  <c r="O13" i="12"/>
  <c r="O25" i="12"/>
  <c r="O10" i="12"/>
  <c r="O14" i="12"/>
  <c r="O12" i="12"/>
  <c r="P8" i="12"/>
  <c r="Q9" i="12"/>
  <c r="Q9" i="11"/>
  <c r="P8" i="11"/>
  <c r="Q9" i="10"/>
  <c r="P8" i="10"/>
  <c r="Q9" i="9"/>
  <c r="P8" i="9"/>
  <c r="Q9" i="8"/>
  <c r="P8" i="8"/>
  <c r="Q9" i="7"/>
  <c r="P8" i="7"/>
  <c r="P8" i="6"/>
  <c r="Q9" i="6"/>
  <c r="P8" i="5"/>
  <c r="Q9" i="5"/>
  <c r="Q9" i="4"/>
  <c r="P8" i="4"/>
  <c r="Q9" i="2"/>
  <c r="P8" i="2"/>
  <c r="R9" i="14" l="1"/>
  <c r="Q8" i="14"/>
  <c r="R9" i="13"/>
  <c r="Q8" i="13"/>
  <c r="Q8" i="12"/>
  <c r="R9" i="12"/>
  <c r="R9" i="11"/>
  <c r="Q8" i="11"/>
  <c r="R9" i="10"/>
  <c r="Q8" i="10"/>
  <c r="R9" i="9"/>
  <c r="Q8" i="9"/>
  <c r="P13" i="9"/>
  <c r="P20" i="9"/>
  <c r="P15" i="9"/>
  <c r="P22" i="9"/>
  <c r="P26" i="9"/>
  <c r="P24" i="9"/>
  <c r="P17" i="9"/>
  <c r="P28" i="9"/>
  <c r="P19" i="9"/>
  <c r="P12" i="9"/>
  <c r="P14" i="9"/>
  <c r="P29" i="9"/>
  <c r="P27" i="9"/>
  <c r="P21" i="9"/>
  <c r="P23" i="9"/>
  <c r="P10" i="9"/>
  <c r="P25" i="9"/>
  <c r="P16" i="9"/>
  <c r="P18" i="9"/>
  <c r="P11" i="9"/>
  <c r="R9" i="8"/>
  <c r="Q8" i="8"/>
  <c r="R9" i="7"/>
  <c r="Q8" i="7"/>
  <c r="R9" i="6"/>
  <c r="Q8" i="6"/>
  <c r="R9" i="5"/>
  <c r="Q8" i="5"/>
  <c r="R9" i="4"/>
  <c r="Q8" i="4"/>
  <c r="R9" i="2"/>
  <c r="Q8" i="2"/>
  <c r="S9" i="14" l="1"/>
  <c r="R8" i="14"/>
  <c r="Q13" i="14"/>
  <c r="Q20" i="14"/>
  <c r="Q15" i="14"/>
  <c r="Q22" i="14"/>
  <c r="Q26" i="14"/>
  <c r="Q24" i="14"/>
  <c r="Q17" i="14"/>
  <c r="Q28" i="14"/>
  <c r="Q19" i="14"/>
  <c r="Q12" i="14"/>
  <c r="Q14" i="14"/>
  <c r="Q21" i="14"/>
  <c r="Q23" i="14"/>
  <c r="Q10" i="14"/>
  <c r="Q25" i="14"/>
  <c r="Q16" i="14"/>
  <c r="Q29" i="14"/>
  <c r="Q27" i="14"/>
  <c r="Q18" i="14"/>
  <c r="Q11" i="14"/>
  <c r="S9" i="13"/>
  <c r="R8" i="13"/>
  <c r="S9" i="12"/>
  <c r="R8" i="12"/>
  <c r="Q13" i="11"/>
  <c r="Q20" i="11"/>
  <c r="Q15" i="11"/>
  <c r="Q22" i="11"/>
  <c r="Q26" i="11"/>
  <c r="Q24" i="11"/>
  <c r="Q17" i="11"/>
  <c r="Q12" i="11"/>
  <c r="Q28" i="11"/>
  <c r="Q19" i="11"/>
  <c r="Q14" i="11"/>
  <c r="Q21" i="11"/>
  <c r="Q10" i="11"/>
  <c r="Q23" i="11"/>
  <c r="Q25" i="11"/>
  <c r="Q29" i="11"/>
  <c r="Q11" i="11"/>
  <c r="Q27" i="11"/>
  <c r="Q18" i="11"/>
  <c r="Q16" i="11"/>
  <c r="S9" i="11"/>
  <c r="R8" i="11"/>
  <c r="S9" i="10"/>
  <c r="R8" i="10"/>
  <c r="S9" i="9"/>
  <c r="R8" i="9"/>
  <c r="S9" i="8"/>
  <c r="R8" i="8"/>
  <c r="S9" i="7"/>
  <c r="R8" i="7"/>
  <c r="S9" i="6"/>
  <c r="R8" i="6"/>
  <c r="S9" i="5"/>
  <c r="R8" i="5"/>
  <c r="S9" i="4"/>
  <c r="R8" i="4"/>
  <c r="S9" i="2"/>
  <c r="R8" i="2"/>
  <c r="T9" i="14" l="1"/>
  <c r="S8" i="14"/>
  <c r="T9" i="13"/>
  <c r="S8" i="13"/>
  <c r="T9" i="12"/>
  <c r="S8" i="12"/>
  <c r="T9" i="11"/>
  <c r="S8" i="11"/>
  <c r="T9" i="10"/>
  <c r="S8" i="10"/>
  <c r="T9" i="9"/>
  <c r="S8" i="9"/>
  <c r="T9" i="8"/>
  <c r="S8" i="8"/>
  <c r="T9" i="7"/>
  <c r="S8" i="7"/>
  <c r="T9" i="6"/>
  <c r="S8" i="6"/>
  <c r="T9" i="5"/>
  <c r="S8" i="5"/>
  <c r="T9" i="4"/>
  <c r="S8" i="4"/>
  <c r="T9" i="2"/>
  <c r="S8" i="2"/>
  <c r="S20" i="4" l="1"/>
  <c r="S29" i="4"/>
  <c r="S19" i="4"/>
  <c r="S18" i="4"/>
  <c r="S17" i="4"/>
  <c r="S28" i="4"/>
  <c r="S16" i="4"/>
  <c r="S27" i="4"/>
  <c r="S15" i="4"/>
  <c r="S22" i="4"/>
  <c r="S26" i="4"/>
  <c r="S14" i="4"/>
  <c r="S10" i="4"/>
  <c r="S25" i="4"/>
  <c r="S13" i="4"/>
  <c r="S21" i="4"/>
  <c r="S24" i="4"/>
  <c r="S12" i="4"/>
  <c r="S23" i="4"/>
  <c r="S11" i="4"/>
  <c r="T8" i="14"/>
  <c r="U9" i="14"/>
  <c r="S22" i="13"/>
  <c r="S26" i="13"/>
  <c r="S24" i="13"/>
  <c r="S28" i="13"/>
  <c r="S17" i="13"/>
  <c r="S19" i="13"/>
  <c r="S12" i="13"/>
  <c r="S14" i="13"/>
  <c r="S21" i="13"/>
  <c r="S23" i="13"/>
  <c r="S10" i="13"/>
  <c r="S25" i="13"/>
  <c r="S16" i="13"/>
  <c r="S29" i="13"/>
  <c r="S27" i="13"/>
  <c r="S18" i="13"/>
  <c r="S11" i="13"/>
  <c r="S13" i="13"/>
  <c r="S15" i="13"/>
  <c r="S20" i="13"/>
  <c r="T8" i="13"/>
  <c r="U9" i="13"/>
  <c r="T8" i="12"/>
  <c r="U9" i="12"/>
  <c r="T8" i="11"/>
  <c r="U9" i="11"/>
  <c r="T8" i="10"/>
  <c r="U9" i="10"/>
  <c r="T8" i="9"/>
  <c r="U9" i="9"/>
  <c r="T8" i="8"/>
  <c r="U9" i="8"/>
  <c r="T8" i="7"/>
  <c r="U9" i="7"/>
  <c r="U9" i="6"/>
  <c r="T8" i="6"/>
  <c r="T8" i="5"/>
  <c r="U9" i="5"/>
  <c r="U9" i="4"/>
  <c r="T8" i="4"/>
  <c r="U9" i="2"/>
  <c r="T8" i="2"/>
  <c r="U8" i="14" l="1"/>
  <c r="V9" i="14"/>
  <c r="U8" i="13"/>
  <c r="V9" i="13"/>
  <c r="U8" i="12"/>
  <c r="V9" i="12"/>
  <c r="U8" i="11"/>
  <c r="V9" i="11"/>
  <c r="U8" i="10"/>
  <c r="V9" i="10"/>
  <c r="T26" i="10"/>
  <c r="T24" i="10"/>
  <c r="T12" i="10"/>
  <c r="T28" i="10"/>
  <c r="T17" i="10"/>
  <c r="T19" i="10"/>
  <c r="T14" i="10"/>
  <c r="T21" i="10"/>
  <c r="T10" i="10"/>
  <c r="T23" i="10"/>
  <c r="T25" i="10"/>
  <c r="T16" i="10"/>
  <c r="T29" i="10"/>
  <c r="T27" i="10"/>
  <c r="T18" i="10"/>
  <c r="T11" i="10"/>
  <c r="T20" i="10"/>
  <c r="T15" i="10"/>
  <c r="T22" i="10"/>
  <c r="T13" i="10"/>
  <c r="U8" i="9"/>
  <c r="V9" i="9"/>
  <c r="U8" i="8"/>
  <c r="V9" i="8"/>
  <c r="U8" i="7"/>
  <c r="V9" i="7"/>
  <c r="U8" i="6"/>
  <c r="V9" i="6"/>
  <c r="U8" i="5"/>
  <c r="V9" i="5"/>
  <c r="V9" i="4"/>
  <c r="U8" i="4"/>
  <c r="V9" i="2"/>
  <c r="U8" i="2"/>
  <c r="V8" i="14" l="1"/>
  <c r="W9" i="14"/>
  <c r="V8" i="13"/>
  <c r="W9" i="13"/>
  <c r="V8" i="12"/>
  <c r="W9" i="12"/>
  <c r="W9" i="11"/>
  <c r="V8" i="11"/>
  <c r="V8" i="10"/>
  <c r="W9" i="10"/>
  <c r="V8" i="9"/>
  <c r="W9" i="9"/>
  <c r="V8" i="8"/>
  <c r="W9" i="8"/>
  <c r="W9" i="7"/>
  <c r="V8" i="7"/>
  <c r="V8" i="6"/>
  <c r="W9" i="6"/>
  <c r="V8" i="5"/>
  <c r="W9" i="5"/>
  <c r="V8" i="4"/>
  <c r="W9" i="4"/>
  <c r="W9" i="2"/>
  <c r="V8" i="2"/>
  <c r="V22" i="2" l="1"/>
  <c r="V18" i="2"/>
  <c r="V14" i="2"/>
  <c r="V13" i="2"/>
  <c r="V29" i="2"/>
  <c r="V20" i="2"/>
  <c r="V16" i="2"/>
  <c r="V12" i="2"/>
  <c r="V11" i="2"/>
  <c r="V27" i="2"/>
  <c r="V25" i="2"/>
  <c r="V23" i="2"/>
  <c r="V21" i="2"/>
  <c r="V15" i="2"/>
  <c r="V10" i="2"/>
  <c r="V19" i="2"/>
  <c r="V17" i="2"/>
  <c r="V28" i="2"/>
  <c r="V24" i="2"/>
  <c r="V26" i="2"/>
  <c r="W8" i="14"/>
  <c r="X9" i="14"/>
  <c r="W8" i="13"/>
  <c r="X9" i="13"/>
  <c r="W8" i="12"/>
  <c r="X9" i="12"/>
  <c r="V12" i="12"/>
  <c r="V19" i="12"/>
  <c r="V14" i="12"/>
  <c r="V21" i="12"/>
  <c r="V23" i="12"/>
  <c r="V25" i="12"/>
  <c r="V16" i="12"/>
  <c r="V11" i="12"/>
  <c r="V29" i="12"/>
  <c r="V27" i="12"/>
  <c r="V18" i="12"/>
  <c r="V13" i="12"/>
  <c r="V20" i="12"/>
  <c r="V15" i="12"/>
  <c r="V22" i="12"/>
  <c r="V26" i="12"/>
  <c r="V24" i="12"/>
  <c r="V10" i="12"/>
  <c r="V28" i="12"/>
  <c r="V17" i="12"/>
  <c r="W8" i="11"/>
  <c r="X9" i="11"/>
  <c r="W8" i="10"/>
  <c r="X9" i="10"/>
  <c r="W8" i="9"/>
  <c r="X9" i="9"/>
  <c r="W8" i="8"/>
  <c r="X9" i="8"/>
  <c r="W8" i="7"/>
  <c r="X9" i="7"/>
  <c r="W8" i="6"/>
  <c r="X9" i="6"/>
  <c r="W8" i="5"/>
  <c r="X9" i="5"/>
  <c r="W8" i="4"/>
  <c r="X9" i="4"/>
  <c r="X9" i="2"/>
  <c r="W8" i="2"/>
  <c r="Y9" i="14" l="1"/>
  <c r="X8" i="14"/>
  <c r="X8" i="13"/>
  <c r="Y9" i="13"/>
  <c r="X8" i="12"/>
  <c r="Y9" i="12"/>
  <c r="X8" i="11"/>
  <c r="Y9" i="11"/>
  <c r="X8" i="10"/>
  <c r="Y9" i="10"/>
  <c r="X8" i="9"/>
  <c r="Y9" i="9"/>
  <c r="W19" i="9"/>
  <c r="W14" i="9"/>
  <c r="W21" i="9"/>
  <c r="W23" i="9"/>
  <c r="W25" i="9"/>
  <c r="W16" i="9"/>
  <c r="W29" i="9"/>
  <c r="W27" i="9"/>
  <c r="W18" i="9"/>
  <c r="W11" i="9"/>
  <c r="W13" i="9"/>
  <c r="W20" i="9"/>
  <c r="W15" i="9"/>
  <c r="W22" i="9"/>
  <c r="W26" i="9"/>
  <c r="W24" i="9"/>
  <c r="W28" i="9"/>
  <c r="W17" i="9"/>
  <c r="W12" i="9"/>
  <c r="X8" i="8"/>
  <c r="Y9" i="8"/>
  <c r="X8" i="7"/>
  <c r="Y9" i="7"/>
  <c r="X8" i="6"/>
  <c r="Y9" i="6"/>
  <c r="Y9" i="5"/>
  <c r="X8" i="5"/>
  <c r="X8" i="4"/>
  <c r="Y9" i="4"/>
  <c r="Y9" i="2"/>
  <c r="X8" i="2"/>
  <c r="X21" i="14" l="1"/>
  <c r="X23" i="14"/>
  <c r="X25" i="14"/>
  <c r="X16" i="14"/>
  <c r="X19" i="14"/>
  <c r="X29" i="14"/>
  <c r="X27" i="14"/>
  <c r="X18" i="14"/>
  <c r="X13" i="14"/>
  <c r="X20" i="14"/>
  <c r="X15" i="14"/>
  <c r="X22" i="14"/>
  <c r="X26" i="14"/>
  <c r="X24" i="14"/>
  <c r="X28" i="14"/>
  <c r="X17" i="14"/>
  <c r="X12" i="14"/>
  <c r="X14" i="14"/>
  <c r="Y8" i="14"/>
  <c r="Z9" i="14"/>
  <c r="Y8" i="13"/>
  <c r="Z9" i="13"/>
  <c r="Z9" i="12"/>
  <c r="Y8" i="12"/>
  <c r="X21" i="11"/>
  <c r="X23" i="11"/>
  <c r="X25" i="11"/>
  <c r="X16" i="11"/>
  <c r="X29" i="11"/>
  <c r="X27" i="11"/>
  <c r="X18" i="11"/>
  <c r="X11" i="11"/>
  <c r="X13" i="11"/>
  <c r="X20" i="11"/>
  <c r="X15" i="11"/>
  <c r="X22" i="11"/>
  <c r="X26" i="11"/>
  <c r="X24" i="11"/>
  <c r="X28" i="11"/>
  <c r="X17" i="11"/>
  <c r="X19" i="11"/>
  <c r="X12" i="11"/>
  <c r="X14" i="11"/>
  <c r="Z9" i="11"/>
  <c r="Y8" i="11"/>
  <c r="Z9" i="10"/>
  <c r="Y8" i="10"/>
  <c r="Y8" i="9"/>
  <c r="Z9" i="9"/>
  <c r="Y8" i="8"/>
  <c r="Z9" i="8"/>
  <c r="Y8" i="7"/>
  <c r="Z9" i="7"/>
  <c r="Y8" i="6"/>
  <c r="Z9" i="6"/>
  <c r="Z9" i="5"/>
  <c r="Y8" i="5"/>
  <c r="Z9" i="4"/>
  <c r="Y8" i="4"/>
  <c r="Z9" i="2"/>
  <c r="Y8" i="2"/>
  <c r="Z8" i="14" l="1"/>
  <c r="AA9" i="14"/>
  <c r="Z8" i="13"/>
  <c r="AA9" i="13"/>
  <c r="AA9" i="12"/>
  <c r="Z8" i="12"/>
  <c r="Z8" i="11"/>
  <c r="AA9" i="11"/>
  <c r="Z8" i="10"/>
  <c r="AA9" i="10"/>
  <c r="Z8" i="9"/>
  <c r="AA9" i="9"/>
  <c r="Z8" i="8"/>
  <c r="AA9" i="8"/>
  <c r="Z8" i="7"/>
  <c r="AA9" i="7"/>
  <c r="AA9" i="6"/>
  <c r="Z8" i="6"/>
  <c r="Z8" i="5"/>
  <c r="AA9" i="5"/>
  <c r="Z8" i="4"/>
  <c r="AA9" i="4"/>
  <c r="AA9" i="2"/>
  <c r="Z8" i="2"/>
  <c r="Z24" i="4" l="1"/>
  <c r="Z12" i="4"/>
  <c r="Z26" i="4"/>
  <c r="Z25" i="4"/>
  <c r="Z23" i="4"/>
  <c r="Z11" i="4"/>
  <c r="Z22" i="4"/>
  <c r="Z10" i="4"/>
  <c r="Z21" i="4"/>
  <c r="Z13" i="4"/>
  <c r="Z20" i="4"/>
  <c r="Z19" i="4"/>
  <c r="Z18" i="4"/>
  <c r="Z29" i="4"/>
  <c r="Z17" i="4"/>
  <c r="Z28" i="4"/>
  <c r="Z16" i="4"/>
  <c r="Z27" i="4"/>
  <c r="Z15" i="4"/>
  <c r="Z14" i="4"/>
  <c r="AA8" i="14"/>
  <c r="AB9" i="14"/>
  <c r="AA8" i="13"/>
  <c r="AB9" i="13"/>
  <c r="Z25" i="13"/>
  <c r="Z16" i="13"/>
  <c r="Z29" i="13"/>
  <c r="Z27" i="13"/>
  <c r="Z18" i="13"/>
  <c r="Z13" i="13"/>
  <c r="Z20" i="13"/>
  <c r="Z23" i="13"/>
  <c r="Z22" i="13"/>
  <c r="Z15" i="13"/>
  <c r="Z26" i="13"/>
  <c r="Z24" i="13"/>
  <c r="Z28" i="13"/>
  <c r="Z17" i="13"/>
  <c r="Z12" i="13"/>
  <c r="Z19" i="13"/>
  <c r="Z21" i="13"/>
  <c r="Z14" i="13"/>
  <c r="AA8" i="12"/>
  <c r="AB9" i="12"/>
  <c r="AB9" i="11"/>
  <c r="AA8" i="11"/>
  <c r="AA8" i="10"/>
  <c r="AB9" i="10"/>
  <c r="AA8" i="9"/>
  <c r="AB9" i="9"/>
  <c r="AA8" i="8"/>
  <c r="AB9" i="8"/>
  <c r="AA8" i="7"/>
  <c r="AB9" i="7"/>
  <c r="AA8" i="6"/>
  <c r="AB9" i="6"/>
  <c r="AA8" i="5"/>
  <c r="AB9" i="5"/>
  <c r="AB9" i="4"/>
  <c r="AA8" i="4"/>
  <c r="AB9" i="2"/>
  <c r="AA8" i="2"/>
  <c r="AC9" i="14" l="1"/>
  <c r="AB8" i="14"/>
  <c r="AC9" i="13"/>
  <c r="AB8" i="13"/>
  <c r="AB8" i="12"/>
  <c r="AC9" i="12"/>
  <c r="AC9" i="11"/>
  <c r="AB8" i="11"/>
  <c r="AC9" i="10"/>
  <c r="AB8" i="10"/>
  <c r="AA29" i="10"/>
  <c r="AA27" i="10"/>
  <c r="AA11" i="10"/>
  <c r="AA18" i="10"/>
  <c r="AA13" i="10"/>
  <c r="AA20" i="10"/>
  <c r="AA22" i="10"/>
  <c r="AA15" i="10"/>
  <c r="AA26" i="10"/>
  <c r="AA24" i="10"/>
  <c r="AA28" i="10"/>
  <c r="AA17" i="10"/>
  <c r="AA12" i="10"/>
  <c r="AA19" i="10"/>
  <c r="AA21" i="10"/>
  <c r="AA14" i="10"/>
  <c r="AA23" i="10"/>
  <c r="AA25" i="10"/>
  <c r="AA16" i="10"/>
  <c r="AC9" i="9"/>
  <c r="AB8" i="9"/>
  <c r="AC9" i="8"/>
  <c r="AB8" i="8"/>
  <c r="AC9" i="7"/>
  <c r="AB8" i="7"/>
  <c r="AC9" i="6"/>
  <c r="AB8" i="6"/>
  <c r="AC9" i="5"/>
  <c r="AB8" i="5"/>
  <c r="AC9" i="4"/>
  <c r="AB8" i="4"/>
  <c r="AC9" i="2"/>
  <c r="AB8" i="2"/>
  <c r="AC8" i="14" l="1"/>
  <c r="AD9" i="14"/>
  <c r="AD9" i="13"/>
  <c r="AC8" i="13"/>
  <c r="AC8" i="12"/>
  <c r="AD9" i="12"/>
  <c r="AD9" i="11"/>
  <c r="AC8" i="11"/>
  <c r="AC8" i="10"/>
  <c r="AD9" i="10"/>
  <c r="AD9" i="9"/>
  <c r="AC8" i="9"/>
  <c r="AD9" i="8"/>
  <c r="AC8" i="8"/>
  <c r="AD9" i="7"/>
  <c r="AC8" i="7"/>
  <c r="AD9" i="6"/>
  <c r="AC8" i="6"/>
  <c r="AD9" i="5"/>
  <c r="AC8" i="5"/>
  <c r="AD9" i="4"/>
  <c r="AC8" i="4"/>
  <c r="AD9" i="2"/>
  <c r="AC8" i="2"/>
  <c r="AC19" i="2" l="1"/>
  <c r="AC17" i="2"/>
  <c r="AC15" i="2"/>
  <c r="AC13" i="2"/>
  <c r="AC11" i="2"/>
  <c r="AC28" i="2"/>
  <c r="AC26" i="2"/>
  <c r="AC24" i="2"/>
  <c r="AC22" i="2"/>
  <c r="AC10" i="2"/>
  <c r="AC29" i="2"/>
  <c r="AC20" i="2"/>
  <c r="AC18" i="2"/>
  <c r="AC16" i="2"/>
  <c r="AC14" i="2"/>
  <c r="AC12" i="2"/>
  <c r="AC27" i="2"/>
  <c r="AC23" i="2"/>
  <c r="AC21" i="2"/>
  <c r="AC25" i="2"/>
  <c r="AE9" i="14"/>
  <c r="AD8" i="14"/>
  <c r="AE9" i="13"/>
  <c r="AD8" i="13"/>
  <c r="AE9" i="12"/>
  <c r="AD8" i="12"/>
  <c r="AC13" i="12"/>
  <c r="AC20" i="12"/>
  <c r="AC22" i="12"/>
  <c r="AC15" i="12"/>
  <c r="AC26" i="12"/>
  <c r="AC24" i="12"/>
  <c r="AC28" i="12"/>
  <c r="AC17" i="12"/>
  <c r="AC12" i="12"/>
  <c r="AC19" i="12"/>
  <c r="AC21" i="12"/>
  <c r="AC14" i="12"/>
  <c r="AC23" i="12"/>
  <c r="AC25" i="12"/>
  <c r="AC16" i="12"/>
  <c r="AC29" i="12"/>
  <c r="AC27" i="12"/>
  <c r="AC18" i="12"/>
  <c r="AC10" i="12"/>
  <c r="AC11" i="12"/>
  <c r="AE9" i="11"/>
  <c r="AD8" i="11"/>
  <c r="AE9" i="10"/>
  <c r="AD8" i="10"/>
  <c r="AE9" i="9"/>
  <c r="AD8" i="9"/>
  <c r="AE9" i="8"/>
  <c r="AD8" i="8"/>
  <c r="AE9" i="7"/>
  <c r="AD8" i="7"/>
  <c r="AD8" i="6"/>
  <c r="AE9" i="6"/>
  <c r="AE9" i="5"/>
  <c r="AD8" i="5"/>
  <c r="AE9" i="4"/>
  <c r="AD8" i="4"/>
  <c r="AE9" i="2"/>
  <c r="AD8" i="2"/>
  <c r="AF9" i="14" l="1"/>
  <c r="AE8" i="14"/>
  <c r="AF9" i="13"/>
  <c r="AE8" i="13"/>
  <c r="AF9" i="12"/>
  <c r="AE8" i="12"/>
  <c r="AF9" i="11"/>
  <c r="AE8" i="11"/>
  <c r="AF9" i="10"/>
  <c r="AE8" i="10"/>
  <c r="AD20" i="9"/>
  <c r="AD22" i="9"/>
  <c r="AD15" i="9"/>
  <c r="AD26" i="9"/>
  <c r="AD24" i="9"/>
  <c r="AD28" i="9"/>
  <c r="AD17" i="9"/>
  <c r="AD12" i="9"/>
  <c r="AD19" i="9"/>
  <c r="AD21" i="9"/>
  <c r="AD14" i="9"/>
  <c r="AD23" i="9"/>
  <c r="AD25" i="9"/>
  <c r="AD16" i="9"/>
  <c r="AD29" i="9"/>
  <c r="AD27" i="9"/>
  <c r="AD18" i="9"/>
  <c r="AD13" i="9"/>
  <c r="AF9" i="9"/>
  <c r="AE8" i="9"/>
  <c r="AF9" i="8"/>
  <c r="AE8" i="8"/>
  <c r="AF9" i="7"/>
  <c r="AE8" i="7"/>
  <c r="AF9" i="6"/>
  <c r="AE8" i="6"/>
  <c r="AF9" i="5"/>
  <c r="AE8" i="5"/>
  <c r="AE8" i="4"/>
  <c r="AF9" i="4"/>
  <c r="AF9" i="2"/>
  <c r="AE8" i="2"/>
  <c r="AE22" i="14" l="1"/>
  <c r="AE15" i="14"/>
  <c r="AE26" i="14"/>
  <c r="AE24" i="14"/>
  <c r="AE10" i="14"/>
  <c r="AE20" i="14"/>
  <c r="AE28" i="14"/>
  <c r="AE17" i="14"/>
  <c r="AE11" i="14"/>
  <c r="AE12" i="14"/>
  <c r="AE19" i="14"/>
  <c r="AE21" i="14"/>
  <c r="AE14" i="14"/>
  <c r="AE23" i="14"/>
  <c r="AE25" i="14"/>
  <c r="AE16" i="14"/>
  <c r="AE29" i="14"/>
  <c r="AE27" i="14"/>
  <c r="AE18" i="14"/>
  <c r="AE13" i="14"/>
  <c r="AF8" i="14"/>
  <c r="AG9" i="14"/>
  <c r="AF8" i="13"/>
  <c r="AG9" i="13"/>
  <c r="AF8" i="12"/>
  <c r="AG9" i="12"/>
  <c r="AF8" i="11"/>
  <c r="AG9" i="11"/>
  <c r="AE22" i="11"/>
  <c r="AE15" i="11"/>
  <c r="AE26" i="11"/>
  <c r="AE24" i="11"/>
  <c r="AE10" i="11"/>
  <c r="AE28" i="11"/>
  <c r="AE17" i="11"/>
  <c r="AE12" i="11"/>
  <c r="AE14" i="11"/>
  <c r="AE19" i="11"/>
  <c r="AE21" i="11"/>
  <c r="AE23" i="11"/>
  <c r="AE25" i="11"/>
  <c r="AE16" i="11"/>
  <c r="AE29" i="11"/>
  <c r="AE27" i="11"/>
  <c r="AE18" i="11"/>
  <c r="AE11" i="11"/>
  <c r="AE13" i="11"/>
  <c r="AE20" i="11"/>
  <c r="AF8" i="10"/>
  <c r="AG9" i="10"/>
  <c r="AF8" i="9"/>
  <c r="AG9" i="9"/>
  <c r="AF8" i="8"/>
  <c r="AG9" i="8"/>
  <c r="AF8" i="7"/>
  <c r="AG9" i="7"/>
  <c r="AG9" i="6"/>
  <c r="AF8" i="6"/>
  <c r="AF8" i="5"/>
  <c r="AG9" i="5"/>
  <c r="AF8" i="4"/>
  <c r="AG9" i="4"/>
  <c r="AG9" i="2"/>
  <c r="AF8" i="2"/>
  <c r="AG8" i="14" l="1"/>
  <c r="AH9" i="14"/>
  <c r="AG8" i="13"/>
  <c r="AH9" i="13"/>
  <c r="AG8" i="12"/>
  <c r="AH9" i="12"/>
  <c r="AG8" i="11"/>
  <c r="AH9" i="11"/>
  <c r="AG8" i="10"/>
  <c r="AH9" i="10"/>
  <c r="AG8" i="9"/>
  <c r="AH9" i="9"/>
  <c r="AG8" i="8"/>
  <c r="AH9" i="8"/>
  <c r="AG8" i="7"/>
  <c r="AH9" i="7"/>
  <c r="AH9" i="6"/>
  <c r="AG8" i="6"/>
  <c r="AG8" i="5"/>
  <c r="AH9" i="5"/>
  <c r="AG8" i="4"/>
  <c r="AH9" i="4"/>
  <c r="AH9" i="2"/>
  <c r="AG8" i="2"/>
  <c r="AG28" i="4" l="1"/>
  <c r="AG16" i="4"/>
  <c r="AG27" i="4"/>
  <c r="AG15" i="4"/>
  <c r="AG26" i="4"/>
  <c r="AG14" i="4"/>
  <c r="AG25" i="4"/>
  <c r="AG13" i="4"/>
  <c r="AG24" i="4"/>
  <c r="AG12" i="4"/>
  <c r="AG23" i="4"/>
  <c r="AG11" i="4"/>
  <c r="AG17" i="4"/>
  <c r="AG22" i="4"/>
  <c r="AG10" i="4"/>
  <c r="AG21" i="4"/>
  <c r="AG19" i="4"/>
  <c r="AG29" i="4"/>
  <c r="AG20" i="4"/>
  <c r="AG18" i="4"/>
  <c r="AH8" i="14"/>
  <c r="AI9" i="14"/>
  <c r="AH8" i="13"/>
  <c r="AI9" i="13"/>
  <c r="AG28" i="13"/>
  <c r="AG17" i="13"/>
  <c r="AG10" i="13"/>
  <c r="AG26" i="13"/>
  <c r="AG12" i="13"/>
  <c r="AG19" i="13"/>
  <c r="AG21" i="13"/>
  <c r="AG14" i="13"/>
  <c r="AG23" i="13"/>
  <c r="AG24" i="13"/>
  <c r="AG25" i="13"/>
  <c r="AG16" i="13"/>
  <c r="AG29" i="13"/>
  <c r="AG27" i="13"/>
  <c r="AG18" i="13"/>
  <c r="AG11" i="13"/>
  <c r="AG13" i="13"/>
  <c r="AG20" i="13"/>
  <c r="AG22" i="13"/>
  <c r="AG15" i="13"/>
  <c r="AI9" i="12"/>
  <c r="AH8" i="12"/>
  <c r="AH8" i="11"/>
  <c r="AI9" i="11"/>
  <c r="AH8" i="10"/>
  <c r="AI9" i="10"/>
  <c r="AH8" i="9"/>
  <c r="AI9" i="9"/>
  <c r="AI9" i="8"/>
  <c r="AH8" i="8"/>
  <c r="AI9" i="7"/>
  <c r="AH8" i="7"/>
  <c r="AI9" i="6"/>
  <c r="AH8" i="6"/>
  <c r="AI9" i="5"/>
  <c r="AH8" i="5"/>
  <c r="AH8" i="4"/>
  <c r="AI9" i="4"/>
  <c r="AI9" i="2"/>
  <c r="AH8" i="2"/>
  <c r="AI8" i="14" l="1"/>
  <c r="AJ9" i="14"/>
  <c r="AI8" i="13"/>
  <c r="AJ9" i="13"/>
  <c r="AI8" i="12"/>
  <c r="AJ9" i="12"/>
  <c r="AI8" i="11"/>
  <c r="AJ9" i="11"/>
  <c r="AI8" i="10"/>
  <c r="AJ9" i="10"/>
  <c r="AH12" i="10"/>
  <c r="AH19" i="10"/>
  <c r="AH14" i="10"/>
  <c r="AH23" i="10"/>
  <c r="AH25" i="10"/>
  <c r="AH16" i="10"/>
  <c r="AH29" i="10"/>
  <c r="AH27" i="10"/>
  <c r="AH18" i="10"/>
  <c r="AH11" i="10"/>
  <c r="AH13" i="10"/>
  <c r="AH20" i="10"/>
  <c r="AH22" i="10"/>
  <c r="AH15" i="10"/>
  <c r="AH26" i="10"/>
  <c r="AH24" i="10"/>
  <c r="AH28" i="10"/>
  <c r="AH17" i="10"/>
  <c r="AH10" i="10"/>
  <c r="AI8" i="9"/>
  <c r="AJ9" i="9"/>
  <c r="AI8" i="8"/>
  <c r="AJ9" i="8"/>
  <c r="AI8" i="7"/>
  <c r="AJ9" i="7"/>
  <c r="AI8" i="6"/>
  <c r="AJ9" i="6"/>
  <c r="AI8" i="5"/>
  <c r="AJ9" i="5"/>
  <c r="AI8" i="4"/>
  <c r="AJ9" i="4"/>
  <c r="AJ9" i="2"/>
  <c r="AI8" i="2"/>
  <c r="AJ8" i="14" l="1"/>
  <c r="AK9" i="14"/>
  <c r="AJ8" i="13"/>
  <c r="AK9" i="13"/>
  <c r="AK9" i="12"/>
  <c r="AJ8" i="12"/>
  <c r="AJ8" i="11"/>
  <c r="AK9" i="11"/>
  <c r="AJ8" i="10"/>
  <c r="AK9" i="10"/>
  <c r="AJ8" i="9"/>
  <c r="AK9" i="9"/>
  <c r="AJ8" i="8"/>
  <c r="AK9" i="8"/>
  <c r="AJ8" i="7"/>
  <c r="AK9" i="7"/>
  <c r="AJ8" i="6"/>
  <c r="AK9" i="6"/>
  <c r="AK9" i="5"/>
  <c r="AJ8" i="5"/>
  <c r="AK9" i="4"/>
  <c r="AJ8" i="4"/>
  <c r="AK9" i="2"/>
  <c r="AJ8" i="2"/>
  <c r="AJ10" i="2" l="1"/>
  <c r="AJ27" i="2"/>
  <c r="AJ25" i="2"/>
  <c r="AJ23" i="2"/>
  <c r="AJ21" i="2"/>
  <c r="AJ17" i="2"/>
  <c r="AJ15" i="2"/>
  <c r="AJ13" i="2"/>
  <c r="AJ28" i="2"/>
  <c r="AJ19" i="2"/>
  <c r="AJ11" i="2"/>
  <c r="AJ26" i="2"/>
  <c r="AJ22" i="2"/>
  <c r="AJ29" i="2"/>
  <c r="AJ20" i="2"/>
  <c r="AJ18" i="2"/>
  <c r="AJ16" i="2"/>
  <c r="AJ24" i="2"/>
  <c r="AJ14" i="2"/>
  <c r="AJ12" i="2"/>
  <c r="AK8" i="14"/>
  <c r="AL9" i="14"/>
  <c r="AK8" i="13"/>
  <c r="AL9" i="13"/>
  <c r="AJ19" i="12"/>
  <c r="AJ14" i="12"/>
  <c r="AJ21" i="12"/>
  <c r="AJ25" i="12"/>
  <c r="AJ23" i="12"/>
  <c r="AJ16" i="12"/>
  <c r="AJ29" i="12"/>
  <c r="AJ27" i="12"/>
  <c r="AJ18" i="12"/>
  <c r="AJ11" i="12"/>
  <c r="AJ13" i="12"/>
  <c r="AJ20" i="12"/>
  <c r="AJ22" i="12"/>
  <c r="AJ15" i="12"/>
  <c r="AJ24" i="12"/>
  <c r="AJ28" i="12"/>
  <c r="AJ26" i="12"/>
  <c r="AJ17" i="12"/>
  <c r="AJ12" i="12"/>
  <c r="AJ10" i="12"/>
  <c r="AL9" i="12"/>
  <c r="AK8" i="12"/>
  <c r="AL9" i="11"/>
  <c r="AK8" i="11"/>
  <c r="AL9" i="10"/>
  <c r="AK8" i="10"/>
  <c r="AK8" i="9"/>
  <c r="AL9" i="9"/>
  <c r="AK8" i="8"/>
  <c r="AL9" i="8"/>
  <c r="AK8" i="7"/>
  <c r="AL9" i="7"/>
  <c r="AK8" i="6"/>
  <c r="AL9" i="6"/>
  <c r="AK8" i="5"/>
  <c r="AL9" i="5"/>
  <c r="AL9" i="4"/>
  <c r="AK8" i="4"/>
  <c r="AL9" i="2"/>
  <c r="AK8" i="2"/>
  <c r="AM9" i="14" l="1"/>
  <c r="AL8" i="14"/>
  <c r="AL8" i="13"/>
  <c r="AM9" i="13"/>
  <c r="AM9" i="12"/>
  <c r="AL8" i="12"/>
  <c r="AL8" i="11"/>
  <c r="AM9" i="11"/>
  <c r="AL8" i="10"/>
  <c r="AM9" i="10"/>
  <c r="AM9" i="9"/>
  <c r="AL8" i="9"/>
  <c r="AK21" i="9"/>
  <c r="AK25" i="9"/>
  <c r="AK23" i="9"/>
  <c r="AK16" i="9"/>
  <c r="AK29" i="9"/>
  <c r="AK27" i="9"/>
  <c r="AK18" i="9"/>
  <c r="AK11" i="9"/>
  <c r="AK13" i="9"/>
  <c r="AK20" i="9"/>
  <c r="AK22" i="9"/>
  <c r="AK15" i="9"/>
  <c r="AK24" i="9"/>
  <c r="AK28" i="9"/>
  <c r="AK26" i="9"/>
  <c r="AK17" i="9"/>
  <c r="AK10" i="9"/>
  <c r="AK12" i="9"/>
  <c r="AK19" i="9"/>
  <c r="AK14" i="9"/>
  <c r="AL8" i="8"/>
  <c r="AM9" i="8"/>
  <c r="AL8" i="7"/>
  <c r="AM9" i="7"/>
  <c r="AL8" i="6"/>
  <c r="AM9" i="6"/>
  <c r="AL8" i="5"/>
  <c r="AM9" i="5"/>
  <c r="AL8" i="4"/>
  <c r="AM9" i="4"/>
  <c r="AM9" i="2"/>
  <c r="AL8" i="2"/>
  <c r="AL25" i="14" l="1"/>
  <c r="AL23" i="14"/>
  <c r="AL16" i="14"/>
  <c r="AL29" i="14"/>
  <c r="AL27" i="14"/>
  <c r="AL18" i="14"/>
  <c r="AL11" i="14"/>
  <c r="AL13" i="14"/>
  <c r="AL20" i="14"/>
  <c r="AL21" i="14"/>
  <c r="AL22" i="14"/>
  <c r="AL15" i="14"/>
  <c r="AL24" i="14"/>
  <c r="AL28" i="14"/>
  <c r="AL26" i="14"/>
  <c r="AL17" i="14"/>
  <c r="AL10" i="14"/>
  <c r="AL12" i="14"/>
  <c r="AL19" i="14"/>
  <c r="AL14" i="14"/>
  <c r="AM8" i="14"/>
  <c r="AN9" i="14"/>
  <c r="AM8" i="13"/>
  <c r="AN9" i="13"/>
  <c r="AM8" i="12"/>
  <c r="AN9" i="12"/>
  <c r="AN9" i="11"/>
  <c r="AM8" i="11"/>
  <c r="AL25" i="11"/>
  <c r="AL23" i="11"/>
  <c r="AL16" i="11"/>
  <c r="AL29" i="11"/>
  <c r="AL27" i="11"/>
  <c r="AL18" i="11"/>
  <c r="AL13" i="11"/>
  <c r="AL20" i="11"/>
  <c r="AL22" i="11"/>
  <c r="AL15" i="11"/>
  <c r="AL24" i="11"/>
  <c r="AL28" i="11"/>
  <c r="AL26" i="11"/>
  <c r="AL17" i="11"/>
  <c r="AL10" i="11"/>
  <c r="AL12" i="11"/>
  <c r="AL11" i="11"/>
  <c r="AL14" i="11"/>
  <c r="AL21" i="11"/>
  <c r="AL19" i="11"/>
  <c r="AM8" i="10"/>
  <c r="AN9" i="10"/>
  <c r="AM8" i="9"/>
  <c r="AN9" i="9"/>
  <c r="AM8" i="8"/>
  <c r="AN9" i="8"/>
  <c r="AM8" i="7"/>
  <c r="AN9" i="7"/>
  <c r="AM8" i="6"/>
  <c r="AN9" i="6"/>
  <c r="AM8" i="5"/>
  <c r="AN9" i="5"/>
  <c r="AN9" i="4"/>
  <c r="AM8" i="4"/>
  <c r="AN9" i="2"/>
  <c r="AM8" i="2"/>
  <c r="AO9" i="14" l="1"/>
  <c r="AO8" i="14" s="1"/>
  <c r="AN8" i="14"/>
  <c r="AO9" i="13"/>
  <c r="AO8" i="13" s="1"/>
  <c r="AN8" i="13"/>
  <c r="AN8" i="12"/>
  <c r="AO9" i="12"/>
  <c r="AO8" i="12" s="1"/>
  <c r="AO9" i="11"/>
  <c r="AO8" i="11" s="1"/>
  <c r="AN8" i="11"/>
  <c r="AO9" i="10"/>
  <c r="AO8" i="10" s="1"/>
  <c r="AN8" i="10"/>
  <c r="AO9" i="9"/>
  <c r="AO8" i="9" s="1"/>
  <c r="AN8" i="9"/>
  <c r="AO9" i="8"/>
  <c r="AO8" i="8" s="1"/>
  <c r="AN8" i="8"/>
  <c r="AO9" i="7"/>
  <c r="AO8" i="7" s="1"/>
  <c r="AN8" i="7"/>
  <c r="AO9" i="6"/>
  <c r="AO8" i="6" s="1"/>
  <c r="AN8" i="6"/>
  <c r="AO9" i="5"/>
  <c r="AO8" i="5" s="1"/>
  <c r="AN8" i="5"/>
  <c r="AO9" i="4"/>
  <c r="AO8" i="4" s="1"/>
  <c r="AN8" i="4"/>
  <c r="AO9" i="2"/>
  <c r="AN8" i="2"/>
  <c r="J27" i="14" l="1"/>
  <c r="J17" i="14"/>
  <c r="J13" i="14"/>
  <c r="J20" i="14"/>
  <c r="J21" i="14"/>
  <c r="J12" i="14"/>
  <c r="J18" i="14"/>
  <c r="J14" i="14"/>
  <c r="J19" i="14"/>
  <c r="J28" i="14"/>
  <c r="J22" i="14"/>
  <c r="J23" i="14"/>
  <c r="J11" i="14"/>
  <c r="J29" i="14"/>
  <c r="J16" i="14"/>
  <c r="J24" i="14"/>
  <c r="J10" i="14"/>
  <c r="J15" i="14"/>
  <c r="J25" i="14"/>
  <c r="J26" i="14"/>
  <c r="AN18" i="13"/>
  <c r="AN11" i="13"/>
  <c r="AN13" i="13"/>
  <c r="AN20" i="13"/>
  <c r="AN22" i="13"/>
  <c r="AN24" i="13"/>
  <c r="AN15" i="13"/>
  <c r="AN27" i="13"/>
  <c r="AN28" i="13"/>
  <c r="AN26" i="13"/>
  <c r="AN17" i="13"/>
  <c r="AN10" i="13"/>
  <c r="AN19" i="13"/>
  <c r="AN14" i="13"/>
  <c r="AN21" i="13"/>
  <c r="AN25" i="13"/>
  <c r="AN23" i="13"/>
  <c r="AN16" i="13"/>
  <c r="AN29" i="13"/>
  <c r="J19" i="13"/>
  <c r="J13" i="13"/>
  <c r="J17" i="13"/>
  <c r="J29" i="13"/>
  <c r="J11" i="13"/>
  <c r="J12" i="13"/>
  <c r="J24" i="13"/>
  <c r="J22" i="13"/>
  <c r="J21" i="13"/>
  <c r="J14" i="13"/>
  <c r="J23" i="13"/>
  <c r="J18" i="13"/>
  <c r="J26" i="13"/>
  <c r="J20" i="13"/>
  <c r="J10" i="13"/>
  <c r="J27" i="13"/>
  <c r="J28" i="13"/>
  <c r="J15" i="13"/>
  <c r="J25" i="13"/>
  <c r="J16" i="13"/>
  <c r="J28" i="12"/>
  <c r="J21" i="12"/>
  <c r="J14" i="12"/>
  <c r="J18" i="12"/>
  <c r="J16" i="12"/>
  <c r="J27" i="12"/>
  <c r="J17" i="12"/>
  <c r="J19" i="12"/>
  <c r="J24" i="12"/>
  <c r="J25" i="12"/>
  <c r="J20" i="12"/>
  <c r="J22" i="12"/>
  <c r="J26" i="12"/>
  <c r="J29" i="12"/>
  <c r="J15" i="12"/>
  <c r="J12" i="12"/>
  <c r="J10" i="12"/>
  <c r="J11" i="12"/>
  <c r="J23" i="12"/>
  <c r="J13" i="12"/>
  <c r="J25" i="11"/>
  <c r="J15" i="11"/>
  <c r="J13" i="11"/>
  <c r="J28" i="11"/>
  <c r="J24" i="11"/>
  <c r="J23" i="11"/>
  <c r="J20" i="11"/>
  <c r="J22" i="11"/>
  <c r="J16" i="11"/>
  <c r="J11" i="11"/>
  <c r="J29" i="11"/>
  <c r="J27" i="11"/>
  <c r="J26" i="11"/>
  <c r="J14" i="11"/>
  <c r="J21" i="11"/>
  <c r="J18" i="11"/>
  <c r="J12" i="11"/>
  <c r="J17" i="11"/>
  <c r="J19" i="11"/>
  <c r="J10" i="11"/>
  <c r="AO13" i="10"/>
  <c r="AO20" i="10"/>
  <c r="AO22" i="10"/>
  <c r="AO24" i="10"/>
  <c r="AO15" i="10"/>
  <c r="AO28" i="10"/>
  <c r="AO26" i="10"/>
  <c r="AO17" i="10"/>
  <c r="AO10" i="10"/>
  <c r="AO12" i="10"/>
  <c r="AO19" i="10"/>
  <c r="AO14" i="10"/>
  <c r="AO21" i="10"/>
  <c r="AO25" i="10"/>
  <c r="AO23" i="10"/>
  <c r="AO16" i="10"/>
  <c r="AO29" i="10"/>
  <c r="AO27" i="10"/>
  <c r="AO18" i="10"/>
  <c r="AO11" i="10"/>
  <c r="J23" i="10"/>
  <c r="J17" i="10"/>
  <c r="J28" i="10"/>
  <c r="J25" i="10"/>
  <c r="J12" i="10"/>
  <c r="J29" i="10"/>
  <c r="J14" i="10"/>
  <c r="J19" i="10"/>
  <c r="J16" i="10"/>
  <c r="J21" i="10"/>
  <c r="J22" i="10"/>
  <c r="J20" i="10"/>
  <c r="J24" i="10"/>
  <c r="J10" i="10"/>
  <c r="J27" i="10"/>
  <c r="J13" i="10"/>
  <c r="J11" i="10"/>
  <c r="J26" i="10"/>
  <c r="J15" i="10"/>
  <c r="J18" i="10"/>
  <c r="J21" i="9"/>
  <c r="J27" i="9"/>
  <c r="J26" i="9"/>
  <c r="J15" i="9"/>
  <c r="J11" i="9"/>
  <c r="J18" i="9"/>
  <c r="J10" i="9"/>
  <c r="J20" i="9"/>
  <c r="J24" i="9"/>
  <c r="J13" i="9"/>
  <c r="J23" i="9"/>
  <c r="J17" i="9"/>
  <c r="J12" i="9"/>
  <c r="J19" i="9"/>
  <c r="J29" i="9"/>
  <c r="J28" i="9"/>
  <c r="J14" i="9"/>
  <c r="J22" i="9"/>
  <c r="J16" i="9"/>
  <c r="J25" i="9"/>
  <c r="J29" i="8"/>
  <c r="J17" i="8"/>
  <c r="J28" i="8"/>
  <c r="J22" i="8"/>
  <c r="J23" i="8"/>
  <c r="J15" i="8"/>
  <c r="J16" i="8"/>
  <c r="J13" i="8"/>
  <c r="J25" i="8"/>
  <c r="J20" i="8"/>
  <c r="J19" i="8"/>
  <c r="J12" i="8"/>
  <c r="J10" i="8"/>
  <c r="J27" i="8"/>
  <c r="J11" i="8"/>
  <c r="J18" i="8"/>
  <c r="J21" i="8"/>
  <c r="J24" i="8"/>
  <c r="J14" i="8"/>
  <c r="J26" i="8"/>
  <c r="J23" i="7"/>
  <c r="J11" i="7"/>
  <c r="J26" i="7"/>
  <c r="J16" i="7"/>
  <c r="J25" i="7"/>
  <c r="J15" i="7"/>
  <c r="J14" i="7"/>
  <c r="J13" i="7"/>
  <c r="J22" i="7"/>
  <c r="J27" i="7"/>
  <c r="J18" i="7"/>
  <c r="J28" i="7"/>
  <c r="J21" i="7"/>
  <c r="J17" i="7"/>
  <c r="J24" i="7"/>
  <c r="J12" i="7"/>
  <c r="J10" i="7"/>
  <c r="J20" i="7"/>
  <c r="J19" i="7"/>
  <c r="J29" i="7"/>
  <c r="J10" i="6"/>
  <c r="J24" i="6"/>
  <c r="J28" i="6"/>
  <c r="J18" i="6"/>
  <c r="J19" i="6"/>
  <c r="J27" i="6"/>
  <c r="J20" i="6"/>
  <c r="J25" i="6"/>
  <c r="J14" i="6"/>
  <c r="J11" i="6"/>
  <c r="J29" i="6"/>
  <c r="J12" i="6"/>
  <c r="J13" i="6"/>
  <c r="J17" i="6"/>
  <c r="J26" i="6"/>
  <c r="J23" i="6"/>
  <c r="J16" i="6"/>
  <c r="J15" i="6"/>
  <c r="J21" i="6"/>
  <c r="J22" i="6"/>
  <c r="J13" i="5"/>
  <c r="J21" i="5"/>
  <c r="J12" i="5"/>
  <c r="J22" i="5"/>
  <c r="J23" i="5"/>
  <c r="J24" i="5"/>
  <c r="J29" i="5"/>
  <c r="J25" i="5"/>
  <c r="J28" i="5"/>
  <c r="J10" i="5"/>
  <c r="J19" i="5"/>
  <c r="J15" i="5"/>
  <c r="J20" i="5"/>
  <c r="J18" i="5"/>
  <c r="J17" i="5"/>
  <c r="J11" i="5"/>
  <c r="J14" i="5"/>
  <c r="J27" i="5"/>
  <c r="J26" i="5"/>
  <c r="J16" i="5"/>
  <c r="J29" i="4"/>
  <c r="J15" i="4"/>
  <c r="J28" i="4"/>
  <c r="J17" i="4"/>
  <c r="J14" i="4"/>
  <c r="J11" i="4"/>
  <c r="J16" i="4"/>
  <c r="J21" i="4"/>
  <c r="J18" i="4"/>
  <c r="J23" i="4"/>
  <c r="J12" i="4"/>
  <c r="J25" i="4"/>
  <c r="J24" i="4"/>
  <c r="J19" i="4"/>
  <c r="J26" i="4"/>
  <c r="J20" i="4"/>
  <c r="J27" i="4"/>
  <c r="J22" i="4"/>
  <c r="J10" i="4"/>
  <c r="J13" i="4"/>
  <c r="AO8" i="2"/>
  <c r="AW26" i="2" l="1"/>
  <c r="AW24" i="2"/>
  <c r="AW23" i="14"/>
  <c r="AX23" i="14"/>
  <c r="AV23" i="14"/>
  <c r="AX20" i="14"/>
  <c r="AV20" i="14"/>
  <c r="AW20" i="14"/>
  <c r="AW25" i="14"/>
  <c r="AV25" i="14"/>
  <c r="AX25" i="14"/>
  <c r="AY26" i="14"/>
  <c r="AY12" i="14"/>
  <c r="AY19" i="14"/>
  <c r="AY14" i="14"/>
  <c r="AY21" i="14"/>
  <c r="AY25" i="14"/>
  <c r="AY23" i="14"/>
  <c r="AY16" i="14"/>
  <c r="AY28" i="14"/>
  <c r="AY29" i="14"/>
  <c r="AY27" i="14"/>
  <c r="AY18" i="14"/>
  <c r="AY11" i="14"/>
  <c r="AY13" i="14"/>
  <c r="AY20" i="14"/>
  <c r="AY22" i="14"/>
  <c r="AY24" i="14"/>
  <c r="AY15" i="14"/>
  <c r="AY10" i="14"/>
  <c r="AY17" i="14"/>
  <c r="AW21" i="14"/>
  <c r="AV21" i="14"/>
  <c r="AX21" i="14"/>
  <c r="AX13" i="14"/>
  <c r="AW13" i="14"/>
  <c r="AV13" i="14"/>
  <c r="AV16" i="14"/>
  <c r="AW16" i="14"/>
  <c r="AX16" i="14"/>
  <c r="AX14" i="14"/>
  <c r="AV14" i="14"/>
  <c r="AW14" i="14"/>
  <c r="AX29" i="14"/>
  <c r="AW29" i="14"/>
  <c r="AV29" i="14"/>
  <c r="AV19" i="14"/>
  <c r="AW19" i="14"/>
  <c r="AX19" i="14"/>
  <c r="AX12" i="14"/>
  <c r="AW12" i="14"/>
  <c r="AV12" i="14"/>
  <c r="AW15" i="14"/>
  <c r="AV15" i="14"/>
  <c r="AX15" i="14"/>
  <c r="AV22" i="14"/>
  <c r="AX22" i="14"/>
  <c r="AW22" i="14"/>
  <c r="AV10" i="14"/>
  <c r="AX10" i="14"/>
  <c r="AW10" i="14"/>
  <c r="AW18" i="14"/>
  <c r="AV18" i="14"/>
  <c r="AX18" i="14"/>
  <c r="AX17" i="14"/>
  <c r="AV17" i="14"/>
  <c r="AW17" i="14"/>
  <c r="AW24" i="14"/>
  <c r="AX24" i="14"/>
  <c r="AV24" i="14"/>
  <c r="AW11" i="14"/>
  <c r="AV11" i="14"/>
  <c r="AX11" i="14"/>
  <c r="AX26" i="14"/>
  <c r="AW26" i="14"/>
  <c r="AV26" i="14"/>
  <c r="AX27" i="14"/>
  <c r="AW27" i="14"/>
  <c r="AV27" i="14"/>
  <c r="AV28" i="14"/>
  <c r="AX28" i="14"/>
  <c r="AW28" i="14"/>
  <c r="AV23" i="13"/>
  <c r="AX23" i="13"/>
  <c r="AW23" i="13"/>
  <c r="AW22" i="13"/>
  <c r="AV22" i="13"/>
  <c r="AX22" i="13"/>
  <c r="AX25" i="13"/>
  <c r="AV25" i="13"/>
  <c r="AW25" i="13"/>
  <c r="AX20" i="13"/>
  <c r="AW20" i="13"/>
  <c r="AV20" i="13"/>
  <c r="AV21" i="13"/>
  <c r="AW21" i="13"/>
  <c r="AX21" i="13"/>
  <c r="AX13" i="13"/>
  <c r="AV13" i="13"/>
  <c r="AW13" i="13"/>
  <c r="AX29" i="13"/>
  <c r="AW29" i="13"/>
  <c r="AV29" i="13"/>
  <c r="AX14" i="13"/>
  <c r="AW14" i="13"/>
  <c r="AV14" i="13"/>
  <c r="AY12" i="13"/>
  <c r="AY19" i="13"/>
  <c r="AY14" i="13"/>
  <c r="AY21" i="13"/>
  <c r="AY25" i="13"/>
  <c r="AY23" i="13"/>
  <c r="AY16" i="13"/>
  <c r="AY29" i="13"/>
  <c r="AY27" i="13"/>
  <c r="AY18" i="13"/>
  <c r="AY11" i="13"/>
  <c r="AY13" i="13"/>
  <c r="AY20" i="13"/>
  <c r="AY22" i="13"/>
  <c r="AY24" i="13"/>
  <c r="AY15" i="13"/>
  <c r="AY28" i="13"/>
  <c r="AY26" i="13"/>
  <c r="AY10" i="13"/>
  <c r="AY17" i="13"/>
  <c r="AV19" i="13"/>
  <c r="AW19" i="13"/>
  <c r="AX19" i="13"/>
  <c r="AX16" i="13"/>
  <c r="AV16" i="13"/>
  <c r="AW16" i="13"/>
  <c r="AW12" i="13"/>
  <c r="AV12" i="13"/>
  <c r="AX12" i="13"/>
  <c r="AW24" i="13"/>
  <c r="AX24" i="13"/>
  <c r="AV24" i="13"/>
  <c r="AV10" i="13"/>
  <c r="AW10" i="13"/>
  <c r="AX10" i="13"/>
  <c r="AW15" i="13"/>
  <c r="AV15" i="13"/>
  <c r="AX15" i="13"/>
  <c r="AW11" i="13"/>
  <c r="AV11" i="13"/>
  <c r="AX11" i="13"/>
  <c r="AW17" i="13"/>
  <c r="AX17" i="13"/>
  <c r="AV17" i="13"/>
  <c r="AX18" i="13"/>
  <c r="AV18" i="13"/>
  <c r="AW18" i="13"/>
  <c r="AX26" i="13"/>
  <c r="AV26" i="13"/>
  <c r="AW26" i="13"/>
  <c r="AV27" i="13"/>
  <c r="AX27" i="13"/>
  <c r="AW27" i="13"/>
  <c r="AV28" i="13"/>
  <c r="AX28" i="13"/>
  <c r="AW28" i="13"/>
  <c r="AX29" i="12"/>
  <c r="AW29" i="12"/>
  <c r="AV29" i="12"/>
  <c r="AW15" i="12"/>
  <c r="AV15" i="12"/>
  <c r="AX15" i="12"/>
  <c r="AV16" i="12"/>
  <c r="AW16" i="12"/>
  <c r="AX16" i="12"/>
  <c r="AX24" i="12"/>
  <c r="AV24" i="12"/>
  <c r="AW24" i="12"/>
  <c r="AW21" i="12"/>
  <c r="AX21" i="12"/>
  <c r="AV21" i="12"/>
  <c r="AW13" i="12"/>
  <c r="AX13" i="12"/>
  <c r="AV13" i="12"/>
  <c r="AV14" i="12"/>
  <c r="AX14" i="12"/>
  <c r="AW14" i="12"/>
  <c r="AW23" i="12"/>
  <c r="AX23" i="12"/>
  <c r="AV23" i="12"/>
  <c r="AW25" i="12"/>
  <c r="AV25" i="12"/>
  <c r="AX25" i="12"/>
  <c r="AX19" i="12"/>
  <c r="AV19" i="12"/>
  <c r="AW19" i="12"/>
  <c r="AX20" i="12"/>
  <c r="AV20" i="12"/>
  <c r="AW20" i="12"/>
  <c r="AW12" i="12"/>
  <c r="AV12" i="12"/>
  <c r="AX12" i="12"/>
  <c r="AX10" i="12"/>
  <c r="AV10" i="12"/>
  <c r="AW10" i="12"/>
  <c r="AW22" i="12"/>
  <c r="AV22" i="12"/>
  <c r="AX22" i="12"/>
  <c r="AY12" i="12"/>
  <c r="AY19" i="12"/>
  <c r="AY14" i="12"/>
  <c r="AY21" i="12"/>
  <c r="AY25" i="12"/>
  <c r="AY23" i="12"/>
  <c r="AY16" i="12"/>
  <c r="AY29" i="12"/>
  <c r="AY27" i="12"/>
  <c r="AY18" i="12"/>
  <c r="AY11" i="12"/>
  <c r="AY13" i="12"/>
  <c r="AY20" i="12"/>
  <c r="AY22" i="12"/>
  <c r="AY24" i="12"/>
  <c r="AY15" i="12"/>
  <c r="AY28" i="12"/>
  <c r="AY10" i="12"/>
  <c r="AY17" i="12"/>
  <c r="AY26" i="12"/>
  <c r="AV11" i="12"/>
  <c r="AX11" i="12"/>
  <c r="AW11" i="12"/>
  <c r="AX17" i="12"/>
  <c r="AW17" i="12"/>
  <c r="AV17" i="12"/>
  <c r="AW18" i="12"/>
  <c r="AX18" i="12"/>
  <c r="AV18" i="12"/>
  <c r="AW26" i="12"/>
  <c r="AV26" i="12"/>
  <c r="AX26" i="12"/>
  <c r="AX27" i="12"/>
  <c r="AV27" i="12"/>
  <c r="AW27" i="12"/>
  <c r="AX28" i="12"/>
  <c r="AW28" i="12"/>
  <c r="AV28" i="12"/>
  <c r="AX29" i="11"/>
  <c r="AV29" i="11"/>
  <c r="AW29" i="11"/>
  <c r="AW15" i="11"/>
  <c r="AV15" i="11"/>
  <c r="AX15" i="11"/>
  <c r="AY12" i="11"/>
  <c r="AY14" i="11"/>
  <c r="AY19" i="11"/>
  <c r="AY21" i="11"/>
  <c r="AY25" i="11"/>
  <c r="AY23" i="11"/>
  <c r="AY16" i="11"/>
  <c r="AY29" i="11"/>
  <c r="AY27" i="11"/>
  <c r="AY18" i="11"/>
  <c r="AY11" i="11"/>
  <c r="AY13" i="11"/>
  <c r="AY20" i="11"/>
  <c r="AY22" i="11"/>
  <c r="AY26" i="11"/>
  <c r="AY15" i="11"/>
  <c r="AY28" i="11"/>
  <c r="AY17" i="11"/>
  <c r="AY10" i="11"/>
  <c r="AY24" i="11"/>
  <c r="AW16" i="11"/>
  <c r="AX16" i="11"/>
  <c r="AV16" i="11"/>
  <c r="AV24" i="11"/>
  <c r="AW24" i="11"/>
  <c r="AX24" i="11"/>
  <c r="AX25" i="11"/>
  <c r="AV25" i="11"/>
  <c r="AW25" i="11"/>
  <c r="AV20" i="11"/>
  <c r="AX20" i="11"/>
  <c r="AW20" i="11"/>
  <c r="AX21" i="11"/>
  <c r="AV21" i="11"/>
  <c r="AW21" i="11"/>
  <c r="AV13" i="11"/>
  <c r="AX13" i="11"/>
  <c r="AW13" i="11"/>
  <c r="AW14" i="11"/>
  <c r="AX14" i="11"/>
  <c r="AV14" i="11"/>
  <c r="AX19" i="11"/>
  <c r="AV19" i="11"/>
  <c r="AW19" i="11"/>
  <c r="AX12" i="11"/>
  <c r="AV12" i="11"/>
  <c r="AW12" i="11"/>
  <c r="AX22" i="11"/>
  <c r="AV22" i="11"/>
  <c r="AW22" i="11"/>
  <c r="AX10" i="11"/>
  <c r="AW10" i="11"/>
  <c r="AV10" i="11"/>
  <c r="AV11" i="11"/>
  <c r="AW11" i="11"/>
  <c r="AX11" i="11"/>
  <c r="AW17" i="11"/>
  <c r="AV17" i="11"/>
  <c r="AX17" i="11"/>
  <c r="AX18" i="11"/>
  <c r="AW18" i="11"/>
  <c r="AV18" i="11"/>
  <c r="AV26" i="11"/>
  <c r="AW26" i="11"/>
  <c r="AX26" i="11"/>
  <c r="AW23" i="11"/>
  <c r="AV23" i="11"/>
  <c r="AX23" i="11"/>
  <c r="AX27" i="11"/>
  <c r="AV27" i="11"/>
  <c r="AW27" i="11"/>
  <c r="AV28" i="11"/>
  <c r="AW28" i="11"/>
  <c r="AX28" i="11"/>
  <c r="AW16" i="10"/>
  <c r="AV16" i="10"/>
  <c r="AX16" i="10"/>
  <c r="AX24" i="10"/>
  <c r="AV24" i="10"/>
  <c r="AW24" i="10"/>
  <c r="AV23" i="10"/>
  <c r="AW23" i="10"/>
  <c r="AX23" i="10"/>
  <c r="AV22" i="10"/>
  <c r="AW22" i="10"/>
  <c r="AX22" i="10"/>
  <c r="AX25" i="10"/>
  <c r="AV25" i="10"/>
  <c r="AW25" i="10"/>
  <c r="AX20" i="10"/>
  <c r="AW20" i="10"/>
  <c r="AV20" i="10"/>
  <c r="AX21" i="10"/>
  <c r="AV21" i="10"/>
  <c r="AW21" i="10"/>
  <c r="AV13" i="10"/>
  <c r="AX13" i="10"/>
  <c r="AW13" i="10"/>
  <c r="AX15" i="10"/>
  <c r="AW15" i="10"/>
  <c r="AV15" i="10"/>
  <c r="AV14" i="10"/>
  <c r="AX14" i="10"/>
  <c r="AW14" i="10"/>
  <c r="AW29" i="10"/>
  <c r="AX29" i="10"/>
  <c r="AV29" i="10"/>
  <c r="AW19" i="10"/>
  <c r="AX19" i="10"/>
  <c r="AV19" i="10"/>
  <c r="AY12" i="10"/>
  <c r="AY19" i="10"/>
  <c r="AY14" i="10"/>
  <c r="AY21" i="10"/>
  <c r="AY25" i="10"/>
  <c r="AY23" i="10"/>
  <c r="AY16" i="10"/>
  <c r="AY29" i="10"/>
  <c r="AY27" i="10"/>
  <c r="AY18" i="10"/>
  <c r="AY11" i="10"/>
  <c r="AY13" i="10"/>
  <c r="AY20" i="10"/>
  <c r="AY22" i="10"/>
  <c r="AY24" i="10"/>
  <c r="AY15" i="10"/>
  <c r="AY28" i="10"/>
  <c r="AY10" i="10"/>
  <c r="AY17" i="10"/>
  <c r="AY26" i="10"/>
  <c r="AX12" i="10"/>
  <c r="AV12" i="10"/>
  <c r="AW12" i="10"/>
  <c r="AX10" i="10"/>
  <c r="AV10" i="10"/>
  <c r="AW10" i="10"/>
  <c r="AV11" i="10"/>
  <c r="AX11" i="10"/>
  <c r="AW11" i="10"/>
  <c r="AX17" i="10"/>
  <c r="AW17" i="10"/>
  <c r="AV17" i="10"/>
  <c r="AV18" i="10"/>
  <c r="AX18" i="10"/>
  <c r="AW18" i="10"/>
  <c r="AX26" i="10"/>
  <c r="AW26" i="10"/>
  <c r="AV26" i="10"/>
  <c r="AW27" i="10"/>
  <c r="AV27" i="10"/>
  <c r="AX27" i="10"/>
  <c r="AV28" i="10"/>
  <c r="AW28" i="10"/>
  <c r="AX28" i="10"/>
  <c r="AX29" i="9"/>
  <c r="AV29" i="9"/>
  <c r="AW29" i="9"/>
  <c r="AV15" i="9"/>
  <c r="AX15" i="9"/>
  <c r="AW15" i="9"/>
  <c r="AV16" i="9"/>
  <c r="AW16" i="9"/>
  <c r="AX16" i="9"/>
  <c r="AV24" i="9"/>
  <c r="AW24" i="9"/>
  <c r="AX24" i="9"/>
  <c r="AY12" i="9"/>
  <c r="AY19" i="9"/>
  <c r="AY14" i="9"/>
  <c r="AY21" i="9"/>
  <c r="AY25" i="9"/>
  <c r="AY23" i="9"/>
  <c r="AY16" i="9"/>
  <c r="AY29" i="9"/>
  <c r="AY27" i="9"/>
  <c r="AY18" i="9"/>
  <c r="AY11" i="9"/>
  <c r="AY13" i="9"/>
  <c r="AY20" i="9"/>
  <c r="AY26" i="9"/>
  <c r="AY22" i="9"/>
  <c r="AY28" i="9"/>
  <c r="AY24" i="9"/>
  <c r="AY15" i="9"/>
  <c r="AY17" i="9"/>
  <c r="AY10" i="9"/>
  <c r="AX20" i="9"/>
  <c r="AV20" i="9"/>
  <c r="AW20" i="9"/>
  <c r="AW21" i="9"/>
  <c r="AX21" i="9"/>
  <c r="AV21" i="9"/>
  <c r="AV13" i="9"/>
  <c r="AX13" i="9"/>
  <c r="AW13" i="9"/>
  <c r="AW25" i="9"/>
  <c r="AV25" i="9"/>
  <c r="AX25" i="9"/>
  <c r="AV19" i="9"/>
  <c r="AX19" i="9"/>
  <c r="AW19" i="9"/>
  <c r="AX22" i="9"/>
  <c r="AV22" i="9"/>
  <c r="AW22" i="9"/>
  <c r="AW12" i="9"/>
  <c r="AX12" i="9"/>
  <c r="AV12" i="9"/>
  <c r="AW23" i="9"/>
  <c r="AV23" i="9"/>
  <c r="AX23" i="9"/>
  <c r="AX10" i="9"/>
  <c r="AW10" i="9"/>
  <c r="AV10" i="9"/>
  <c r="AV11" i="9"/>
  <c r="AW11" i="9"/>
  <c r="AX11" i="9"/>
  <c r="AW17" i="9"/>
  <c r="AV17" i="9"/>
  <c r="AX17" i="9"/>
  <c r="AW18" i="9"/>
  <c r="AV18" i="9"/>
  <c r="AX18" i="9"/>
  <c r="AX26" i="9"/>
  <c r="AW26" i="9"/>
  <c r="AV26" i="9"/>
  <c r="AX14" i="9"/>
  <c r="AW14" i="9"/>
  <c r="AV14" i="9"/>
  <c r="AX27" i="9"/>
  <c r="AW27" i="9"/>
  <c r="AV27" i="9"/>
  <c r="AX28" i="9"/>
  <c r="AW28" i="9"/>
  <c r="AV28" i="9"/>
  <c r="AX23" i="8"/>
  <c r="AV23" i="8"/>
  <c r="AW23" i="8"/>
  <c r="AW24" i="8"/>
  <c r="AX24" i="8"/>
  <c r="AV24" i="8"/>
  <c r="AV21" i="8"/>
  <c r="AW21" i="8"/>
  <c r="AX21" i="8"/>
  <c r="AW13" i="8"/>
  <c r="AX13" i="8"/>
  <c r="AV13" i="8"/>
  <c r="AX25" i="8"/>
  <c r="AW25" i="8"/>
  <c r="AV25" i="8"/>
  <c r="AW18" i="8"/>
  <c r="AX18" i="8"/>
  <c r="AV18" i="8"/>
  <c r="AV14" i="8"/>
  <c r="AW14" i="8"/>
  <c r="AX14" i="8"/>
  <c r="AW19" i="8"/>
  <c r="AV19" i="8"/>
  <c r="AX19" i="8"/>
  <c r="AX20" i="8"/>
  <c r="AW20" i="8"/>
  <c r="AV20" i="8"/>
  <c r="AX12" i="8"/>
  <c r="AV12" i="8"/>
  <c r="AW12" i="8"/>
  <c r="AW10" i="8"/>
  <c r="AV10" i="8"/>
  <c r="AX10" i="8"/>
  <c r="AY28" i="8"/>
  <c r="AY12" i="8"/>
  <c r="AY19" i="8"/>
  <c r="AY14" i="8"/>
  <c r="AY21" i="8"/>
  <c r="AY25" i="8"/>
  <c r="AY23" i="8"/>
  <c r="AY16" i="8"/>
  <c r="AY29" i="8"/>
  <c r="AY27" i="8"/>
  <c r="AY18" i="8"/>
  <c r="AY11" i="8"/>
  <c r="AY13" i="8"/>
  <c r="AY17" i="8"/>
  <c r="AY20" i="8"/>
  <c r="AY22" i="8"/>
  <c r="AY24" i="8"/>
  <c r="AY15" i="8"/>
  <c r="AY26" i="8"/>
  <c r="AY10" i="8"/>
  <c r="AV11" i="8"/>
  <c r="AW11" i="8"/>
  <c r="AX11" i="8"/>
  <c r="AX17" i="8"/>
  <c r="AW17" i="8"/>
  <c r="AV17" i="8"/>
  <c r="AV16" i="8"/>
  <c r="AW16" i="8"/>
  <c r="AX16" i="8"/>
  <c r="AX22" i="8"/>
  <c r="AV22" i="8"/>
  <c r="AW22" i="8"/>
  <c r="AX27" i="8"/>
  <c r="AW27" i="8"/>
  <c r="AV27" i="8"/>
  <c r="AW26" i="8"/>
  <c r="AV26" i="8"/>
  <c r="AX26" i="8"/>
  <c r="AW15" i="8"/>
  <c r="AX15" i="8"/>
  <c r="AV15" i="8"/>
  <c r="AV29" i="8"/>
  <c r="AW29" i="8"/>
  <c r="AX29" i="8"/>
  <c r="AX28" i="8"/>
  <c r="AV28" i="8"/>
  <c r="AW28" i="8"/>
  <c r="AV16" i="7"/>
  <c r="AW16" i="7"/>
  <c r="AX16" i="7"/>
  <c r="AX25" i="7"/>
  <c r="AV25" i="7"/>
  <c r="AW25" i="7"/>
  <c r="AW20" i="7"/>
  <c r="AV20" i="7"/>
  <c r="AX20" i="7"/>
  <c r="AX21" i="7"/>
  <c r="AV21" i="7"/>
  <c r="AW21" i="7"/>
  <c r="AW13" i="7"/>
  <c r="AX13" i="7"/>
  <c r="AV13" i="7"/>
  <c r="AV22" i="7"/>
  <c r="AW22" i="7"/>
  <c r="AX22" i="7"/>
  <c r="AX14" i="7"/>
  <c r="AW14" i="7"/>
  <c r="AV14" i="7"/>
  <c r="AW24" i="7"/>
  <c r="AX24" i="7"/>
  <c r="AV24" i="7"/>
  <c r="AW19" i="7"/>
  <c r="AV19" i="7"/>
  <c r="AX19" i="7"/>
  <c r="AV15" i="7"/>
  <c r="AW15" i="7"/>
  <c r="AX15" i="7"/>
  <c r="AV23" i="7"/>
  <c r="AW23" i="7"/>
  <c r="AX23" i="7"/>
  <c r="AX12" i="7"/>
  <c r="AW12" i="7"/>
  <c r="AV12" i="7"/>
  <c r="AX10" i="7"/>
  <c r="AW10" i="7"/>
  <c r="AV10" i="7"/>
  <c r="AV11" i="7"/>
  <c r="AW11" i="7"/>
  <c r="AX11" i="7"/>
  <c r="AW17" i="7"/>
  <c r="AX17" i="7"/>
  <c r="AV17" i="7"/>
  <c r="AX29" i="7"/>
  <c r="AV29" i="7"/>
  <c r="AW29" i="7"/>
  <c r="AW18" i="7"/>
  <c r="AX18" i="7"/>
  <c r="AV18" i="7"/>
  <c r="AV26" i="7"/>
  <c r="AW26" i="7"/>
  <c r="AX26" i="7"/>
  <c r="AY12" i="7"/>
  <c r="AY26" i="7"/>
  <c r="AY19" i="7"/>
  <c r="AY14" i="7"/>
  <c r="AY21" i="7"/>
  <c r="AY25" i="7"/>
  <c r="AY23" i="7"/>
  <c r="AY16" i="7"/>
  <c r="AY29" i="7"/>
  <c r="AY27" i="7"/>
  <c r="AY18" i="7"/>
  <c r="AY11" i="7"/>
  <c r="AY13" i="7"/>
  <c r="AY20" i="7"/>
  <c r="AY22" i="7"/>
  <c r="AY24" i="7"/>
  <c r="AY15" i="7"/>
  <c r="AY28" i="7"/>
  <c r="AY17" i="7"/>
  <c r="AY10" i="7"/>
  <c r="AX27" i="7"/>
  <c r="AV27" i="7"/>
  <c r="AW27" i="7"/>
  <c r="AX28" i="7"/>
  <c r="AV28" i="7"/>
  <c r="AW28" i="7"/>
  <c r="AV24" i="6"/>
  <c r="AW24" i="6"/>
  <c r="AX24" i="6"/>
  <c r="AV25" i="6"/>
  <c r="AW25" i="6"/>
  <c r="AX25" i="6"/>
  <c r="AX13" i="6"/>
  <c r="AV13" i="6"/>
  <c r="AW13" i="6"/>
  <c r="AV11" i="6"/>
  <c r="AX11" i="6"/>
  <c r="AW11" i="6"/>
  <c r="AW23" i="6"/>
  <c r="AV23" i="6"/>
  <c r="AX23" i="6"/>
  <c r="AW14" i="6"/>
  <c r="AV14" i="6"/>
  <c r="AX14" i="6"/>
  <c r="AW27" i="6"/>
  <c r="AV27" i="6"/>
  <c r="AX27" i="6"/>
  <c r="AV20" i="6"/>
  <c r="AW20" i="6"/>
  <c r="AX20" i="6"/>
  <c r="AV19" i="6"/>
  <c r="AW19" i="6"/>
  <c r="AX19" i="6"/>
  <c r="AX22" i="6"/>
  <c r="AW22" i="6"/>
  <c r="AV22" i="6"/>
  <c r="AY12" i="6"/>
  <c r="AY19" i="6"/>
  <c r="AY21" i="6"/>
  <c r="AY25" i="6"/>
  <c r="AY23" i="6"/>
  <c r="AY16" i="6"/>
  <c r="AY29" i="6"/>
  <c r="AY27" i="6"/>
  <c r="AY18" i="6"/>
  <c r="AY20" i="6"/>
  <c r="AY22" i="6"/>
  <c r="AY24" i="6"/>
  <c r="AY17" i="6"/>
  <c r="AY13" i="6"/>
  <c r="AY28" i="6"/>
  <c r="AY14" i="6"/>
  <c r="AY26" i="6"/>
  <c r="AY15" i="6"/>
  <c r="AY10" i="6"/>
  <c r="AY11" i="6"/>
  <c r="AX10" i="6"/>
  <c r="AV10" i="6"/>
  <c r="AW10" i="6"/>
  <c r="AV12" i="6"/>
  <c r="AW12" i="6"/>
  <c r="AX12" i="6"/>
  <c r="AX17" i="6"/>
  <c r="AV17" i="6"/>
  <c r="AW17" i="6"/>
  <c r="AX15" i="6"/>
  <c r="AV15" i="6"/>
  <c r="AW15" i="6"/>
  <c r="AV21" i="6"/>
  <c r="AX21" i="6"/>
  <c r="AW21" i="6"/>
  <c r="AV16" i="6"/>
  <c r="AX16" i="6"/>
  <c r="AW16" i="6"/>
  <c r="AV26" i="6"/>
  <c r="AX26" i="6"/>
  <c r="AW26" i="6"/>
  <c r="AW29" i="6"/>
  <c r="AX29" i="6"/>
  <c r="AV29" i="6"/>
  <c r="AX18" i="6"/>
  <c r="AV18" i="6"/>
  <c r="AW18" i="6"/>
  <c r="AV28" i="6"/>
  <c r="AW28" i="6"/>
  <c r="AX28" i="6"/>
  <c r="AW29" i="5"/>
  <c r="AV29" i="5"/>
  <c r="AX29" i="5"/>
  <c r="AX24" i="5"/>
  <c r="AV24" i="5"/>
  <c r="AW24" i="5"/>
  <c r="AX27" i="5"/>
  <c r="AV27" i="5"/>
  <c r="AW27" i="5"/>
  <c r="AX23" i="5"/>
  <c r="AV23" i="5"/>
  <c r="AW23" i="5"/>
  <c r="AX25" i="5"/>
  <c r="AW25" i="5"/>
  <c r="AV25" i="5"/>
  <c r="AX19" i="5"/>
  <c r="AV19" i="5"/>
  <c r="AW19" i="5"/>
  <c r="AX20" i="5"/>
  <c r="AW20" i="5"/>
  <c r="AV20" i="5"/>
  <c r="AV12" i="5"/>
  <c r="AW12" i="5"/>
  <c r="AX12" i="5"/>
  <c r="AV21" i="5"/>
  <c r="AX21" i="5"/>
  <c r="AW21" i="5"/>
  <c r="AV10" i="5"/>
  <c r="AW10" i="5"/>
  <c r="AX10" i="5"/>
  <c r="AV11" i="5"/>
  <c r="AX11" i="5"/>
  <c r="AW11" i="5"/>
  <c r="AW17" i="5"/>
  <c r="AX17" i="5"/>
  <c r="AV17" i="5"/>
  <c r="AX15" i="5"/>
  <c r="AV15" i="5"/>
  <c r="AW15" i="5"/>
  <c r="AW14" i="5"/>
  <c r="AV14" i="5"/>
  <c r="AX14" i="5"/>
  <c r="AV16" i="5"/>
  <c r="AW16" i="5"/>
  <c r="AX16" i="5"/>
  <c r="AV26" i="5"/>
  <c r="AX26" i="5"/>
  <c r="AW26" i="5"/>
  <c r="AW22" i="5"/>
  <c r="AX22" i="5"/>
  <c r="AV22" i="5"/>
  <c r="AX13" i="5"/>
  <c r="AV13" i="5"/>
  <c r="AW13" i="5"/>
  <c r="AY12" i="5"/>
  <c r="AY19" i="5"/>
  <c r="AY14" i="5"/>
  <c r="AY21" i="5"/>
  <c r="AY25" i="5"/>
  <c r="AY23" i="5"/>
  <c r="AY16" i="5"/>
  <c r="AY29" i="5"/>
  <c r="AY27" i="5"/>
  <c r="AY18" i="5"/>
  <c r="AY11" i="5"/>
  <c r="AY13" i="5"/>
  <c r="AY20" i="5"/>
  <c r="AY22" i="5"/>
  <c r="AY24" i="5"/>
  <c r="AY15" i="5"/>
  <c r="AY28" i="5"/>
  <c r="AY10" i="5"/>
  <c r="AY17" i="5"/>
  <c r="AY26" i="5"/>
  <c r="AV18" i="5"/>
  <c r="AW18" i="5"/>
  <c r="AX18" i="5"/>
  <c r="AV28" i="5"/>
  <c r="AW28" i="5"/>
  <c r="AX28" i="5"/>
  <c r="AV13" i="4"/>
  <c r="AX13" i="4"/>
  <c r="AW13" i="4"/>
  <c r="AX25" i="4"/>
  <c r="AV25" i="4"/>
  <c r="AW25" i="4"/>
  <c r="AV16" i="4"/>
  <c r="AX16" i="4"/>
  <c r="AW16" i="4"/>
  <c r="AW24" i="4"/>
  <c r="AX24" i="4"/>
  <c r="AV24" i="4"/>
  <c r="AY12" i="4"/>
  <c r="AY19" i="4"/>
  <c r="AY21" i="4"/>
  <c r="AY25" i="4"/>
  <c r="AY23" i="4"/>
  <c r="AY16" i="4"/>
  <c r="AY29" i="4"/>
  <c r="AY27" i="4"/>
  <c r="AY24" i="4"/>
  <c r="AY28" i="4"/>
  <c r="AY26" i="4"/>
  <c r="AY17" i="4"/>
  <c r="AY18" i="4"/>
  <c r="AY20" i="4"/>
  <c r="AY15" i="4"/>
  <c r="AY11" i="4"/>
  <c r="AY22" i="4"/>
  <c r="AY10" i="4"/>
  <c r="AY13" i="4"/>
  <c r="AY14" i="4"/>
  <c r="AX22" i="4"/>
  <c r="AV22" i="4"/>
  <c r="AW22" i="4"/>
  <c r="AW18" i="4"/>
  <c r="AV18" i="4"/>
  <c r="AX18" i="4"/>
  <c r="AX28" i="4"/>
  <c r="AW28" i="4"/>
  <c r="AV28" i="4"/>
  <c r="AV15" i="4"/>
  <c r="AX15" i="4"/>
  <c r="AW15" i="4"/>
  <c r="AX27" i="4"/>
  <c r="AV27" i="4"/>
  <c r="AW27" i="4"/>
  <c r="AV23" i="4"/>
  <c r="AW23" i="4"/>
  <c r="AX23" i="4"/>
  <c r="AW21" i="4"/>
  <c r="AV21" i="4"/>
  <c r="AX21" i="4"/>
  <c r="AW29" i="4"/>
  <c r="AX29" i="4"/>
  <c r="AV29" i="4"/>
  <c r="AX12" i="4"/>
  <c r="AW12" i="4"/>
  <c r="AV12" i="4"/>
  <c r="AW11" i="4"/>
  <c r="AV11" i="4"/>
  <c r="AX11" i="4"/>
  <c r="AW10" i="4"/>
  <c r="AV10" i="4"/>
  <c r="AX10" i="4"/>
  <c r="AW20" i="4"/>
  <c r="AV20" i="4"/>
  <c r="AX20" i="4"/>
  <c r="AX14" i="4"/>
  <c r="AW14" i="4"/>
  <c r="AV14" i="4"/>
  <c r="AW17" i="4"/>
  <c r="AX17" i="4"/>
  <c r="AV17" i="4"/>
  <c r="AV19" i="4"/>
  <c r="AW19" i="4"/>
  <c r="AX19" i="4"/>
  <c r="AX26" i="4"/>
  <c r="AV26" i="4"/>
  <c r="AW26" i="4"/>
  <c r="AV10" i="2"/>
  <c r="AW10" i="2"/>
  <c r="AX10" i="2"/>
  <c r="AW21" i="2"/>
  <c r="AW14" i="2"/>
  <c r="AW18" i="2"/>
  <c r="AW22" i="2"/>
  <c r="AW29" i="2"/>
  <c r="AW11" i="2"/>
  <c r="AW15" i="2"/>
  <c r="AW19" i="2"/>
  <c r="AW23" i="2"/>
  <c r="AW27" i="2"/>
  <c r="AW25" i="2"/>
  <c r="AW13" i="2"/>
  <c r="AW12" i="2"/>
  <c r="BD12" i="2" s="1"/>
  <c r="BE12" i="2" s="1"/>
  <c r="AW16" i="2"/>
  <c r="AW20" i="2"/>
  <c r="AW28" i="2"/>
  <c r="AW17" i="2"/>
  <c r="J11" i="2"/>
  <c r="J23" i="2"/>
  <c r="J17" i="2"/>
  <c r="J26" i="2"/>
  <c r="J15" i="2"/>
  <c r="J19" i="2"/>
  <c r="J21" i="2"/>
  <c r="J25" i="2"/>
  <c r="J14" i="2"/>
  <c r="J28" i="2"/>
  <c r="J24" i="2"/>
  <c r="J22" i="2"/>
  <c r="J12" i="2"/>
  <c r="J29" i="2"/>
  <c r="J10" i="2"/>
  <c r="J18" i="2"/>
  <c r="J16" i="2"/>
  <c r="J20" i="2"/>
  <c r="J13" i="2"/>
  <c r="J27" i="2"/>
  <c r="BA10" i="14" l="1"/>
  <c r="BD10" i="14"/>
  <c r="BE10" i="14" s="1"/>
  <c r="BA19" i="14"/>
  <c r="BD19" i="14"/>
  <c r="BE19" i="14" s="1"/>
  <c r="BA13" i="14"/>
  <c r="BD13" i="14"/>
  <c r="BE13" i="14" s="1"/>
  <c r="BA11" i="14"/>
  <c r="BD11" i="14"/>
  <c r="BE11" i="14" s="1"/>
  <c r="BA28" i="14"/>
  <c r="BD28" i="14"/>
  <c r="BE28" i="14" s="1"/>
  <c r="BA29" i="14"/>
  <c r="BD29" i="14"/>
  <c r="BE29" i="14" s="1"/>
  <c r="BA25" i="14"/>
  <c r="BD25" i="14"/>
  <c r="BE25" i="14" s="1"/>
  <c r="BA24" i="14"/>
  <c r="BD24" i="14"/>
  <c r="BE24" i="14" s="1"/>
  <c r="BA21" i="14"/>
  <c r="BD21" i="14"/>
  <c r="BE21" i="14" s="1"/>
  <c r="BA20" i="14"/>
  <c r="BD20" i="14"/>
  <c r="BE20" i="14" s="1"/>
  <c r="BA17" i="14"/>
  <c r="BD17" i="14"/>
  <c r="BE17" i="14" s="1"/>
  <c r="BA14" i="14"/>
  <c r="BD14" i="14"/>
  <c r="BE14" i="14" s="1"/>
  <c r="BA18" i="14"/>
  <c r="BD18" i="14"/>
  <c r="BE18" i="14" s="1"/>
  <c r="BA27" i="14"/>
  <c r="BD27" i="14"/>
  <c r="BE27" i="14" s="1"/>
  <c r="BA15" i="14"/>
  <c r="BD15" i="14"/>
  <c r="BE15" i="14" s="1"/>
  <c r="BA22" i="14"/>
  <c r="BD22" i="14"/>
  <c r="BE22" i="14" s="1"/>
  <c r="BA26" i="14"/>
  <c r="BD26" i="14"/>
  <c r="BE26" i="14" s="1"/>
  <c r="BA12" i="14"/>
  <c r="BD12" i="14"/>
  <c r="BE12" i="14" s="1"/>
  <c r="BA16" i="14"/>
  <c r="BD16" i="14"/>
  <c r="BE16" i="14" s="1"/>
  <c r="BA23" i="14"/>
  <c r="BD23" i="14"/>
  <c r="BE23" i="14" s="1"/>
  <c r="BA18" i="13"/>
  <c r="BD18" i="13"/>
  <c r="BE18" i="13" s="1"/>
  <c r="BA14" i="13"/>
  <c r="BD14" i="13"/>
  <c r="BE14" i="13" s="1"/>
  <c r="BA20" i="13"/>
  <c r="BD20" i="13"/>
  <c r="BE20" i="13" s="1"/>
  <c r="BA25" i="13"/>
  <c r="BD25" i="13"/>
  <c r="BE25" i="13" s="1"/>
  <c r="BA19" i="13"/>
  <c r="BD19" i="13"/>
  <c r="BE19" i="13" s="1"/>
  <c r="BA28" i="13"/>
  <c r="BD28" i="13"/>
  <c r="BE28" i="13" s="1"/>
  <c r="BA29" i="13"/>
  <c r="BD29" i="13"/>
  <c r="BE29" i="13" s="1"/>
  <c r="BA17" i="13"/>
  <c r="BD17" i="13"/>
  <c r="BE17" i="13" s="1"/>
  <c r="BA24" i="13"/>
  <c r="BD24" i="13"/>
  <c r="BE24" i="13" s="1"/>
  <c r="BA13" i="13"/>
  <c r="BD13" i="13"/>
  <c r="BE13" i="13" s="1"/>
  <c r="BA10" i="13"/>
  <c r="BD10" i="13"/>
  <c r="BE10" i="13" s="1"/>
  <c r="BA27" i="13"/>
  <c r="BD27" i="13"/>
  <c r="BE27" i="13" s="1"/>
  <c r="BA22" i="13"/>
  <c r="BD22" i="13"/>
  <c r="BE22" i="13" s="1"/>
  <c r="BA15" i="13"/>
  <c r="BD15" i="13"/>
  <c r="BE15" i="13" s="1"/>
  <c r="BA11" i="13"/>
  <c r="BD11" i="13"/>
  <c r="BE11" i="13" s="1"/>
  <c r="BA12" i="13"/>
  <c r="BD12" i="13"/>
  <c r="BE12" i="13" s="1"/>
  <c r="BA23" i="13"/>
  <c r="BD23" i="13"/>
  <c r="BE23" i="13" s="1"/>
  <c r="BA26" i="13"/>
  <c r="BD26" i="13"/>
  <c r="BE26" i="13" s="1"/>
  <c r="BA16" i="13"/>
  <c r="BD16" i="13"/>
  <c r="BE16" i="13" s="1"/>
  <c r="BA21" i="13"/>
  <c r="BD21" i="13"/>
  <c r="BE21" i="13" s="1"/>
  <c r="BA26" i="12"/>
  <c r="BD26" i="12"/>
  <c r="BE26" i="12" s="1"/>
  <c r="BA24" i="12"/>
  <c r="BD24" i="12"/>
  <c r="BE24" i="12" s="1"/>
  <c r="BA23" i="12"/>
  <c r="BD23" i="12"/>
  <c r="BE23" i="12" s="1"/>
  <c r="BA18" i="12"/>
  <c r="BD18" i="12"/>
  <c r="BE18" i="12" s="1"/>
  <c r="BA20" i="12"/>
  <c r="BD20" i="12"/>
  <c r="BE20" i="12" s="1"/>
  <c r="BA14" i="12"/>
  <c r="BD14" i="12"/>
  <c r="BE14" i="12" s="1"/>
  <c r="BA16" i="12"/>
  <c r="BD16" i="12"/>
  <c r="BE16" i="12" s="1"/>
  <c r="BA28" i="12"/>
  <c r="BD28" i="12"/>
  <c r="BE28" i="12" s="1"/>
  <c r="BA17" i="12"/>
  <c r="BD17" i="12"/>
  <c r="BE17" i="12" s="1"/>
  <c r="BA19" i="12"/>
  <c r="BD19" i="12"/>
  <c r="BE19" i="12" s="1"/>
  <c r="BA27" i="12"/>
  <c r="BD27" i="12"/>
  <c r="BE27" i="12" s="1"/>
  <c r="BA11" i="12"/>
  <c r="BD11" i="12"/>
  <c r="BE11" i="12" s="1"/>
  <c r="BA22" i="12"/>
  <c r="BD22" i="12"/>
  <c r="BE22" i="12" s="1"/>
  <c r="BA13" i="12"/>
  <c r="BD13" i="12"/>
  <c r="BE13" i="12" s="1"/>
  <c r="BA15" i="12"/>
  <c r="BD15" i="12"/>
  <c r="BE15" i="12" s="1"/>
  <c r="BA10" i="12"/>
  <c r="BD10" i="12"/>
  <c r="BE10" i="12" s="1"/>
  <c r="BA12" i="12"/>
  <c r="BD12" i="12"/>
  <c r="BE12" i="12" s="1"/>
  <c r="BA29" i="12"/>
  <c r="BD29" i="12"/>
  <c r="BE29" i="12" s="1"/>
  <c r="BA25" i="12"/>
  <c r="BD25" i="12"/>
  <c r="BE25" i="12" s="1"/>
  <c r="BA21" i="12"/>
  <c r="BD21" i="12"/>
  <c r="BE21" i="12" s="1"/>
  <c r="BA23" i="11"/>
  <c r="BD23" i="11"/>
  <c r="BE23" i="11" s="1"/>
  <c r="BA25" i="11"/>
  <c r="BD25" i="11"/>
  <c r="BE25" i="11" s="1"/>
  <c r="BA22" i="11"/>
  <c r="BD22" i="11"/>
  <c r="BE22" i="11" s="1"/>
  <c r="BA13" i="11"/>
  <c r="BD13" i="11"/>
  <c r="BE13" i="11" s="1"/>
  <c r="BA14" i="11"/>
  <c r="BD14" i="11"/>
  <c r="BE14" i="11" s="1"/>
  <c r="BA28" i="11"/>
  <c r="BD28" i="11"/>
  <c r="BE28" i="11" s="1"/>
  <c r="BA18" i="11"/>
  <c r="BD18" i="11"/>
  <c r="BE18" i="11" s="1"/>
  <c r="BA24" i="11"/>
  <c r="BD24" i="11"/>
  <c r="BE24" i="11" s="1"/>
  <c r="BA27" i="11"/>
  <c r="BD27" i="11"/>
  <c r="BE27" i="11" s="1"/>
  <c r="BA12" i="11"/>
  <c r="BD12" i="11"/>
  <c r="BE12" i="11" s="1"/>
  <c r="BA21" i="11"/>
  <c r="BD21" i="11"/>
  <c r="BE21" i="11" s="1"/>
  <c r="BA10" i="11"/>
  <c r="BD10" i="11"/>
  <c r="BE10" i="11" s="1"/>
  <c r="BA15" i="11"/>
  <c r="BD15" i="11"/>
  <c r="BE15" i="11" s="1"/>
  <c r="BA17" i="11"/>
  <c r="BD17" i="11"/>
  <c r="BE17" i="11" s="1"/>
  <c r="BA16" i="11"/>
  <c r="BD16" i="11"/>
  <c r="BE16" i="11" s="1"/>
  <c r="BA29" i="11"/>
  <c r="BD29" i="11"/>
  <c r="BE29" i="11" s="1"/>
  <c r="BA26" i="11"/>
  <c r="BD26" i="11"/>
  <c r="BE26" i="11" s="1"/>
  <c r="BA19" i="11"/>
  <c r="BD19" i="11"/>
  <c r="BE19" i="11" s="1"/>
  <c r="BA20" i="11"/>
  <c r="BD20" i="11"/>
  <c r="BE20" i="11" s="1"/>
  <c r="BA11" i="11"/>
  <c r="BD11" i="11"/>
  <c r="BE11" i="11" s="1"/>
  <c r="BA18" i="10"/>
  <c r="BD18" i="10"/>
  <c r="BE18" i="10" s="1"/>
  <c r="BA12" i="10"/>
  <c r="BD12" i="10"/>
  <c r="BE12" i="10" s="1"/>
  <c r="BA22" i="10"/>
  <c r="BD22" i="10"/>
  <c r="BE22" i="10" s="1"/>
  <c r="BA19" i="10"/>
  <c r="BD19" i="10"/>
  <c r="BE19" i="10" s="1"/>
  <c r="BA13" i="10"/>
  <c r="BD13" i="10"/>
  <c r="BE13" i="10" s="1"/>
  <c r="BA21" i="10"/>
  <c r="BD21" i="10"/>
  <c r="BE21" i="10" s="1"/>
  <c r="BA23" i="10"/>
  <c r="BD23" i="10"/>
  <c r="BE23" i="10" s="1"/>
  <c r="BA28" i="10"/>
  <c r="BD28" i="10"/>
  <c r="BE28" i="10" s="1"/>
  <c r="BA17" i="10"/>
  <c r="BD17" i="10"/>
  <c r="BE17" i="10" s="1"/>
  <c r="BA29" i="10"/>
  <c r="BD29" i="10"/>
  <c r="BE29" i="10" s="1"/>
  <c r="BA14" i="10"/>
  <c r="BD14" i="10"/>
  <c r="BE14" i="10" s="1"/>
  <c r="BA24" i="10"/>
  <c r="BD24" i="10"/>
  <c r="BE24" i="10" s="1"/>
  <c r="BA11" i="10"/>
  <c r="BD11" i="10"/>
  <c r="BE11" i="10" s="1"/>
  <c r="BA20" i="10"/>
  <c r="BD20" i="10"/>
  <c r="BE20" i="10" s="1"/>
  <c r="BA27" i="10"/>
  <c r="BD27" i="10"/>
  <c r="BE27" i="10" s="1"/>
  <c r="BA25" i="10"/>
  <c r="BD25" i="10"/>
  <c r="BE25" i="10" s="1"/>
  <c r="BD10" i="10"/>
  <c r="BE10" i="10" s="1"/>
  <c r="BA10" i="10"/>
  <c r="BA15" i="10"/>
  <c r="BD15" i="10"/>
  <c r="BE15" i="10" s="1"/>
  <c r="BA26" i="10"/>
  <c r="BD26" i="10"/>
  <c r="BE26" i="10" s="1"/>
  <c r="BA16" i="10"/>
  <c r="BD16" i="10"/>
  <c r="BE16" i="10" s="1"/>
  <c r="BA21" i="9"/>
  <c r="BD21" i="9"/>
  <c r="BE21" i="9" s="1"/>
  <c r="BA19" i="9"/>
  <c r="BD19" i="9"/>
  <c r="BE19" i="9" s="1"/>
  <c r="BA20" i="9"/>
  <c r="BD20" i="9"/>
  <c r="BE20" i="9" s="1"/>
  <c r="BA24" i="9"/>
  <c r="BD24" i="9"/>
  <c r="BE24" i="9" s="1"/>
  <c r="BA26" i="9"/>
  <c r="BD26" i="9"/>
  <c r="BE26" i="9" s="1"/>
  <c r="BA16" i="9"/>
  <c r="BD16" i="9"/>
  <c r="BE16" i="9" s="1"/>
  <c r="BA18" i="9"/>
  <c r="BD18" i="9"/>
  <c r="BE18" i="9" s="1"/>
  <c r="BA23" i="9"/>
  <c r="BD23" i="9"/>
  <c r="BE23" i="9" s="1"/>
  <c r="BA25" i="9"/>
  <c r="BD25" i="9"/>
  <c r="BE25" i="9" s="1"/>
  <c r="BA15" i="9"/>
  <c r="BD15" i="9"/>
  <c r="BE15" i="9" s="1"/>
  <c r="BA13" i="9"/>
  <c r="BD13" i="9"/>
  <c r="BE13" i="9" s="1"/>
  <c r="BA10" i="9"/>
  <c r="BD10" i="9"/>
  <c r="BE10" i="9" s="1"/>
  <c r="BA27" i="9"/>
  <c r="BD27" i="9"/>
  <c r="BE27" i="9" s="1"/>
  <c r="BA17" i="9"/>
  <c r="BD17" i="9"/>
  <c r="BE17" i="9" s="1"/>
  <c r="BA12" i="9"/>
  <c r="BD12" i="9"/>
  <c r="BE12" i="9" s="1"/>
  <c r="BA29" i="9"/>
  <c r="BD29" i="9"/>
  <c r="BE29" i="9" s="1"/>
  <c r="BA22" i="9"/>
  <c r="BD22" i="9"/>
  <c r="BE22" i="9" s="1"/>
  <c r="BA28" i="9"/>
  <c r="BD28" i="9"/>
  <c r="BE28" i="9" s="1"/>
  <c r="BA14" i="9"/>
  <c r="BD14" i="9"/>
  <c r="BE14" i="9" s="1"/>
  <c r="BA11" i="9"/>
  <c r="BD11" i="9"/>
  <c r="BE11" i="9" s="1"/>
  <c r="BA13" i="8"/>
  <c r="BD13" i="8"/>
  <c r="BE13" i="8" s="1"/>
  <c r="BA26" i="8"/>
  <c r="BD26" i="8"/>
  <c r="BE26" i="8" s="1"/>
  <c r="BA28" i="8"/>
  <c r="BD28" i="8"/>
  <c r="BE28" i="8" s="1"/>
  <c r="BA14" i="8"/>
  <c r="BD14" i="8"/>
  <c r="BE14" i="8" s="1"/>
  <c r="BA21" i="8"/>
  <c r="BD21" i="8"/>
  <c r="BE21" i="8" s="1"/>
  <c r="BA27" i="8"/>
  <c r="BD27" i="8"/>
  <c r="BE27" i="8" s="1"/>
  <c r="BA11" i="8"/>
  <c r="BD11" i="8"/>
  <c r="BE11" i="8" s="1"/>
  <c r="BA10" i="8"/>
  <c r="BD10" i="8"/>
  <c r="BE10" i="8" s="1"/>
  <c r="BA12" i="8"/>
  <c r="BD12" i="8"/>
  <c r="BE12" i="8" s="1"/>
  <c r="BA17" i="8"/>
  <c r="BD17" i="8"/>
  <c r="BE17" i="8" s="1"/>
  <c r="BA22" i="8"/>
  <c r="BD22" i="8"/>
  <c r="BE22" i="8" s="1"/>
  <c r="BA19" i="8"/>
  <c r="BD19" i="8"/>
  <c r="BE19" i="8" s="1"/>
  <c r="BA29" i="8"/>
  <c r="BD29" i="8"/>
  <c r="BE29" i="8" s="1"/>
  <c r="BA18" i="8"/>
  <c r="BD18" i="8"/>
  <c r="BE18" i="8" s="1"/>
  <c r="BA24" i="8"/>
  <c r="BD24" i="8"/>
  <c r="BE24" i="8" s="1"/>
  <c r="BA23" i="8"/>
  <c r="BD23" i="8"/>
  <c r="BE23" i="8" s="1"/>
  <c r="BA15" i="8"/>
  <c r="BD15" i="8"/>
  <c r="BE15" i="8" s="1"/>
  <c r="BA20" i="8"/>
  <c r="BD20" i="8"/>
  <c r="BE20" i="8" s="1"/>
  <c r="BA25" i="8"/>
  <c r="BD25" i="8"/>
  <c r="BE25" i="8" s="1"/>
  <c r="BA16" i="8"/>
  <c r="BD16" i="8"/>
  <c r="BE16" i="8" s="1"/>
  <c r="BA12" i="7"/>
  <c r="BD12" i="7"/>
  <c r="BE12" i="7" s="1"/>
  <c r="BA24" i="7"/>
  <c r="BD24" i="7"/>
  <c r="BE24" i="7" s="1"/>
  <c r="BA21" i="7"/>
  <c r="BD21" i="7"/>
  <c r="BE21" i="7" s="1"/>
  <c r="BA23" i="7"/>
  <c r="BD23" i="7"/>
  <c r="BE23" i="7" s="1"/>
  <c r="BA14" i="7"/>
  <c r="BD14" i="7"/>
  <c r="BE14" i="7" s="1"/>
  <c r="BA28" i="7"/>
  <c r="BD28" i="7"/>
  <c r="BE28" i="7" s="1"/>
  <c r="BA17" i="7"/>
  <c r="BD17" i="7"/>
  <c r="BE17" i="7" s="1"/>
  <c r="BA20" i="7"/>
  <c r="BD20" i="7"/>
  <c r="BE20" i="7" s="1"/>
  <c r="BA25" i="7"/>
  <c r="BD25" i="7"/>
  <c r="BE25" i="7" s="1"/>
  <c r="BA29" i="7"/>
  <c r="BD29" i="7"/>
  <c r="BE29" i="7" s="1"/>
  <c r="BA27" i="7"/>
  <c r="BD27" i="7"/>
  <c r="BE27" i="7" s="1"/>
  <c r="BA26" i="7"/>
  <c r="BD26" i="7"/>
  <c r="BE26" i="7" s="1"/>
  <c r="BA11" i="7"/>
  <c r="BD11" i="7"/>
  <c r="BE11" i="7" s="1"/>
  <c r="BA15" i="7"/>
  <c r="BD15" i="7"/>
  <c r="BE15" i="7" s="1"/>
  <c r="BA22" i="7"/>
  <c r="BD22" i="7"/>
  <c r="BE22" i="7" s="1"/>
  <c r="BA10" i="7"/>
  <c r="BD10" i="7"/>
  <c r="BE10" i="7" s="1"/>
  <c r="BA16" i="7"/>
  <c r="BD16" i="7"/>
  <c r="BE16" i="7" s="1"/>
  <c r="BA18" i="7"/>
  <c r="BD18" i="7"/>
  <c r="BE18" i="7" s="1"/>
  <c r="BA19" i="7"/>
  <c r="BD19" i="7"/>
  <c r="BE19" i="7" s="1"/>
  <c r="BA13" i="7"/>
  <c r="BD13" i="7"/>
  <c r="BE13" i="7" s="1"/>
  <c r="BA26" i="6"/>
  <c r="BD26" i="6"/>
  <c r="BE26" i="6" s="1"/>
  <c r="BA17" i="6"/>
  <c r="BD17" i="6"/>
  <c r="BE17" i="6" s="1"/>
  <c r="BA20" i="6"/>
  <c r="BD20" i="6"/>
  <c r="BE20" i="6" s="1"/>
  <c r="BA11" i="6"/>
  <c r="BD11" i="6"/>
  <c r="BE11" i="6" s="1"/>
  <c r="BA13" i="6"/>
  <c r="BD13" i="6"/>
  <c r="BE13" i="6" s="1"/>
  <c r="BA16" i="6"/>
  <c r="BD16" i="6"/>
  <c r="BE16" i="6" s="1"/>
  <c r="BA12" i="6"/>
  <c r="BD12" i="6"/>
  <c r="BE12" i="6" s="1"/>
  <c r="BA21" i="6"/>
  <c r="BD21" i="6"/>
  <c r="BE21" i="6" s="1"/>
  <c r="BA10" i="6"/>
  <c r="BD10" i="6"/>
  <c r="BE10" i="6" s="1"/>
  <c r="BA22" i="6"/>
  <c r="BD22" i="6"/>
  <c r="BE22" i="6" s="1"/>
  <c r="BA25" i="6"/>
  <c r="BD25" i="6"/>
  <c r="BE25" i="6" s="1"/>
  <c r="BA18" i="6"/>
  <c r="BD18" i="6"/>
  <c r="BE18" i="6" s="1"/>
  <c r="BA14" i="6"/>
  <c r="BD14" i="6"/>
  <c r="BE14" i="6" s="1"/>
  <c r="BA27" i="6"/>
  <c r="BD27" i="6"/>
  <c r="BE27" i="6" s="1"/>
  <c r="BA29" i="6"/>
  <c r="BD29" i="6"/>
  <c r="BE29" i="6" s="1"/>
  <c r="BA15" i="6"/>
  <c r="BD15" i="6"/>
  <c r="BE15" i="6" s="1"/>
  <c r="BA19" i="6"/>
  <c r="BD19" i="6"/>
  <c r="BE19" i="6" s="1"/>
  <c r="BA24" i="6"/>
  <c r="BD24" i="6"/>
  <c r="BE24" i="6" s="1"/>
  <c r="BA28" i="6"/>
  <c r="BD28" i="6"/>
  <c r="BE28" i="6" s="1"/>
  <c r="BA23" i="6"/>
  <c r="BD23" i="6"/>
  <c r="BE23" i="6" s="1"/>
  <c r="BA26" i="5"/>
  <c r="BD26" i="5"/>
  <c r="BE26" i="5" s="1"/>
  <c r="BA17" i="5"/>
  <c r="BD17" i="5"/>
  <c r="BE17" i="5" s="1"/>
  <c r="BA27" i="5"/>
  <c r="BD27" i="5"/>
  <c r="BE27" i="5" s="1"/>
  <c r="BA28" i="5"/>
  <c r="BD28" i="5"/>
  <c r="BE28" i="5" s="1"/>
  <c r="BA23" i="5"/>
  <c r="BD23" i="5"/>
  <c r="BE23" i="5" s="1"/>
  <c r="BA19" i="5"/>
  <c r="BD19" i="5"/>
  <c r="BE19" i="5" s="1"/>
  <c r="BA24" i="5"/>
  <c r="BD24" i="5"/>
  <c r="BE24" i="5" s="1"/>
  <c r="BA12" i="5"/>
  <c r="BD12" i="5"/>
  <c r="BE12" i="5" s="1"/>
  <c r="BA10" i="5"/>
  <c r="BD10" i="5"/>
  <c r="BE10" i="5" s="1"/>
  <c r="BA20" i="5"/>
  <c r="BD20" i="5"/>
  <c r="BE20" i="5" s="1"/>
  <c r="BA18" i="5"/>
  <c r="BD18" i="5"/>
  <c r="BE18" i="5" s="1"/>
  <c r="BA14" i="5"/>
  <c r="BD14" i="5"/>
  <c r="BE14" i="5" s="1"/>
  <c r="BA16" i="5"/>
  <c r="BD16" i="5"/>
  <c r="BE16" i="5" s="1"/>
  <c r="BA15" i="5"/>
  <c r="BD15" i="5"/>
  <c r="BE15" i="5" s="1"/>
  <c r="BA21" i="5"/>
  <c r="BD21" i="5"/>
  <c r="BE21" i="5" s="1"/>
  <c r="BA11" i="5"/>
  <c r="BD11" i="5"/>
  <c r="BE11" i="5" s="1"/>
  <c r="BA13" i="5"/>
  <c r="BD13" i="5"/>
  <c r="BE13" i="5" s="1"/>
  <c r="BA25" i="5"/>
  <c r="BD25" i="5"/>
  <c r="BE25" i="5" s="1"/>
  <c r="BA22" i="5"/>
  <c r="BD22" i="5"/>
  <c r="BE22" i="5" s="1"/>
  <c r="BA29" i="5"/>
  <c r="BD29" i="5"/>
  <c r="BE29" i="5" s="1"/>
  <c r="BA27" i="4"/>
  <c r="BD27" i="4"/>
  <c r="BE27" i="4" s="1"/>
  <c r="BA22" i="4"/>
  <c r="BD22" i="4"/>
  <c r="BE22" i="4" s="1"/>
  <c r="BA15" i="4"/>
  <c r="BD15" i="4"/>
  <c r="BE15" i="4" s="1"/>
  <c r="BA17" i="4"/>
  <c r="BD17" i="4"/>
  <c r="BE17" i="4" s="1"/>
  <c r="BA14" i="4"/>
  <c r="BD14" i="4"/>
  <c r="BE14" i="4" s="1"/>
  <c r="BA29" i="4"/>
  <c r="BD29" i="4"/>
  <c r="BE29" i="4" s="1"/>
  <c r="BA25" i="4"/>
  <c r="BD25" i="4"/>
  <c r="BE25" i="4" s="1"/>
  <c r="BA18" i="4"/>
  <c r="BD18" i="4"/>
  <c r="BE18" i="4" s="1"/>
  <c r="BA28" i="4"/>
  <c r="BD28" i="4"/>
  <c r="BE28" i="4" s="1"/>
  <c r="BA11" i="4"/>
  <c r="BD11" i="4"/>
  <c r="BE11" i="4" s="1"/>
  <c r="BA12" i="4"/>
  <c r="BD12" i="4"/>
  <c r="BE12" i="4" s="1"/>
  <c r="BA20" i="4"/>
  <c r="BD20" i="4"/>
  <c r="BE20" i="4" s="1"/>
  <c r="BA19" i="4"/>
  <c r="BD19" i="4"/>
  <c r="BE19" i="4" s="1"/>
  <c r="BA10" i="4"/>
  <c r="BD10" i="4"/>
  <c r="BE10" i="4" s="1"/>
  <c r="BA21" i="4"/>
  <c r="BD21" i="4"/>
  <c r="BE21" i="4" s="1"/>
  <c r="BA13" i="4"/>
  <c r="BD13" i="4"/>
  <c r="BE13" i="4" s="1"/>
  <c r="BA16" i="4"/>
  <c r="BD16" i="4"/>
  <c r="BE16" i="4" s="1"/>
  <c r="BA24" i="4"/>
  <c r="BD24" i="4"/>
  <c r="BE24" i="4" s="1"/>
  <c r="BA26" i="4"/>
  <c r="BD26" i="4"/>
  <c r="BE26" i="4" s="1"/>
  <c r="BA23" i="4"/>
  <c r="BD23" i="4"/>
  <c r="BE23" i="4" s="1"/>
  <c r="BA15" i="2"/>
  <c r="BD15" i="2"/>
  <c r="BE15" i="2" s="1"/>
  <c r="BD29" i="2"/>
  <c r="BE29" i="2" s="1"/>
  <c r="BA29" i="2"/>
  <c r="BA26" i="2"/>
  <c r="BD26" i="2"/>
  <c r="BE26" i="2" s="1"/>
  <c r="BA22" i="2"/>
  <c r="BD22" i="2"/>
  <c r="BE22" i="2" s="1"/>
  <c r="BD11" i="2"/>
  <c r="BE11" i="2" s="1"/>
  <c r="BA11" i="2"/>
  <c r="BA16" i="2"/>
  <c r="BD16" i="2"/>
  <c r="BE16" i="2" s="1"/>
  <c r="BA18" i="2"/>
  <c r="BD18" i="2"/>
  <c r="BE18" i="2" s="1"/>
  <c r="BA17" i="2"/>
  <c r="BD17" i="2"/>
  <c r="BE17" i="2" s="1"/>
  <c r="BA14" i="2"/>
  <c r="BD14" i="2"/>
  <c r="BE14" i="2" s="1"/>
  <c r="BA20" i="2"/>
  <c r="BD20" i="2"/>
  <c r="BE20" i="2" s="1"/>
  <c r="BD13" i="2"/>
  <c r="BE13" i="2" s="1"/>
  <c r="BA13" i="2"/>
  <c r="BA21" i="2"/>
  <c r="BD21" i="2"/>
  <c r="BE21" i="2" s="1"/>
  <c r="BD25" i="2"/>
  <c r="BE25" i="2" s="1"/>
  <c r="BA25" i="2"/>
  <c r="BD24" i="2"/>
  <c r="BE24" i="2" s="1"/>
  <c r="BA24" i="2"/>
  <c r="BA27" i="2"/>
  <c r="BD27" i="2"/>
  <c r="BE27" i="2" s="1"/>
  <c r="BA19" i="2"/>
  <c r="BD19" i="2"/>
  <c r="BE19" i="2" s="1"/>
  <c r="BA28" i="2"/>
  <c r="BD28" i="2"/>
  <c r="BE28" i="2" s="1"/>
  <c r="BA23" i="2"/>
  <c r="BD23" i="2"/>
  <c r="BE23" i="2" s="1"/>
  <c r="BD10" i="2"/>
  <c r="BE10" i="2" s="1"/>
  <c r="BA10" i="2"/>
  <c r="AX15" i="2"/>
  <c r="AV15" i="2"/>
  <c r="AV20" i="2"/>
  <c r="AX20" i="2"/>
  <c r="AX22" i="2"/>
  <c r="AV22" i="2"/>
  <c r="AX11" i="2"/>
  <c r="AV11" i="2"/>
  <c r="AV24" i="2"/>
  <c r="AX24" i="2"/>
  <c r="AX16" i="2"/>
  <c r="AV16" i="2"/>
  <c r="AX18" i="2"/>
  <c r="AV18" i="2"/>
  <c r="AV12" i="2"/>
  <c r="AX12" i="2"/>
  <c r="BA12" i="2"/>
  <c r="AV14" i="2"/>
  <c r="AX14" i="2"/>
  <c r="AX13" i="2"/>
  <c r="AV13" i="2"/>
  <c r="AX21" i="2"/>
  <c r="AV21" i="2"/>
  <c r="AV19" i="2"/>
  <c r="AX19" i="2"/>
  <c r="AV17" i="2"/>
  <c r="AX17" i="2"/>
  <c r="AX28" i="2"/>
  <c r="AV28" i="2"/>
  <c r="AV26" i="2"/>
  <c r="AX26" i="2"/>
  <c r="AX25" i="2"/>
  <c r="AV25" i="2"/>
  <c r="AX27" i="2"/>
  <c r="AV27" i="2"/>
  <c r="AV29" i="2"/>
  <c r="AX29" i="2"/>
  <c r="AY10" i="2"/>
  <c r="AY22" i="2"/>
  <c r="AY11" i="2"/>
  <c r="AY23" i="2"/>
  <c r="AY12" i="2"/>
  <c r="AY24" i="2"/>
  <c r="AY13" i="2"/>
  <c r="AY25" i="2"/>
  <c r="AY14" i="2"/>
  <c r="AY26" i="2"/>
  <c r="AY19" i="2"/>
  <c r="AY15" i="2"/>
  <c r="AY27" i="2"/>
  <c r="AY16" i="2"/>
  <c r="AY28" i="2"/>
  <c r="AY18" i="2"/>
  <c r="AY17" i="2"/>
  <c r="AY29" i="2"/>
  <c r="AY20" i="2"/>
  <c r="AY21" i="2"/>
  <c r="AV23" i="2"/>
  <c r="AX23" i="2"/>
</calcChain>
</file>

<file path=xl/sharedStrings.xml><?xml version="1.0" encoding="utf-8"?>
<sst xmlns="http://schemas.openxmlformats.org/spreadsheetml/2006/main" count="7039" uniqueCount="42">
  <si>
    <t>S No</t>
  </si>
  <si>
    <t>Name</t>
  </si>
  <si>
    <t>Employee ID</t>
  </si>
  <si>
    <t>Arav Sharma</t>
  </si>
  <si>
    <t>Sanvi Mehta</t>
  </si>
  <si>
    <t>vedant lyre</t>
  </si>
  <si>
    <t>Anyaa Kapoor</t>
  </si>
  <si>
    <t>Karan malohtra</t>
  </si>
  <si>
    <t>ishita joshi</t>
  </si>
  <si>
    <t>Rohan verma</t>
  </si>
  <si>
    <t>Nisha Gupta</t>
  </si>
  <si>
    <t>Arjun Patel</t>
  </si>
  <si>
    <t>Abij</t>
  </si>
  <si>
    <t>Katla</t>
  </si>
  <si>
    <t>fasle</t>
  </si>
  <si>
    <t>tajbid</t>
  </si>
  <si>
    <t>khamosh</t>
  </si>
  <si>
    <t>Sesra</t>
  </si>
  <si>
    <t>Maher</t>
  </si>
  <si>
    <t>Ratan</t>
  </si>
  <si>
    <t>Akrn</t>
  </si>
  <si>
    <t>Week off</t>
  </si>
  <si>
    <t xml:space="preserve">To </t>
  </si>
  <si>
    <t>From</t>
  </si>
  <si>
    <t>Barish</t>
  </si>
  <si>
    <t>Additional Information</t>
  </si>
  <si>
    <t>Days</t>
  </si>
  <si>
    <t>Present</t>
  </si>
  <si>
    <t>Absent</t>
  </si>
  <si>
    <t>Leave</t>
  </si>
  <si>
    <t>Weekoff</t>
  </si>
  <si>
    <t>Paid days</t>
  </si>
  <si>
    <t xml:space="preserve">Salary </t>
  </si>
  <si>
    <t xml:space="preserve">Per Day Salary </t>
  </si>
  <si>
    <t>Deduction</t>
  </si>
  <si>
    <t>Total Salary</t>
  </si>
  <si>
    <t>Sparkline</t>
  </si>
  <si>
    <t>Month</t>
  </si>
  <si>
    <t>P</t>
  </si>
  <si>
    <t>A</t>
  </si>
  <si>
    <t>L</t>
  </si>
  <si>
    <t>chaya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</si>
</sst>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"/>
    <numFmt numFmtId="165" formatCode="d\-m\-yyyy"/>
    <numFmt numFmtId="166" formatCode="_-* #,##0[$৳-845]_-;\-* #,##0[$৳-845]_-;_-* &quot;-&quot;??[$৳-845]_-;_-@_-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Abadi"/>
      <family val="2"/>
    </font>
    <font>
      <sz val="12"/>
      <color theme="1"/>
      <name val="Amasis MT Pro"/>
      <family val="1"/>
    </font>
    <font>
      <sz val="12"/>
      <name val="Amasis MT Pro"/>
      <family val="1"/>
    </font>
    <font>
      <sz val="12"/>
      <color theme="0"/>
      <name val="Amasis MT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165" fontId="0" fillId="0" borderId="0" xfId="0" applyNumberFormat="1"/>
    <xf numFmtId="0" fontId="5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5" fontId="5" fillId="7" borderId="0" xfId="0" applyNumberFormat="1" applyFont="1" applyFill="1" applyAlignment="1">
      <alignment horizontal="center"/>
    </xf>
    <xf numFmtId="0" fontId="5" fillId="7" borderId="0" xfId="0" applyNumberFormat="1" applyFont="1" applyFill="1" applyAlignment="1">
      <alignment horizontal="center"/>
    </xf>
    <xf numFmtId="164" fontId="3" fillId="4" borderId="0" xfId="0" applyNumberFormat="1" applyFont="1" applyFill="1" applyBorder="1" applyAlignment="1">
      <alignment horizontal="center"/>
    </xf>
    <xf numFmtId="0" fontId="3" fillId="7" borderId="0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164" fontId="3" fillId="4" borderId="8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164" fontId="3" fillId="4" borderId="24" xfId="0" applyNumberFormat="1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2" fillId="0" borderId="21" xfId="0" applyFont="1" applyBorder="1" applyAlignment="1">
      <alignment horizontal="center"/>
    </xf>
  </cellXfs>
  <cellStyles count="1">
    <cellStyle name="Normal" xfId="0" builtinId="0"/>
  </cellStyles>
  <dxfs count="384"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DB1B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66" formatCode="_-* #,##0[$৳-845]_-;\-* #,##0[$৳-845]_-;_-* &quot;-&quot;??[$৳-845]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DB1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51636</xdr:colOff>
      <xdr:row>0</xdr:row>
      <xdr:rowOff>0</xdr:rowOff>
    </xdr:from>
    <xdr:to>
      <xdr:col>42</xdr:col>
      <xdr:colOff>40822</xdr:colOff>
      <xdr:row>3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EC3CB53-931F-E64F-9B80-9533088E59EF}"/>
            </a:ext>
          </a:extLst>
        </xdr:cNvPr>
        <xdr:cNvSpPr/>
      </xdr:nvSpPr>
      <xdr:spPr>
        <a:xfrm>
          <a:off x="1276279" y="0"/>
          <a:ext cx="27448400" cy="61232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</xdr:colOff>
      <xdr:row>0</xdr:row>
      <xdr:rowOff>9524</xdr:rowOff>
    </xdr:from>
    <xdr:to>
      <xdr:col>3</xdr:col>
      <xdr:colOff>585107</xdr:colOff>
      <xdr:row>52</xdr:row>
      <xdr:rowOff>149679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AE2387A-8147-227B-ADA2-E1F730BB52E5}"/>
            </a:ext>
          </a:extLst>
        </xdr:cNvPr>
        <xdr:cNvSpPr/>
      </xdr:nvSpPr>
      <xdr:spPr>
        <a:xfrm>
          <a:off x="9525" y="9524"/>
          <a:ext cx="2412546" cy="10753726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noFill/>
            </a:ln>
          </a:endParaRPr>
        </a:p>
      </xdr:txBody>
    </xdr:sp>
    <xdr:clientData/>
  </xdr:twoCellAnchor>
  <xdr:twoCellAnchor>
    <xdr:from>
      <xdr:col>1</xdr:col>
      <xdr:colOff>257736</xdr:colOff>
      <xdr:row>1</xdr:row>
      <xdr:rowOff>133350</xdr:rowOff>
    </xdr:from>
    <xdr:to>
      <xdr:col>5</xdr:col>
      <xdr:colOff>400611</xdr:colOff>
      <xdr:row>4</xdr:row>
      <xdr:rowOff>47625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E989DE-521D-B7F8-4F68-BAAAF5785B50}"/>
            </a:ext>
          </a:extLst>
        </xdr:cNvPr>
        <xdr:cNvSpPr/>
      </xdr:nvSpPr>
      <xdr:spPr>
        <a:xfrm>
          <a:off x="862854" y="323850"/>
          <a:ext cx="2563345" cy="48577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January</a:t>
          </a:r>
        </a:p>
      </xdr:txBody>
    </xdr:sp>
    <xdr:clientData/>
  </xdr:twoCellAnchor>
  <xdr:twoCellAnchor>
    <xdr:from>
      <xdr:col>0</xdr:col>
      <xdr:colOff>0</xdr:colOff>
      <xdr:row>4</xdr:row>
      <xdr:rowOff>180415</xdr:rowOff>
    </xdr:from>
    <xdr:to>
      <xdr:col>4</xdr:col>
      <xdr:colOff>138392</xdr:colOff>
      <xdr:row>7</xdr:row>
      <xdr:rowOff>94690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64DAFC-C19F-4333-8427-C582DB6311F7}"/>
            </a:ext>
          </a:extLst>
        </xdr:cNvPr>
        <xdr:cNvSpPr/>
      </xdr:nvSpPr>
      <xdr:spPr>
        <a:xfrm>
          <a:off x="0" y="996844"/>
          <a:ext cx="2587678" cy="526596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Feb</a:t>
          </a:r>
        </a:p>
      </xdr:txBody>
    </xdr:sp>
    <xdr:clientData/>
  </xdr:twoCellAnchor>
  <xdr:twoCellAnchor>
    <xdr:from>
      <xdr:col>0</xdr:col>
      <xdr:colOff>0</xdr:colOff>
      <xdr:row>8</xdr:row>
      <xdr:rowOff>8965</xdr:rowOff>
    </xdr:from>
    <xdr:to>
      <xdr:col>4</xdr:col>
      <xdr:colOff>142874</xdr:colOff>
      <xdr:row>10</xdr:row>
      <xdr:rowOff>113740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F9A3A2-A1C8-4AC4-9241-E94579C8CC72}"/>
            </a:ext>
          </a:extLst>
        </xdr:cNvPr>
        <xdr:cNvSpPr/>
      </xdr:nvSpPr>
      <xdr:spPr>
        <a:xfrm>
          <a:off x="0" y="1532965"/>
          <a:ext cx="2563345" cy="4857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March</a:t>
          </a:r>
        </a:p>
      </xdr:txBody>
    </xdr:sp>
    <xdr:clientData/>
  </xdr:twoCellAnchor>
  <xdr:twoCellAnchor>
    <xdr:from>
      <xdr:col>0</xdr:col>
      <xdr:colOff>0</xdr:colOff>
      <xdr:row>11</xdr:row>
      <xdr:rowOff>75640</xdr:rowOff>
    </xdr:from>
    <xdr:to>
      <xdr:col>4</xdr:col>
      <xdr:colOff>138392</xdr:colOff>
      <xdr:row>13</xdr:row>
      <xdr:rowOff>180415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C75A90B-2668-4241-B879-4C42F12E1E6B}"/>
            </a:ext>
          </a:extLst>
        </xdr:cNvPr>
        <xdr:cNvSpPr/>
      </xdr:nvSpPr>
      <xdr:spPr>
        <a:xfrm>
          <a:off x="0" y="2171140"/>
          <a:ext cx="2558863" cy="4857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April</a:t>
          </a:r>
        </a:p>
      </xdr:txBody>
    </xdr:sp>
    <xdr:clientData/>
  </xdr:twoCellAnchor>
  <xdr:twoCellAnchor>
    <xdr:from>
      <xdr:col>0</xdr:col>
      <xdr:colOff>0</xdr:colOff>
      <xdr:row>14</xdr:row>
      <xdr:rowOff>123265</xdr:rowOff>
    </xdr:from>
    <xdr:to>
      <xdr:col>4</xdr:col>
      <xdr:colOff>138392</xdr:colOff>
      <xdr:row>17</xdr:row>
      <xdr:rowOff>37540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5E6466C-F6C7-4FD4-A968-BCECE70E2F83}"/>
            </a:ext>
          </a:extLst>
        </xdr:cNvPr>
        <xdr:cNvSpPr/>
      </xdr:nvSpPr>
      <xdr:spPr>
        <a:xfrm>
          <a:off x="0" y="2790265"/>
          <a:ext cx="2558863" cy="4857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151840</xdr:rowOff>
    </xdr:from>
    <xdr:to>
      <xdr:col>4</xdr:col>
      <xdr:colOff>157442</xdr:colOff>
      <xdr:row>20</xdr:row>
      <xdr:rowOff>66115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4591F73-AAEC-4D39-8652-F1397AD8B25F}"/>
            </a:ext>
          </a:extLst>
        </xdr:cNvPr>
        <xdr:cNvSpPr/>
      </xdr:nvSpPr>
      <xdr:spPr>
        <a:xfrm>
          <a:off x="19050" y="3390340"/>
          <a:ext cx="2558863" cy="4857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June</a:t>
          </a:r>
        </a:p>
      </xdr:txBody>
    </xdr:sp>
    <xdr:clientData/>
  </xdr:twoCellAnchor>
  <xdr:twoCellAnchor>
    <xdr:from>
      <xdr:col>0</xdr:col>
      <xdr:colOff>9525</xdr:colOff>
      <xdr:row>20</xdr:row>
      <xdr:rowOff>189940</xdr:rowOff>
    </xdr:from>
    <xdr:to>
      <xdr:col>4</xdr:col>
      <xdr:colOff>147917</xdr:colOff>
      <xdr:row>23</xdr:row>
      <xdr:rowOff>104215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9AC27AC-2670-43C9-B3D9-D53F466F53D3}"/>
            </a:ext>
          </a:extLst>
        </xdr:cNvPr>
        <xdr:cNvSpPr/>
      </xdr:nvSpPr>
      <xdr:spPr>
        <a:xfrm>
          <a:off x="9525" y="3999940"/>
          <a:ext cx="2558863" cy="4857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July</a:t>
          </a:r>
        </a:p>
      </xdr:txBody>
    </xdr:sp>
    <xdr:clientData/>
  </xdr:twoCellAnchor>
  <xdr:twoCellAnchor>
    <xdr:from>
      <xdr:col>0</xdr:col>
      <xdr:colOff>9525</xdr:colOff>
      <xdr:row>24</xdr:row>
      <xdr:rowOff>47065</xdr:rowOff>
    </xdr:from>
    <xdr:to>
      <xdr:col>4</xdr:col>
      <xdr:colOff>147917</xdr:colOff>
      <xdr:row>26</xdr:row>
      <xdr:rowOff>151840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C8F7F7F-5B8B-4F7F-A6B0-9E6E9B11C8FE}"/>
            </a:ext>
          </a:extLst>
        </xdr:cNvPr>
        <xdr:cNvSpPr/>
      </xdr:nvSpPr>
      <xdr:spPr>
        <a:xfrm>
          <a:off x="9525" y="4619065"/>
          <a:ext cx="2558863" cy="4857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August</a:t>
          </a:r>
        </a:p>
      </xdr:txBody>
    </xdr:sp>
    <xdr:clientData/>
  </xdr:twoCellAnchor>
  <xdr:twoCellAnchor>
    <xdr:from>
      <xdr:col>0</xdr:col>
      <xdr:colOff>9525</xdr:colOff>
      <xdr:row>27</xdr:row>
      <xdr:rowOff>94690</xdr:rowOff>
    </xdr:from>
    <xdr:to>
      <xdr:col>4</xdr:col>
      <xdr:colOff>147917</xdr:colOff>
      <xdr:row>30</xdr:row>
      <xdr:rowOff>8965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E6BEE97-C98D-437F-B1DF-CC71D0B949B1}"/>
            </a:ext>
          </a:extLst>
        </xdr:cNvPr>
        <xdr:cNvSpPr/>
      </xdr:nvSpPr>
      <xdr:spPr>
        <a:xfrm>
          <a:off x="9525" y="5238190"/>
          <a:ext cx="2558863" cy="4857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September</a:t>
          </a:r>
        </a:p>
      </xdr:txBody>
    </xdr:sp>
    <xdr:clientData/>
  </xdr:twoCellAnchor>
  <xdr:twoCellAnchor>
    <xdr:from>
      <xdr:col>0</xdr:col>
      <xdr:colOff>19050</xdr:colOff>
      <xdr:row>30</xdr:row>
      <xdr:rowOff>113740</xdr:rowOff>
    </xdr:from>
    <xdr:to>
      <xdr:col>4</xdr:col>
      <xdr:colOff>157442</xdr:colOff>
      <xdr:row>33</xdr:row>
      <xdr:rowOff>28015</xdr:rowOff>
    </xdr:to>
    <xdr:sp macro="" textlink="">
      <xdr:nvSpPr>
        <xdr:cNvPr id="12" name="Rectangle: Rounded Corner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A1DD45F-B43F-44E0-876F-A3650F4A15E8}"/>
            </a:ext>
          </a:extLst>
        </xdr:cNvPr>
        <xdr:cNvSpPr/>
      </xdr:nvSpPr>
      <xdr:spPr>
        <a:xfrm>
          <a:off x="19050" y="5828740"/>
          <a:ext cx="2558863" cy="4857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October</a:t>
          </a:r>
        </a:p>
      </xdr:txBody>
    </xdr:sp>
    <xdr:clientData/>
  </xdr:twoCellAnchor>
  <xdr:twoCellAnchor>
    <xdr:from>
      <xdr:col>0</xdr:col>
      <xdr:colOff>9525</xdr:colOff>
      <xdr:row>33</xdr:row>
      <xdr:rowOff>161365</xdr:rowOff>
    </xdr:from>
    <xdr:to>
      <xdr:col>4</xdr:col>
      <xdr:colOff>147917</xdr:colOff>
      <xdr:row>36</xdr:row>
      <xdr:rowOff>75640</xdr:rowOff>
    </xdr:to>
    <xdr:sp macro="" textlink="">
      <xdr:nvSpPr>
        <xdr:cNvPr id="13" name="Rectangle: Rounded Corner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301FFAB-8E5E-4708-A9B8-4C1B25065391}"/>
            </a:ext>
          </a:extLst>
        </xdr:cNvPr>
        <xdr:cNvSpPr/>
      </xdr:nvSpPr>
      <xdr:spPr>
        <a:xfrm>
          <a:off x="9525" y="6447865"/>
          <a:ext cx="2558863" cy="4857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November</a:t>
          </a:r>
        </a:p>
      </xdr:txBody>
    </xdr:sp>
    <xdr:clientData/>
  </xdr:twoCellAnchor>
  <xdr:twoCellAnchor>
    <xdr:from>
      <xdr:col>0</xdr:col>
      <xdr:colOff>0</xdr:colOff>
      <xdr:row>37</xdr:row>
      <xdr:rowOff>47065</xdr:rowOff>
    </xdr:from>
    <xdr:to>
      <xdr:col>4</xdr:col>
      <xdr:colOff>138392</xdr:colOff>
      <xdr:row>39</xdr:row>
      <xdr:rowOff>151840</xdr:rowOff>
    </xdr:to>
    <xdr:sp macro="" textlink="">
      <xdr:nvSpPr>
        <xdr:cNvPr id="14" name="Rectangle: Rounded Corners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F0A96BE-0249-43B4-921E-EE3A959DD0DA}"/>
            </a:ext>
          </a:extLst>
        </xdr:cNvPr>
        <xdr:cNvSpPr/>
      </xdr:nvSpPr>
      <xdr:spPr>
        <a:xfrm>
          <a:off x="0" y="7095565"/>
          <a:ext cx="2558863" cy="4857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December</a:t>
          </a:r>
        </a:p>
      </xdr:txBody>
    </xdr:sp>
    <xdr:clientData/>
  </xdr:twoCellAnchor>
  <xdr:twoCellAnchor>
    <xdr:from>
      <xdr:col>42</xdr:col>
      <xdr:colOff>13607</xdr:colOff>
      <xdr:row>0</xdr:row>
      <xdr:rowOff>0</xdr:rowOff>
    </xdr:from>
    <xdr:to>
      <xdr:col>59</xdr:col>
      <xdr:colOff>13607</xdr:colOff>
      <xdr:row>3</xdr:row>
      <xdr:rowOff>11205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1E108D2-9C15-3E33-95D7-C7E992D0962F}"/>
            </a:ext>
          </a:extLst>
        </xdr:cNvPr>
        <xdr:cNvSpPr/>
      </xdr:nvSpPr>
      <xdr:spPr>
        <a:xfrm>
          <a:off x="28697464" y="0"/>
          <a:ext cx="15253607" cy="62352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ln>
                <a:noFill/>
              </a:ln>
              <a:solidFill>
                <a:schemeClr val="tx1"/>
              </a:solidFill>
            </a:rPr>
            <a:t>Monthly Report </a:t>
          </a:r>
        </a:p>
      </xdr:txBody>
    </xdr:sp>
    <xdr:clientData/>
  </xdr:twoCellAnchor>
  <xdr:twoCellAnchor>
    <xdr:from>
      <xdr:col>5</xdr:col>
      <xdr:colOff>571500</xdr:colOff>
      <xdr:row>0</xdr:row>
      <xdr:rowOff>145676</xdr:rowOff>
    </xdr:from>
    <xdr:to>
      <xdr:col>7</xdr:col>
      <xdr:colOff>874059</xdr:colOff>
      <xdr:row>2</xdr:row>
      <xdr:rowOff>56029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972A0D4-D21F-6324-50D0-8A26E14310E1}"/>
            </a:ext>
          </a:extLst>
        </xdr:cNvPr>
        <xdr:cNvSpPr txBox="1"/>
      </xdr:nvSpPr>
      <xdr:spPr>
        <a:xfrm>
          <a:off x="3597088" y="145676"/>
          <a:ext cx="1524000" cy="313765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From</a:t>
          </a:r>
        </a:p>
      </xdr:txBody>
    </xdr:sp>
    <xdr:clientData/>
  </xdr:twoCellAnchor>
  <xdr:twoCellAnchor>
    <xdr:from>
      <xdr:col>7</xdr:col>
      <xdr:colOff>885265</xdr:colOff>
      <xdr:row>0</xdr:row>
      <xdr:rowOff>145676</xdr:rowOff>
    </xdr:from>
    <xdr:to>
      <xdr:col>8</xdr:col>
      <xdr:colOff>593911</xdr:colOff>
      <xdr:row>2</xdr:row>
      <xdr:rowOff>56029</xdr:rowOff>
    </xdr:to>
    <xdr:sp macro="" textlink="$H$6">
      <xdr:nvSpPr>
        <xdr:cNvPr id="18" name="TextBox 17">
          <a:extLst>
            <a:ext uri="{FF2B5EF4-FFF2-40B4-BE49-F238E27FC236}">
              <a16:creationId xmlns:a16="http://schemas.microsoft.com/office/drawing/2014/main" id="{F4BB3AA9-A400-4DB1-ABD9-7F1E70113654}"/>
            </a:ext>
          </a:extLst>
        </xdr:cNvPr>
        <xdr:cNvSpPr txBox="1"/>
      </xdr:nvSpPr>
      <xdr:spPr>
        <a:xfrm>
          <a:off x="5132294" y="145676"/>
          <a:ext cx="1501588" cy="3137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4FAE0827-8A19-483B-A3A8-823BC530720B}" type="TxLink">
            <a:rPr lang="en-US" sz="1600" b="1" i="0" u="none" strike="noStrike">
              <a:solidFill>
                <a:srgbClr val="000000"/>
              </a:solidFill>
              <a:latin typeface="Amasis MT Pro"/>
            </a:rPr>
            <a:pPr algn="ctr"/>
            <a:t>1-Jan-25</a:t>
          </a:fld>
          <a:endParaRPr lang="en-US" sz="1600" b="1"/>
        </a:p>
      </xdr:txBody>
    </xdr:sp>
    <xdr:clientData/>
  </xdr:twoCellAnchor>
  <xdr:twoCellAnchor>
    <xdr:from>
      <xdr:col>13</xdr:col>
      <xdr:colOff>410135</xdr:colOff>
      <xdr:row>0</xdr:row>
      <xdr:rowOff>118782</xdr:rowOff>
    </xdr:from>
    <xdr:to>
      <xdr:col>16</xdr:col>
      <xdr:colOff>85165</xdr:colOff>
      <xdr:row>2</xdr:row>
      <xdr:rowOff>29135</xdr:rowOff>
    </xdr:to>
    <xdr:sp macro="" textlink="$M$6">
      <xdr:nvSpPr>
        <xdr:cNvPr id="19" name="TextBox 18">
          <a:extLst>
            <a:ext uri="{FF2B5EF4-FFF2-40B4-BE49-F238E27FC236}">
              <a16:creationId xmlns:a16="http://schemas.microsoft.com/office/drawing/2014/main" id="{0A68C9AE-E510-4014-A70F-F63D9B7009F9}"/>
            </a:ext>
          </a:extLst>
        </xdr:cNvPr>
        <xdr:cNvSpPr txBox="1"/>
      </xdr:nvSpPr>
      <xdr:spPr>
        <a:xfrm>
          <a:off x="10439400" y="118782"/>
          <a:ext cx="1524000" cy="3137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CF0DC84-B8FC-49E0-B45A-C37B36E5F7EF}" type="TxLink">
            <a:rPr lang="en-US" sz="1600" b="1" i="0" u="none" strike="noStrike">
              <a:solidFill>
                <a:srgbClr val="000000"/>
              </a:solidFill>
              <a:latin typeface="Amasis MT Pro"/>
            </a:rPr>
            <a:pPr algn="ctr"/>
            <a:t>31-Jan-25</a:t>
          </a:fld>
          <a:endParaRPr lang="en-US" sz="1600" b="1"/>
        </a:p>
      </xdr:txBody>
    </xdr:sp>
    <xdr:clientData/>
  </xdr:twoCellAnchor>
  <xdr:twoCellAnchor>
    <xdr:from>
      <xdr:col>11</xdr:col>
      <xdr:colOff>392206</xdr:colOff>
      <xdr:row>0</xdr:row>
      <xdr:rowOff>118782</xdr:rowOff>
    </xdr:from>
    <xdr:to>
      <xdr:col>13</xdr:col>
      <xdr:colOff>403410</xdr:colOff>
      <xdr:row>2</xdr:row>
      <xdr:rowOff>29135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012A653-57E3-456B-BEDB-4479A73E0C7F}"/>
            </a:ext>
          </a:extLst>
        </xdr:cNvPr>
        <xdr:cNvSpPr txBox="1"/>
      </xdr:nvSpPr>
      <xdr:spPr>
        <a:xfrm>
          <a:off x="8886265" y="118782"/>
          <a:ext cx="1546410" cy="313765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To</a:t>
          </a:r>
        </a:p>
      </xdr:txBody>
    </xdr:sp>
    <xdr:clientData/>
  </xdr:twoCellAnchor>
  <xdr:twoCellAnchor>
    <xdr:from>
      <xdr:col>16</xdr:col>
      <xdr:colOff>326571</xdr:colOff>
      <xdr:row>0</xdr:row>
      <xdr:rowOff>136071</xdr:rowOff>
    </xdr:from>
    <xdr:to>
      <xdr:col>28</xdr:col>
      <xdr:colOff>598714</xdr:colOff>
      <xdr:row>2</xdr:row>
      <xdr:rowOff>40822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A1C06D0F-185A-FA45-78FD-58FDDB3B1E94}"/>
            </a:ext>
          </a:extLst>
        </xdr:cNvPr>
        <xdr:cNvSpPr/>
      </xdr:nvSpPr>
      <xdr:spPr>
        <a:xfrm>
          <a:off x="12300857" y="136071"/>
          <a:ext cx="7783286" cy="31296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340180</xdr:colOff>
      <xdr:row>0</xdr:row>
      <xdr:rowOff>180975</xdr:rowOff>
    </xdr:from>
    <xdr:to>
      <xdr:col>25</xdr:col>
      <xdr:colOff>190501</xdr:colOff>
      <xdr:row>2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2EFD218-0CFE-C765-DA0B-3F853243A138}"/>
            </a:ext>
          </a:extLst>
        </xdr:cNvPr>
        <xdr:cNvSpPr txBox="1"/>
      </xdr:nvSpPr>
      <xdr:spPr>
        <a:xfrm>
          <a:off x="12255955" y="180975"/>
          <a:ext cx="5422446" cy="2286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/>
            <a:t>Dashboard</a:t>
          </a:r>
          <a:r>
            <a:rPr lang="en-US" sz="2400" b="1" baseline="0"/>
            <a:t> for the month of </a:t>
          </a:r>
          <a:endParaRPr lang="en-US" sz="2400" b="1"/>
        </a:p>
      </xdr:txBody>
    </xdr:sp>
    <xdr:clientData/>
  </xdr:twoCellAnchor>
  <xdr:twoCellAnchor editAs="oneCell">
    <xdr:from>
      <xdr:col>27</xdr:col>
      <xdr:colOff>590340</xdr:colOff>
      <xdr:row>0</xdr:row>
      <xdr:rowOff>131884</xdr:rowOff>
    </xdr:from>
    <xdr:to>
      <xdr:col>29</xdr:col>
      <xdr:colOff>1231</xdr:colOff>
      <xdr:row>2</xdr:row>
      <xdr:rowOff>73269</xdr:rowOff>
    </xdr:to>
    <xdr:pic>
      <xdr:nvPicPr>
        <xdr:cNvPr id="24" name="Graphic 23" descr="Magnifying glass with solid fill">
          <a:extLst>
            <a:ext uri="{FF2B5EF4-FFF2-40B4-BE49-F238E27FC236}">
              <a16:creationId xmlns:a16="http://schemas.microsoft.com/office/drawing/2014/main" id="{A3457EC7-20CE-23BE-D602-82A3F20CA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9369244" y="131884"/>
          <a:ext cx="650002" cy="337039"/>
        </a:xfrm>
        <a:prstGeom prst="rect">
          <a:avLst/>
        </a:prstGeom>
      </xdr:spPr>
    </xdr:pic>
    <xdr:clientData/>
  </xdr:twoCellAnchor>
  <xdr:twoCellAnchor>
    <xdr:from>
      <xdr:col>23</xdr:col>
      <xdr:colOff>600075</xdr:colOff>
      <xdr:row>0</xdr:row>
      <xdr:rowOff>142875</xdr:rowOff>
    </xdr:from>
    <xdr:to>
      <xdr:col>26</xdr:col>
      <xdr:colOff>542925</xdr:colOff>
      <xdr:row>2</xdr:row>
      <xdr:rowOff>19050</xdr:rowOff>
    </xdr:to>
    <xdr:sp macro="" textlink="$J$6">
      <xdr:nvSpPr>
        <xdr:cNvPr id="25" name="TextBox 24">
          <a:extLst>
            <a:ext uri="{FF2B5EF4-FFF2-40B4-BE49-F238E27FC236}">
              <a16:creationId xmlns:a16="http://schemas.microsoft.com/office/drawing/2014/main" id="{D2B6FAD9-A009-89FD-5E0D-63ABE9D30551}"/>
            </a:ext>
          </a:extLst>
        </xdr:cNvPr>
        <xdr:cNvSpPr txBox="1"/>
      </xdr:nvSpPr>
      <xdr:spPr>
        <a:xfrm>
          <a:off x="16849725" y="142875"/>
          <a:ext cx="1800225" cy="276225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C2C24BA-C070-4B66-A11F-4012E2591220}" type="TxLink">
            <a:rPr lang="en-US" sz="1600" b="1" i="0" u="none" strike="noStrike">
              <a:solidFill>
                <a:srgbClr val="000000"/>
              </a:solidFill>
              <a:latin typeface="Amasis MT Pro"/>
            </a:rPr>
            <a:pPr algn="ctr"/>
            <a:t>January</a:t>
          </a:fld>
          <a:endParaRPr lang="en-US" sz="1600" b="1"/>
        </a:p>
      </xdr:txBody>
    </xdr:sp>
    <xdr:clientData/>
  </xdr:twoCellAnchor>
  <xdr:twoCellAnchor>
    <xdr:from>
      <xdr:col>30</xdr:col>
      <xdr:colOff>59121</xdr:colOff>
      <xdr:row>0</xdr:row>
      <xdr:rowOff>111673</xdr:rowOff>
    </xdr:from>
    <xdr:to>
      <xdr:col>30</xdr:col>
      <xdr:colOff>407277</xdr:colOff>
      <xdr:row>2</xdr:row>
      <xdr:rowOff>39415</xdr:rowOff>
    </xdr:to>
    <xdr:sp macro="" textlink="">
      <xdr:nvSpPr>
        <xdr:cNvPr id="27" name="Flowchart: Or 26">
          <a:extLst>
            <a:ext uri="{FF2B5EF4-FFF2-40B4-BE49-F238E27FC236}">
              <a16:creationId xmlns:a16="http://schemas.microsoft.com/office/drawing/2014/main" id="{6ACF6522-90E9-68DF-14BE-24945085886A}"/>
            </a:ext>
          </a:extLst>
        </xdr:cNvPr>
        <xdr:cNvSpPr/>
      </xdr:nvSpPr>
      <xdr:spPr>
        <a:xfrm>
          <a:off x="21060104" y="111673"/>
          <a:ext cx="348156" cy="321880"/>
        </a:xfrm>
        <a:prstGeom prst="flowChartOr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420413</xdr:colOff>
      <xdr:row>0</xdr:row>
      <xdr:rowOff>91966</xdr:rowOff>
    </xdr:from>
    <xdr:to>
      <xdr:col>32</xdr:col>
      <xdr:colOff>170793</xdr:colOff>
      <xdr:row>2</xdr:row>
      <xdr:rowOff>78827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B6818A9-BF9E-095F-4BEC-04C0105BF9D9}"/>
            </a:ext>
          </a:extLst>
        </xdr:cNvPr>
        <xdr:cNvSpPr/>
      </xdr:nvSpPr>
      <xdr:spPr>
        <a:xfrm>
          <a:off x="21421396" y="91966"/>
          <a:ext cx="985345" cy="380999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Present</a:t>
          </a:r>
        </a:p>
      </xdr:txBody>
    </xdr:sp>
    <xdr:clientData/>
  </xdr:twoCellAnchor>
  <xdr:twoCellAnchor>
    <xdr:from>
      <xdr:col>32</xdr:col>
      <xdr:colOff>441436</xdr:colOff>
      <xdr:row>0</xdr:row>
      <xdr:rowOff>126124</xdr:rowOff>
    </xdr:from>
    <xdr:to>
      <xdr:col>33</xdr:col>
      <xdr:colOff>172109</xdr:colOff>
      <xdr:row>2</xdr:row>
      <xdr:rowOff>53866</xdr:rowOff>
    </xdr:to>
    <xdr:sp macro="" textlink="">
      <xdr:nvSpPr>
        <xdr:cNvPr id="35" name="Flowchart: Or 34">
          <a:extLst>
            <a:ext uri="{FF2B5EF4-FFF2-40B4-BE49-F238E27FC236}">
              <a16:creationId xmlns:a16="http://schemas.microsoft.com/office/drawing/2014/main" id="{B8A5ECB8-6472-4120-BEE1-834CBF0309E1}"/>
            </a:ext>
          </a:extLst>
        </xdr:cNvPr>
        <xdr:cNvSpPr/>
      </xdr:nvSpPr>
      <xdr:spPr>
        <a:xfrm>
          <a:off x="22677384" y="126124"/>
          <a:ext cx="348156" cy="321880"/>
        </a:xfrm>
        <a:prstGeom prst="flowChar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185245</xdr:colOff>
      <xdr:row>0</xdr:row>
      <xdr:rowOff>106417</xdr:rowOff>
    </xdr:from>
    <xdr:to>
      <xdr:col>34</xdr:col>
      <xdr:colOff>553107</xdr:colOff>
      <xdr:row>2</xdr:row>
      <xdr:rowOff>93278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88E96095-E323-4F96-A0E9-F4EB5FC3B134}"/>
            </a:ext>
          </a:extLst>
        </xdr:cNvPr>
        <xdr:cNvSpPr/>
      </xdr:nvSpPr>
      <xdr:spPr>
        <a:xfrm>
          <a:off x="23038676" y="106417"/>
          <a:ext cx="985345" cy="380999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Absent</a:t>
          </a:r>
        </a:p>
      </xdr:txBody>
    </xdr:sp>
    <xdr:clientData/>
  </xdr:twoCellAnchor>
  <xdr:twoCellAnchor>
    <xdr:from>
      <xdr:col>35</xdr:col>
      <xdr:colOff>173421</xdr:colOff>
      <xdr:row>0</xdr:row>
      <xdr:rowOff>114299</xdr:rowOff>
    </xdr:from>
    <xdr:to>
      <xdr:col>35</xdr:col>
      <xdr:colOff>521577</xdr:colOff>
      <xdr:row>2</xdr:row>
      <xdr:rowOff>42041</xdr:rowOff>
    </xdr:to>
    <xdr:sp macro="" textlink="">
      <xdr:nvSpPr>
        <xdr:cNvPr id="37" name="Flowchart: Or 36">
          <a:extLst>
            <a:ext uri="{FF2B5EF4-FFF2-40B4-BE49-F238E27FC236}">
              <a16:creationId xmlns:a16="http://schemas.microsoft.com/office/drawing/2014/main" id="{27D4608C-B962-4D65-80F3-E89800437419}"/>
            </a:ext>
          </a:extLst>
        </xdr:cNvPr>
        <xdr:cNvSpPr/>
      </xdr:nvSpPr>
      <xdr:spPr>
        <a:xfrm>
          <a:off x="24261818" y="114299"/>
          <a:ext cx="348156" cy="321880"/>
        </a:xfrm>
        <a:prstGeom prst="flowChartOr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534713</xdr:colOff>
      <xdr:row>0</xdr:row>
      <xdr:rowOff>94592</xdr:rowOff>
    </xdr:from>
    <xdr:to>
      <xdr:col>37</xdr:col>
      <xdr:colOff>285093</xdr:colOff>
      <xdr:row>2</xdr:row>
      <xdr:rowOff>81453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8C648005-156B-42AC-8F20-349E11998824}"/>
            </a:ext>
          </a:extLst>
        </xdr:cNvPr>
        <xdr:cNvSpPr/>
      </xdr:nvSpPr>
      <xdr:spPr>
        <a:xfrm>
          <a:off x="24623110" y="94592"/>
          <a:ext cx="985345" cy="380999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Leave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51636</xdr:colOff>
      <xdr:row>0</xdr:row>
      <xdr:rowOff>0</xdr:rowOff>
    </xdr:from>
    <xdr:to>
      <xdr:col>42</xdr:col>
      <xdr:colOff>0</xdr:colOff>
      <xdr:row>2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A65856E-9DFA-4F0B-BDCC-07DC6A1DFF9C}"/>
            </a:ext>
          </a:extLst>
        </xdr:cNvPr>
        <xdr:cNvSpPr/>
      </xdr:nvSpPr>
      <xdr:spPr>
        <a:xfrm>
          <a:off x="1270836" y="0"/>
          <a:ext cx="27170814" cy="581025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</xdr:colOff>
      <xdr:row>0</xdr:row>
      <xdr:rowOff>9522</xdr:rowOff>
    </xdr:from>
    <xdr:to>
      <xdr:col>4</xdr:col>
      <xdr:colOff>40821</xdr:colOff>
      <xdr:row>70</xdr:row>
      <xdr:rowOff>68035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BEBB799-BF8A-4C30-8AAE-8CCA7193EBD7}"/>
            </a:ext>
          </a:extLst>
        </xdr:cNvPr>
        <xdr:cNvSpPr/>
      </xdr:nvSpPr>
      <xdr:spPr>
        <a:xfrm>
          <a:off x="9525" y="9522"/>
          <a:ext cx="2480582" cy="14346013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noFill/>
            </a:ln>
          </a:endParaRPr>
        </a:p>
      </xdr:txBody>
    </xdr:sp>
    <xdr:clientData/>
  </xdr:twoCellAnchor>
  <xdr:twoCellAnchor>
    <xdr:from>
      <xdr:col>0</xdr:col>
      <xdr:colOff>0</xdr:colOff>
      <xdr:row>1</xdr:row>
      <xdr:rowOff>167987</xdr:rowOff>
    </xdr:from>
    <xdr:to>
      <xdr:col>4</xdr:col>
      <xdr:colOff>142876</xdr:colOff>
      <xdr:row>4</xdr:row>
      <xdr:rowOff>82262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6B0FCE-D7AA-4891-81B1-2A011447CFFE}"/>
            </a:ext>
          </a:extLst>
        </xdr:cNvPr>
        <xdr:cNvSpPr/>
      </xdr:nvSpPr>
      <xdr:spPr>
        <a:xfrm>
          <a:off x="0" y="375805"/>
          <a:ext cx="2567421" cy="53773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January</a:t>
          </a:r>
        </a:p>
      </xdr:txBody>
    </xdr:sp>
    <xdr:clientData/>
  </xdr:twoCellAnchor>
  <xdr:twoCellAnchor>
    <xdr:from>
      <xdr:col>1</xdr:col>
      <xdr:colOff>294409</xdr:colOff>
      <xdr:row>4</xdr:row>
      <xdr:rowOff>180415</xdr:rowOff>
    </xdr:from>
    <xdr:to>
      <xdr:col>5</xdr:col>
      <xdr:colOff>432800</xdr:colOff>
      <xdr:row>7</xdr:row>
      <xdr:rowOff>94690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0227B4-2DAE-4EE0-88C1-956046F01D05}"/>
            </a:ext>
          </a:extLst>
        </xdr:cNvPr>
        <xdr:cNvSpPr/>
      </xdr:nvSpPr>
      <xdr:spPr>
        <a:xfrm>
          <a:off x="900545" y="1011688"/>
          <a:ext cx="2562937" cy="537729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Feb</a:t>
          </a:r>
        </a:p>
      </xdr:txBody>
    </xdr:sp>
    <xdr:clientData/>
  </xdr:twoCellAnchor>
  <xdr:twoCellAnchor>
    <xdr:from>
      <xdr:col>0</xdr:col>
      <xdr:colOff>0</xdr:colOff>
      <xdr:row>8</xdr:row>
      <xdr:rowOff>8965</xdr:rowOff>
    </xdr:from>
    <xdr:to>
      <xdr:col>4</xdr:col>
      <xdr:colOff>142874</xdr:colOff>
      <xdr:row>10</xdr:row>
      <xdr:rowOff>113740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548BBAF-94C4-4C60-8C0D-F38C16C22ED1}"/>
            </a:ext>
          </a:extLst>
        </xdr:cNvPr>
        <xdr:cNvSpPr/>
      </xdr:nvSpPr>
      <xdr:spPr>
        <a:xfrm>
          <a:off x="0" y="1609165"/>
          <a:ext cx="2581274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March</a:t>
          </a:r>
        </a:p>
      </xdr:txBody>
    </xdr:sp>
    <xdr:clientData/>
  </xdr:twoCellAnchor>
  <xdr:twoCellAnchor>
    <xdr:from>
      <xdr:col>0</xdr:col>
      <xdr:colOff>0</xdr:colOff>
      <xdr:row>11</xdr:row>
      <xdr:rowOff>75640</xdr:rowOff>
    </xdr:from>
    <xdr:to>
      <xdr:col>4</xdr:col>
      <xdr:colOff>138392</xdr:colOff>
      <xdr:row>13</xdr:row>
      <xdr:rowOff>180415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296ADA5-14CD-4733-828D-5B5AAE44C83F}"/>
            </a:ext>
          </a:extLst>
        </xdr:cNvPr>
        <xdr:cNvSpPr/>
      </xdr:nvSpPr>
      <xdr:spPr>
        <a:xfrm>
          <a:off x="0" y="228544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April</a:t>
          </a:r>
        </a:p>
      </xdr:txBody>
    </xdr:sp>
    <xdr:clientData/>
  </xdr:twoCellAnchor>
  <xdr:twoCellAnchor>
    <xdr:from>
      <xdr:col>0</xdr:col>
      <xdr:colOff>0</xdr:colOff>
      <xdr:row>14</xdr:row>
      <xdr:rowOff>123265</xdr:rowOff>
    </xdr:from>
    <xdr:to>
      <xdr:col>4</xdr:col>
      <xdr:colOff>138392</xdr:colOff>
      <xdr:row>17</xdr:row>
      <xdr:rowOff>37540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199613E-931C-498E-B794-962E04140814}"/>
            </a:ext>
          </a:extLst>
        </xdr:cNvPr>
        <xdr:cNvSpPr/>
      </xdr:nvSpPr>
      <xdr:spPr>
        <a:xfrm>
          <a:off x="0" y="29331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151840</xdr:rowOff>
    </xdr:from>
    <xdr:to>
      <xdr:col>4</xdr:col>
      <xdr:colOff>157442</xdr:colOff>
      <xdr:row>20</xdr:row>
      <xdr:rowOff>66115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6EA3B29-4B94-4893-AE9C-E18D7C1D9E46}"/>
            </a:ext>
          </a:extLst>
        </xdr:cNvPr>
        <xdr:cNvSpPr/>
      </xdr:nvSpPr>
      <xdr:spPr>
        <a:xfrm>
          <a:off x="19050" y="356179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June</a:t>
          </a:r>
        </a:p>
      </xdr:txBody>
    </xdr:sp>
    <xdr:clientData/>
  </xdr:twoCellAnchor>
  <xdr:twoCellAnchor>
    <xdr:from>
      <xdr:col>0</xdr:col>
      <xdr:colOff>9525</xdr:colOff>
      <xdr:row>20</xdr:row>
      <xdr:rowOff>189940</xdr:rowOff>
    </xdr:from>
    <xdr:to>
      <xdr:col>4</xdr:col>
      <xdr:colOff>147917</xdr:colOff>
      <xdr:row>23</xdr:row>
      <xdr:rowOff>104215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B1AF0EF-7C30-4BCC-85DF-E470B970BB76}"/>
            </a:ext>
          </a:extLst>
        </xdr:cNvPr>
        <xdr:cNvSpPr/>
      </xdr:nvSpPr>
      <xdr:spPr>
        <a:xfrm>
          <a:off x="9525" y="4199965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July</a:t>
          </a:r>
        </a:p>
      </xdr:txBody>
    </xdr:sp>
    <xdr:clientData/>
  </xdr:twoCellAnchor>
  <xdr:twoCellAnchor>
    <xdr:from>
      <xdr:col>0</xdr:col>
      <xdr:colOff>9525</xdr:colOff>
      <xdr:row>24</xdr:row>
      <xdr:rowOff>47065</xdr:rowOff>
    </xdr:from>
    <xdr:to>
      <xdr:col>4</xdr:col>
      <xdr:colOff>147917</xdr:colOff>
      <xdr:row>26</xdr:row>
      <xdr:rowOff>151840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D2695C3-E2C5-4BEB-903E-49303FD5F17B}"/>
            </a:ext>
          </a:extLst>
        </xdr:cNvPr>
        <xdr:cNvSpPr/>
      </xdr:nvSpPr>
      <xdr:spPr>
        <a:xfrm>
          <a:off x="9525" y="485719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August</a:t>
          </a:r>
        </a:p>
      </xdr:txBody>
    </xdr:sp>
    <xdr:clientData/>
  </xdr:twoCellAnchor>
  <xdr:twoCellAnchor>
    <xdr:from>
      <xdr:col>0</xdr:col>
      <xdr:colOff>9525</xdr:colOff>
      <xdr:row>27</xdr:row>
      <xdr:rowOff>94690</xdr:rowOff>
    </xdr:from>
    <xdr:to>
      <xdr:col>4</xdr:col>
      <xdr:colOff>147917</xdr:colOff>
      <xdr:row>30</xdr:row>
      <xdr:rowOff>8965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15CD64C-D830-4B6A-893B-4721C40F6A74}"/>
            </a:ext>
          </a:extLst>
        </xdr:cNvPr>
        <xdr:cNvSpPr/>
      </xdr:nvSpPr>
      <xdr:spPr>
        <a:xfrm>
          <a:off x="9525" y="5504890"/>
          <a:ext cx="2576792" cy="5238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September</a:t>
          </a:r>
        </a:p>
      </xdr:txBody>
    </xdr:sp>
    <xdr:clientData/>
  </xdr:twoCellAnchor>
  <xdr:twoCellAnchor>
    <xdr:from>
      <xdr:col>0</xdr:col>
      <xdr:colOff>19050</xdr:colOff>
      <xdr:row>30</xdr:row>
      <xdr:rowOff>113740</xdr:rowOff>
    </xdr:from>
    <xdr:to>
      <xdr:col>4</xdr:col>
      <xdr:colOff>157442</xdr:colOff>
      <xdr:row>33</xdr:row>
      <xdr:rowOff>28015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8BD31F0-FC0D-4134-A170-67C362B9E277}"/>
            </a:ext>
          </a:extLst>
        </xdr:cNvPr>
        <xdr:cNvSpPr/>
      </xdr:nvSpPr>
      <xdr:spPr>
        <a:xfrm>
          <a:off x="19050" y="61335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October</a:t>
          </a:r>
        </a:p>
      </xdr:txBody>
    </xdr:sp>
    <xdr:clientData/>
  </xdr:twoCellAnchor>
  <xdr:twoCellAnchor>
    <xdr:from>
      <xdr:col>0</xdr:col>
      <xdr:colOff>9525</xdr:colOff>
      <xdr:row>33</xdr:row>
      <xdr:rowOff>161365</xdr:rowOff>
    </xdr:from>
    <xdr:to>
      <xdr:col>4</xdr:col>
      <xdr:colOff>147917</xdr:colOff>
      <xdr:row>36</xdr:row>
      <xdr:rowOff>75640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7D856B4-B5C6-4E6B-99BB-B06FB7EFEDAE}"/>
            </a:ext>
          </a:extLst>
        </xdr:cNvPr>
        <xdr:cNvSpPr/>
      </xdr:nvSpPr>
      <xdr:spPr>
        <a:xfrm>
          <a:off x="9525" y="67812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November</a:t>
          </a:r>
        </a:p>
      </xdr:txBody>
    </xdr:sp>
    <xdr:clientData/>
  </xdr:twoCellAnchor>
  <xdr:twoCellAnchor>
    <xdr:from>
      <xdr:col>0</xdr:col>
      <xdr:colOff>0</xdr:colOff>
      <xdr:row>37</xdr:row>
      <xdr:rowOff>47065</xdr:rowOff>
    </xdr:from>
    <xdr:to>
      <xdr:col>4</xdr:col>
      <xdr:colOff>138392</xdr:colOff>
      <xdr:row>39</xdr:row>
      <xdr:rowOff>151840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ED38432-B9E2-43CC-B7ED-116BA1FBA229}"/>
            </a:ext>
          </a:extLst>
        </xdr:cNvPr>
        <xdr:cNvSpPr/>
      </xdr:nvSpPr>
      <xdr:spPr>
        <a:xfrm>
          <a:off x="0" y="746704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>
              <a:solidFill>
                <a:schemeClr val="lt1"/>
              </a:solidFill>
              <a:latin typeface="+mn-lt"/>
              <a:ea typeface="+mn-ea"/>
              <a:cs typeface="+mn-cs"/>
            </a:rPr>
            <a:t>December</a:t>
          </a:r>
        </a:p>
      </xdr:txBody>
    </xdr:sp>
    <xdr:clientData/>
  </xdr:twoCellAnchor>
  <xdr:twoCellAnchor>
    <xdr:from>
      <xdr:col>43</xdr:col>
      <xdr:colOff>0</xdr:colOff>
      <xdr:row>0</xdr:row>
      <xdr:rowOff>0</xdr:rowOff>
    </xdr:from>
    <xdr:to>
      <xdr:col>58</xdr:col>
      <xdr:colOff>22412</xdr:colOff>
      <xdr:row>3</xdr:row>
      <xdr:rowOff>11205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EC16D6A-E582-4167-ACEA-B030BE43146C}"/>
            </a:ext>
          </a:extLst>
        </xdr:cNvPr>
        <xdr:cNvSpPr/>
      </xdr:nvSpPr>
      <xdr:spPr>
        <a:xfrm>
          <a:off x="29051250" y="0"/>
          <a:ext cx="14014637" cy="61128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ln>
                <a:noFill/>
              </a:ln>
              <a:solidFill>
                <a:schemeClr val="tx1"/>
              </a:solidFill>
            </a:rPr>
            <a:t>Monthly Report </a:t>
          </a:r>
        </a:p>
      </xdr:txBody>
    </xdr:sp>
    <xdr:clientData/>
  </xdr:twoCellAnchor>
  <xdr:twoCellAnchor>
    <xdr:from>
      <xdr:col>5</xdr:col>
      <xdr:colOff>571500</xdr:colOff>
      <xdr:row>0</xdr:row>
      <xdr:rowOff>145676</xdr:rowOff>
    </xdr:from>
    <xdr:to>
      <xdr:col>7</xdr:col>
      <xdr:colOff>874059</xdr:colOff>
      <xdr:row>2</xdr:row>
      <xdr:rowOff>56029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B16DEF6-7254-40E6-899E-A25347DAA2D2}"/>
            </a:ext>
          </a:extLst>
        </xdr:cNvPr>
        <xdr:cNvSpPr txBox="1"/>
      </xdr:nvSpPr>
      <xdr:spPr>
        <a:xfrm>
          <a:off x="3619500" y="145676"/>
          <a:ext cx="1531284" cy="31040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From</a:t>
          </a:r>
        </a:p>
      </xdr:txBody>
    </xdr:sp>
    <xdr:clientData/>
  </xdr:twoCellAnchor>
  <xdr:twoCellAnchor>
    <xdr:from>
      <xdr:col>7</xdr:col>
      <xdr:colOff>885265</xdr:colOff>
      <xdr:row>0</xdr:row>
      <xdr:rowOff>145676</xdr:rowOff>
    </xdr:from>
    <xdr:to>
      <xdr:col>8</xdr:col>
      <xdr:colOff>593911</xdr:colOff>
      <xdr:row>2</xdr:row>
      <xdr:rowOff>56029</xdr:rowOff>
    </xdr:to>
    <xdr:sp macro="" textlink="$H$6">
      <xdr:nvSpPr>
        <xdr:cNvPr id="18" name="TextBox 17">
          <a:extLst>
            <a:ext uri="{FF2B5EF4-FFF2-40B4-BE49-F238E27FC236}">
              <a16:creationId xmlns:a16="http://schemas.microsoft.com/office/drawing/2014/main" id="{64C18742-DE9C-48A5-807B-52866DD87266}"/>
            </a:ext>
          </a:extLst>
        </xdr:cNvPr>
        <xdr:cNvSpPr txBox="1"/>
      </xdr:nvSpPr>
      <xdr:spPr>
        <a:xfrm>
          <a:off x="5161990" y="145676"/>
          <a:ext cx="1499346" cy="310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4FAE0827-8A19-483B-A3A8-823BC530720B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1-Feb-25</a:t>
          </a:fld>
          <a:endParaRPr lang="en-US" sz="1600" b="1"/>
        </a:p>
      </xdr:txBody>
    </xdr:sp>
    <xdr:clientData/>
  </xdr:twoCellAnchor>
  <xdr:twoCellAnchor>
    <xdr:from>
      <xdr:col>13</xdr:col>
      <xdr:colOff>410135</xdr:colOff>
      <xdr:row>0</xdr:row>
      <xdr:rowOff>118782</xdr:rowOff>
    </xdr:from>
    <xdr:to>
      <xdr:col>16</xdr:col>
      <xdr:colOff>85165</xdr:colOff>
      <xdr:row>2</xdr:row>
      <xdr:rowOff>29135</xdr:rowOff>
    </xdr:to>
    <xdr:sp macro="" textlink="$M$6">
      <xdr:nvSpPr>
        <xdr:cNvPr id="19" name="TextBox 18">
          <a:extLst>
            <a:ext uri="{FF2B5EF4-FFF2-40B4-BE49-F238E27FC236}">
              <a16:creationId xmlns:a16="http://schemas.microsoft.com/office/drawing/2014/main" id="{14FD3393-7ED7-471A-936C-95341E552A36}"/>
            </a:ext>
          </a:extLst>
        </xdr:cNvPr>
        <xdr:cNvSpPr txBox="1"/>
      </xdr:nvSpPr>
      <xdr:spPr>
        <a:xfrm>
          <a:off x="10906685" y="118782"/>
          <a:ext cx="1532405" cy="310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CF0DC84-B8FC-49E0-B45A-C37B36E5F7EF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28-Feb-25</a:t>
          </a:fld>
          <a:endParaRPr lang="en-US" sz="1600" b="1"/>
        </a:p>
      </xdr:txBody>
    </xdr:sp>
    <xdr:clientData/>
  </xdr:twoCellAnchor>
  <xdr:twoCellAnchor>
    <xdr:from>
      <xdr:col>11</xdr:col>
      <xdr:colOff>392206</xdr:colOff>
      <xdr:row>0</xdr:row>
      <xdr:rowOff>118782</xdr:rowOff>
    </xdr:from>
    <xdr:to>
      <xdr:col>13</xdr:col>
      <xdr:colOff>403410</xdr:colOff>
      <xdr:row>2</xdr:row>
      <xdr:rowOff>29135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72428F5-4549-47D6-A9F1-45DE48D31C3E}"/>
            </a:ext>
          </a:extLst>
        </xdr:cNvPr>
        <xdr:cNvSpPr txBox="1"/>
      </xdr:nvSpPr>
      <xdr:spPr>
        <a:xfrm>
          <a:off x="9355231" y="118782"/>
          <a:ext cx="1544729" cy="31040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To</a:t>
          </a:r>
        </a:p>
      </xdr:txBody>
    </xdr:sp>
    <xdr:clientData/>
  </xdr:twoCellAnchor>
  <xdr:twoCellAnchor>
    <xdr:from>
      <xdr:col>16</xdr:col>
      <xdr:colOff>326571</xdr:colOff>
      <xdr:row>0</xdr:row>
      <xdr:rowOff>136071</xdr:rowOff>
    </xdr:from>
    <xdr:to>
      <xdr:col>28</xdr:col>
      <xdr:colOff>598714</xdr:colOff>
      <xdr:row>2</xdr:row>
      <xdr:rowOff>40822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BD80C730-966A-42FD-AAC1-6BEC8AEE2978}"/>
            </a:ext>
          </a:extLst>
        </xdr:cNvPr>
        <xdr:cNvSpPr/>
      </xdr:nvSpPr>
      <xdr:spPr>
        <a:xfrm>
          <a:off x="12680496" y="136071"/>
          <a:ext cx="7701643" cy="30480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340180</xdr:colOff>
      <xdr:row>0</xdr:row>
      <xdr:rowOff>180975</xdr:rowOff>
    </xdr:from>
    <xdr:to>
      <xdr:col>25</xdr:col>
      <xdr:colOff>190501</xdr:colOff>
      <xdr:row>2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F4B9CB1-88E9-482F-AE5E-AE2943FAD686}"/>
            </a:ext>
          </a:extLst>
        </xdr:cNvPr>
        <xdr:cNvSpPr txBox="1"/>
      </xdr:nvSpPr>
      <xdr:spPr>
        <a:xfrm>
          <a:off x="12694105" y="180975"/>
          <a:ext cx="5422446" cy="2286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/>
            <a:t>Dashboard</a:t>
          </a:r>
          <a:r>
            <a:rPr lang="en-US" sz="2400" b="1" baseline="0"/>
            <a:t> for the month of </a:t>
          </a:r>
          <a:endParaRPr lang="en-US" sz="2400" b="1"/>
        </a:p>
      </xdr:txBody>
    </xdr:sp>
    <xdr:clientData/>
  </xdr:twoCellAnchor>
  <xdr:twoCellAnchor editAs="oneCell">
    <xdr:from>
      <xdr:col>27</xdr:col>
      <xdr:colOff>590340</xdr:colOff>
      <xdr:row>0</xdr:row>
      <xdr:rowOff>131884</xdr:rowOff>
    </xdr:from>
    <xdr:to>
      <xdr:col>29</xdr:col>
      <xdr:colOff>1231</xdr:colOff>
      <xdr:row>2</xdr:row>
      <xdr:rowOff>92319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5885C166-109E-440B-919A-DCA1FB73D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9754640" y="131884"/>
          <a:ext cx="649141" cy="341435"/>
        </a:xfrm>
        <a:prstGeom prst="rect">
          <a:avLst/>
        </a:prstGeom>
      </xdr:spPr>
    </xdr:pic>
    <xdr:clientData/>
  </xdr:twoCellAnchor>
  <xdr:twoCellAnchor>
    <xdr:from>
      <xdr:col>23</xdr:col>
      <xdr:colOff>600075</xdr:colOff>
      <xdr:row>0</xdr:row>
      <xdr:rowOff>142875</xdr:rowOff>
    </xdr:from>
    <xdr:to>
      <xdr:col>26</xdr:col>
      <xdr:colOff>542925</xdr:colOff>
      <xdr:row>2</xdr:row>
      <xdr:rowOff>19050</xdr:rowOff>
    </xdr:to>
    <xdr:sp macro="" textlink="$J$6">
      <xdr:nvSpPr>
        <xdr:cNvPr id="24" name="TextBox 23">
          <a:extLst>
            <a:ext uri="{FF2B5EF4-FFF2-40B4-BE49-F238E27FC236}">
              <a16:creationId xmlns:a16="http://schemas.microsoft.com/office/drawing/2014/main" id="{48EA7BBC-B650-431E-9E45-794A1A5F8FB4}"/>
            </a:ext>
          </a:extLst>
        </xdr:cNvPr>
        <xdr:cNvSpPr txBox="1"/>
      </xdr:nvSpPr>
      <xdr:spPr>
        <a:xfrm>
          <a:off x="17287875" y="142875"/>
          <a:ext cx="1800225" cy="276225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C2C24BA-C070-4B66-A11F-4012E2591220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February</a:t>
          </a:fld>
          <a:endParaRPr lang="en-US" sz="1600" b="1"/>
        </a:p>
      </xdr:txBody>
    </xdr:sp>
    <xdr:clientData/>
  </xdr:twoCellAnchor>
  <xdr:twoCellAnchor>
    <xdr:from>
      <xdr:col>30</xdr:col>
      <xdr:colOff>59121</xdr:colOff>
      <xdr:row>0</xdr:row>
      <xdr:rowOff>111673</xdr:rowOff>
    </xdr:from>
    <xdr:to>
      <xdr:col>30</xdr:col>
      <xdr:colOff>407277</xdr:colOff>
      <xdr:row>2</xdr:row>
      <xdr:rowOff>39415</xdr:rowOff>
    </xdr:to>
    <xdr:sp macro="" textlink="">
      <xdr:nvSpPr>
        <xdr:cNvPr id="25" name="Flowchart: Or 24">
          <a:extLst>
            <a:ext uri="{FF2B5EF4-FFF2-40B4-BE49-F238E27FC236}">
              <a16:creationId xmlns:a16="http://schemas.microsoft.com/office/drawing/2014/main" id="{AC9D1C2F-9E5D-4E96-A0F5-3AD0290489BB}"/>
            </a:ext>
          </a:extLst>
        </xdr:cNvPr>
        <xdr:cNvSpPr/>
      </xdr:nvSpPr>
      <xdr:spPr>
        <a:xfrm>
          <a:off x="21080796" y="111673"/>
          <a:ext cx="348156" cy="327792"/>
        </a:xfrm>
        <a:prstGeom prst="flowChartOr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420413</xdr:colOff>
      <xdr:row>0</xdr:row>
      <xdr:rowOff>91966</xdr:rowOff>
    </xdr:from>
    <xdr:to>
      <xdr:col>32</xdr:col>
      <xdr:colOff>170793</xdr:colOff>
      <xdr:row>2</xdr:row>
      <xdr:rowOff>78827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E27C9CF-0D86-499E-AA05-C5F979B3B75B}"/>
            </a:ext>
          </a:extLst>
        </xdr:cNvPr>
        <xdr:cNvSpPr/>
      </xdr:nvSpPr>
      <xdr:spPr>
        <a:xfrm>
          <a:off x="21442088" y="91966"/>
          <a:ext cx="988630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Present</a:t>
          </a:r>
        </a:p>
      </xdr:txBody>
    </xdr:sp>
    <xdr:clientData/>
  </xdr:twoCellAnchor>
  <xdr:twoCellAnchor>
    <xdr:from>
      <xdr:col>32</xdr:col>
      <xdr:colOff>441436</xdr:colOff>
      <xdr:row>0</xdr:row>
      <xdr:rowOff>126124</xdr:rowOff>
    </xdr:from>
    <xdr:to>
      <xdr:col>33</xdr:col>
      <xdr:colOff>172109</xdr:colOff>
      <xdr:row>2</xdr:row>
      <xdr:rowOff>53866</xdr:rowOff>
    </xdr:to>
    <xdr:sp macro="" textlink="">
      <xdr:nvSpPr>
        <xdr:cNvPr id="27" name="Flowchart: Or 26">
          <a:extLst>
            <a:ext uri="{FF2B5EF4-FFF2-40B4-BE49-F238E27FC236}">
              <a16:creationId xmlns:a16="http://schemas.microsoft.com/office/drawing/2014/main" id="{E8E4BA82-9E97-407C-812A-EBC467F47C25}"/>
            </a:ext>
          </a:extLst>
        </xdr:cNvPr>
        <xdr:cNvSpPr/>
      </xdr:nvSpPr>
      <xdr:spPr>
        <a:xfrm>
          <a:off x="22701361" y="126124"/>
          <a:ext cx="349798" cy="327792"/>
        </a:xfrm>
        <a:prstGeom prst="flowChar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185245</xdr:colOff>
      <xdr:row>0</xdr:row>
      <xdr:rowOff>106417</xdr:rowOff>
    </xdr:from>
    <xdr:to>
      <xdr:col>34</xdr:col>
      <xdr:colOff>553107</xdr:colOff>
      <xdr:row>2</xdr:row>
      <xdr:rowOff>93278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6A7CAF5-DCFD-4E95-BC98-D7A4D3D715BF}"/>
            </a:ext>
          </a:extLst>
        </xdr:cNvPr>
        <xdr:cNvSpPr/>
      </xdr:nvSpPr>
      <xdr:spPr>
        <a:xfrm>
          <a:off x="23064295" y="106417"/>
          <a:ext cx="986987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Absent</a:t>
          </a:r>
        </a:p>
      </xdr:txBody>
    </xdr:sp>
    <xdr:clientData/>
  </xdr:twoCellAnchor>
  <xdr:twoCellAnchor>
    <xdr:from>
      <xdr:col>35</xdr:col>
      <xdr:colOff>173421</xdr:colOff>
      <xdr:row>0</xdr:row>
      <xdr:rowOff>114299</xdr:rowOff>
    </xdr:from>
    <xdr:to>
      <xdr:col>35</xdr:col>
      <xdr:colOff>521577</xdr:colOff>
      <xdr:row>2</xdr:row>
      <xdr:rowOff>42041</xdr:rowOff>
    </xdr:to>
    <xdr:sp macro="" textlink="">
      <xdr:nvSpPr>
        <xdr:cNvPr id="29" name="Flowchart: Or 28">
          <a:extLst>
            <a:ext uri="{FF2B5EF4-FFF2-40B4-BE49-F238E27FC236}">
              <a16:creationId xmlns:a16="http://schemas.microsoft.com/office/drawing/2014/main" id="{6292DC71-2777-4CEF-9A31-52E4C6EF25E4}"/>
            </a:ext>
          </a:extLst>
        </xdr:cNvPr>
        <xdr:cNvSpPr/>
      </xdr:nvSpPr>
      <xdr:spPr>
        <a:xfrm>
          <a:off x="24290721" y="114299"/>
          <a:ext cx="348156" cy="327792"/>
        </a:xfrm>
        <a:prstGeom prst="flowChartOr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534713</xdr:colOff>
      <xdr:row>0</xdr:row>
      <xdr:rowOff>94592</xdr:rowOff>
    </xdr:from>
    <xdr:to>
      <xdr:col>37</xdr:col>
      <xdr:colOff>285093</xdr:colOff>
      <xdr:row>2</xdr:row>
      <xdr:rowOff>81453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788A779-6AF8-42ED-A347-77921174056E}"/>
            </a:ext>
          </a:extLst>
        </xdr:cNvPr>
        <xdr:cNvSpPr/>
      </xdr:nvSpPr>
      <xdr:spPr>
        <a:xfrm>
          <a:off x="24652013" y="94592"/>
          <a:ext cx="988630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Leave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51636</xdr:colOff>
      <xdr:row>0</xdr:row>
      <xdr:rowOff>0</xdr:rowOff>
    </xdr:from>
    <xdr:to>
      <xdr:col>42</xdr:col>
      <xdr:colOff>0</xdr:colOff>
      <xdr:row>2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6C10D35-3D25-4241-9827-DC43CD1E3BED}"/>
            </a:ext>
          </a:extLst>
        </xdr:cNvPr>
        <xdr:cNvSpPr/>
      </xdr:nvSpPr>
      <xdr:spPr>
        <a:xfrm>
          <a:off x="1270836" y="0"/>
          <a:ext cx="27170814" cy="581025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</xdr:colOff>
      <xdr:row>0</xdr:row>
      <xdr:rowOff>9524</xdr:rowOff>
    </xdr:from>
    <xdr:to>
      <xdr:col>3</xdr:col>
      <xdr:colOff>519546</xdr:colOff>
      <xdr:row>67</xdr:row>
      <xdr:rowOff>121227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7B981D4-9ABE-4FEA-81CA-69C7507974FE}"/>
            </a:ext>
          </a:extLst>
        </xdr:cNvPr>
        <xdr:cNvSpPr/>
      </xdr:nvSpPr>
      <xdr:spPr>
        <a:xfrm>
          <a:off x="9525" y="9524"/>
          <a:ext cx="2328430" cy="1403552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noFill/>
            </a:ln>
          </a:endParaRPr>
        </a:p>
      </xdr:txBody>
    </xdr:sp>
    <xdr:clientData/>
  </xdr:twoCellAnchor>
  <xdr:twoCellAnchor>
    <xdr:from>
      <xdr:col>0</xdr:col>
      <xdr:colOff>0</xdr:colOff>
      <xdr:row>1</xdr:row>
      <xdr:rowOff>98714</xdr:rowOff>
    </xdr:from>
    <xdr:to>
      <xdr:col>4</xdr:col>
      <xdr:colOff>142876</xdr:colOff>
      <xdr:row>4</xdr:row>
      <xdr:rowOff>12989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EC4FBC-3CB4-47D5-8F06-5DFCF7346186}"/>
            </a:ext>
          </a:extLst>
        </xdr:cNvPr>
        <xdr:cNvSpPr/>
      </xdr:nvSpPr>
      <xdr:spPr>
        <a:xfrm>
          <a:off x="0" y="306532"/>
          <a:ext cx="2567421" cy="53773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January</a:t>
          </a:r>
        </a:p>
      </xdr:txBody>
    </xdr:sp>
    <xdr:clientData/>
  </xdr:twoCellAnchor>
  <xdr:twoCellAnchor>
    <xdr:from>
      <xdr:col>0</xdr:col>
      <xdr:colOff>0</xdr:colOff>
      <xdr:row>4</xdr:row>
      <xdr:rowOff>180415</xdr:rowOff>
    </xdr:from>
    <xdr:to>
      <xdr:col>4</xdr:col>
      <xdr:colOff>138392</xdr:colOff>
      <xdr:row>7</xdr:row>
      <xdr:rowOff>94690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C38FA0-738C-498B-B75E-99A300C39149}"/>
            </a:ext>
          </a:extLst>
        </xdr:cNvPr>
        <xdr:cNvSpPr/>
      </xdr:nvSpPr>
      <xdr:spPr>
        <a:xfrm>
          <a:off x="0" y="980515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Feb</a:t>
          </a:r>
        </a:p>
      </xdr:txBody>
    </xdr:sp>
    <xdr:clientData/>
  </xdr:twoCellAnchor>
  <xdr:twoCellAnchor>
    <xdr:from>
      <xdr:col>1</xdr:col>
      <xdr:colOff>17318</xdr:colOff>
      <xdr:row>8</xdr:row>
      <xdr:rowOff>26283</xdr:rowOff>
    </xdr:from>
    <xdr:to>
      <xdr:col>5</xdr:col>
      <xdr:colOff>160191</xdr:colOff>
      <xdr:row>10</xdr:row>
      <xdr:rowOff>131058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9FC0D33-C0E8-48C6-AB17-710483142C19}"/>
            </a:ext>
          </a:extLst>
        </xdr:cNvPr>
        <xdr:cNvSpPr/>
      </xdr:nvSpPr>
      <xdr:spPr>
        <a:xfrm>
          <a:off x="623454" y="1688828"/>
          <a:ext cx="2567419" cy="520412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March</a:t>
          </a:r>
        </a:p>
      </xdr:txBody>
    </xdr:sp>
    <xdr:clientData/>
  </xdr:twoCellAnchor>
  <xdr:twoCellAnchor>
    <xdr:from>
      <xdr:col>0</xdr:col>
      <xdr:colOff>0</xdr:colOff>
      <xdr:row>11</xdr:row>
      <xdr:rowOff>75640</xdr:rowOff>
    </xdr:from>
    <xdr:to>
      <xdr:col>4</xdr:col>
      <xdr:colOff>138392</xdr:colOff>
      <xdr:row>13</xdr:row>
      <xdr:rowOff>180415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FC131FB-828E-4232-BB4A-9C26500CDA97}"/>
            </a:ext>
          </a:extLst>
        </xdr:cNvPr>
        <xdr:cNvSpPr/>
      </xdr:nvSpPr>
      <xdr:spPr>
        <a:xfrm>
          <a:off x="0" y="228544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April</a:t>
          </a:r>
        </a:p>
      </xdr:txBody>
    </xdr:sp>
    <xdr:clientData/>
  </xdr:twoCellAnchor>
  <xdr:twoCellAnchor>
    <xdr:from>
      <xdr:col>0</xdr:col>
      <xdr:colOff>0</xdr:colOff>
      <xdr:row>14</xdr:row>
      <xdr:rowOff>123265</xdr:rowOff>
    </xdr:from>
    <xdr:to>
      <xdr:col>4</xdr:col>
      <xdr:colOff>138392</xdr:colOff>
      <xdr:row>17</xdr:row>
      <xdr:rowOff>37540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FBDE581-4A02-4924-95B1-79FC313B9200}"/>
            </a:ext>
          </a:extLst>
        </xdr:cNvPr>
        <xdr:cNvSpPr/>
      </xdr:nvSpPr>
      <xdr:spPr>
        <a:xfrm>
          <a:off x="0" y="29331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151840</xdr:rowOff>
    </xdr:from>
    <xdr:to>
      <xdr:col>4</xdr:col>
      <xdr:colOff>157442</xdr:colOff>
      <xdr:row>20</xdr:row>
      <xdr:rowOff>66115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36230C0-3666-495C-B9DB-1986055A62E6}"/>
            </a:ext>
          </a:extLst>
        </xdr:cNvPr>
        <xdr:cNvSpPr/>
      </xdr:nvSpPr>
      <xdr:spPr>
        <a:xfrm>
          <a:off x="19050" y="356179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June</a:t>
          </a:r>
        </a:p>
      </xdr:txBody>
    </xdr:sp>
    <xdr:clientData/>
  </xdr:twoCellAnchor>
  <xdr:twoCellAnchor>
    <xdr:from>
      <xdr:col>0</xdr:col>
      <xdr:colOff>9525</xdr:colOff>
      <xdr:row>20</xdr:row>
      <xdr:rowOff>189940</xdr:rowOff>
    </xdr:from>
    <xdr:to>
      <xdr:col>4</xdr:col>
      <xdr:colOff>147917</xdr:colOff>
      <xdr:row>23</xdr:row>
      <xdr:rowOff>104215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A602149-A2BB-4F3F-8997-1799A51053A0}"/>
            </a:ext>
          </a:extLst>
        </xdr:cNvPr>
        <xdr:cNvSpPr/>
      </xdr:nvSpPr>
      <xdr:spPr>
        <a:xfrm>
          <a:off x="9525" y="4199965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July</a:t>
          </a:r>
        </a:p>
      </xdr:txBody>
    </xdr:sp>
    <xdr:clientData/>
  </xdr:twoCellAnchor>
  <xdr:twoCellAnchor>
    <xdr:from>
      <xdr:col>0</xdr:col>
      <xdr:colOff>9525</xdr:colOff>
      <xdr:row>24</xdr:row>
      <xdr:rowOff>47065</xdr:rowOff>
    </xdr:from>
    <xdr:to>
      <xdr:col>4</xdr:col>
      <xdr:colOff>147917</xdr:colOff>
      <xdr:row>26</xdr:row>
      <xdr:rowOff>151840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3CAD6EC-C085-4C2F-A216-40C0241032AA}"/>
            </a:ext>
          </a:extLst>
        </xdr:cNvPr>
        <xdr:cNvSpPr/>
      </xdr:nvSpPr>
      <xdr:spPr>
        <a:xfrm>
          <a:off x="9525" y="485719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August</a:t>
          </a:r>
        </a:p>
      </xdr:txBody>
    </xdr:sp>
    <xdr:clientData/>
  </xdr:twoCellAnchor>
  <xdr:twoCellAnchor>
    <xdr:from>
      <xdr:col>0</xdr:col>
      <xdr:colOff>9525</xdr:colOff>
      <xdr:row>27</xdr:row>
      <xdr:rowOff>94690</xdr:rowOff>
    </xdr:from>
    <xdr:to>
      <xdr:col>4</xdr:col>
      <xdr:colOff>147917</xdr:colOff>
      <xdr:row>30</xdr:row>
      <xdr:rowOff>8965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5E6A6E6-9D89-46E0-832A-6EB5B177A347}"/>
            </a:ext>
          </a:extLst>
        </xdr:cNvPr>
        <xdr:cNvSpPr/>
      </xdr:nvSpPr>
      <xdr:spPr>
        <a:xfrm>
          <a:off x="9525" y="5504890"/>
          <a:ext cx="2576792" cy="5238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September</a:t>
          </a:r>
        </a:p>
      </xdr:txBody>
    </xdr:sp>
    <xdr:clientData/>
  </xdr:twoCellAnchor>
  <xdr:twoCellAnchor>
    <xdr:from>
      <xdr:col>0</xdr:col>
      <xdr:colOff>19050</xdr:colOff>
      <xdr:row>30</xdr:row>
      <xdr:rowOff>113740</xdr:rowOff>
    </xdr:from>
    <xdr:to>
      <xdr:col>4</xdr:col>
      <xdr:colOff>157442</xdr:colOff>
      <xdr:row>33</xdr:row>
      <xdr:rowOff>28015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E3037B0-8604-4A7A-AD53-648648D65EBC}"/>
            </a:ext>
          </a:extLst>
        </xdr:cNvPr>
        <xdr:cNvSpPr/>
      </xdr:nvSpPr>
      <xdr:spPr>
        <a:xfrm>
          <a:off x="19050" y="61335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October</a:t>
          </a:r>
        </a:p>
      </xdr:txBody>
    </xdr:sp>
    <xdr:clientData/>
  </xdr:twoCellAnchor>
  <xdr:twoCellAnchor>
    <xdr:from>
      <xdr:col>0</xdr:col>
      <xdr:colOff>9525</xdr:colOff>
      <xdr:row>33</xdr:row>
      <xdr:rowOff>161365</xdr:rowOff>
    </xdr:from>
    <xdr:to>
      <xdr:col>4</xdr:col>
      <xdr:colOff>147917</xdr:colOff>
      <xdr:row>36</xdr:row>
      <xdr:rowOff>75640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E919E6D-A84C-4C2F-A92D-D18BD594E8D1}"/>
            </a:ext>
          </a:extLst>
        </xdr:cNvPr>
        <xdr:cNvSpPr/>
      </xdr:nvSpPr>
      <xdr:spPr>
        <a:xfrm>
          <a:off x="9525" y="67812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November</a:t>
          </a:r>
        </a:p>
      </xdr:txBody>
    </xdr:sp>
    <xdr:clientData/>
  </xdr:twoCellAnchor>
  <xdr:twoCellAnchor>
    <xdr:from>
      <xdr:col>0</xdr:col>
      <xdr:colOff>0</xdr:colOff>
      <xdr:row>37</xdr:row>
      <xdr:rowOff>47065</xdr:rowOff>
    </xdr:from>
    <xdr:to>
      <xdr:col>4</xdr:col>
      <xdr:colOff>138392</xdr:colOff>
      <xdr:row>39</xdr:row>
      <xdr:rowOff>151840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47151C3-D783-4445-BC42-F1349F61E9F7}"/>
            </a:ext>
          </a:extLst>
        </xdr:cNvPr>
        <xdr:cNvSpPr/>
      </xdr:nvSpPr>
      <xdr:spPr>
        <a:xfrm>
          <a:off x="0" y="746704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December</a:t>
          </a:r>
        </a:p>
      </xdr:txBody>
    </xdr:sp>
    <xdr:clientData/>
  </xdr:twoCellAnchor>
  <xdr:twoCellAnchor>
    <xdr:from>
      <xdr:col>43</xdr:col>
      <xdr:colOff>0</xdr:colOff>
      <xdr:row>0</xdr:row>
      <xdr:rowOff>0</xdr:rowOff>
    </xdr:from>
    <xdr:to>
      <xdr:col>58</xdr:col>
      <xdr:colOff>22412</xdr:colOff>
      <xdr:row>3</xdr:row>
      <xdr:rowOff>11205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91EF616-1611-477A-BBBD-98C2D9FD3611}"/>
            </a:ext>
          </a:extLst>
        </xdr:cNvPr>
        <xdr:cNvSpPr/>
      </xdr:nvSpPr>
      <xdr:spPr>
        <a:xfrm>
          <a:off x="29051250" y="0"/>
          <a:ext cx="14014637" cy="61128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ln>
                <a:noFill/>
              </a:ln>
              <a:solidFill>
                <a:schemeClr val="tx1"/>
              </a:solidFill>
            </a:rPr>
            <a:t>Monthly Report </a:t>
          </a:r>
        </a:p>
      </xdr:txBody>
    </xdr:sp>
    <xdr:clientData/>
  </xdr:twoCellAnchor>
  <xdr:twoCellAnchor>
    <xdr:from>
      <xdr:col>5</xdr:col>
      <xdr:colOff>571500</xdr:colOff>
      <xdr:row>0</xdr:row>
      <xdr:rowOff>145676</xdr:rowOff>
    </xdr:from>
    <xdr:to>
      <xdr:col>7</xdr:col>
      <xdr:colOff>874059</xdr:colOff>
      <xdr:row>2</xdr:row>
      <xdr:rowOff>56029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B4C6945-AE31-4661-8CDB-D04865866EE5}"/>
            </a:ext>
          </a:extLst>
        </xdr:cNvPr>
        <xdr:cNvSpPr txBox="1"/>
      </xdr:nvSpPr>
      <xdr:spPr>
        <a:xfrm>
          <a:off x="3619500" y="145676"/>
          <a:ext cx="1531284" cy="31040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From</a:t>
          </a:r>
        </a:p>
      </xdr:txBody>
    </xdr:sp>
    <xdr:clientData/>
  </xdr:twoCellAnchor>
  <xdr:twoCellAnchor>
    <xdr:from>
      <xdr:col>7</xdr:col>
      <xdr:colOff>885265</xdr:colOff>
      <xdr:row>0</xdr:row>
      <xdr:rowOff>145676</xdr:rowOff>
    </xdr:from>
    <xdr:to>
      <xdr:col>8</xdr:col>
      <xdr:colOff>593911</xdr:colOff>
      <xdr:row>2</xdr:row>
      <xdr:rowOff>56029</xdr:rowOff>
    </xdr:to>
    <xdr:sp macro="" textlink="$H$6">
      <xdr:nvSpPr>
        <xdr:cNvPr id="18" name="TextBox 17">
          <a:extLst>
            <a:ext uri="{FF2B5EF4-FFF2-40B4-BE49-F238E27FC236}">
              <a16:creationId xmlns:a16="http://schemas.microsoft.com/office/drawing/2014/main" id="{88FB2DA8-824A-4C97-8CA4-942E09738C0C}"/>
            </a:ext>
          </a:extLst>
        </xdr:cNvPr>
        <xdr:cNvSpPr txBox="1"/>
      </xdr:nvSpPr>
      <xdr:spPr>
        <a:xfrm>
          <a:off x="5161990" y="145676"/>
          <a:ext cx="1499346" cy="310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4FAE0827-8A19-483B-A3A8-823BC530720B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1-Mar-25</a:t>
          </a:fld>
          <a:endParaRPr lang="en-US" sz="1600" b="1"/>
        </a:p>
      </xdr:txBody>
    </xdr:sp>
    <xdr:clientData/>
  </xdr:twoCellAnchor>
  <xdr:twoCellAnchor>
    <xdr:from>
      <xdr:col>13</xdr:col>
      <xdr:colOff>410135</xdr:colOff>
      <xdr:row>0</xdr:row>
      <xdr:rowOff>118782</xdr:rowOff>
    </xdr:from>
    <xdr:to>
      <xdr:col>16</xdr:col>
      <xdr:colOff>85165</xdr:colOff>
      <xdr:row>2</xdr:row>
      <xdr:rowOff>29135</xdr:rowOff>
    </xdr:to>
    <xdr:sp macro="" textlink="$M$6">
      <xdr:nvSpPr>
        <xdr:cNvPr id="19" name="TextBox 18">
          <a:extLst>
            <a:ext uri="{FF2B5EF4-FFF2-40B4-BE49-F238E27FC236}">
              <a16:creationId xmlns:a16="http://schemas.microsoft.com/office/drawing/2014/main" id="{7C3F2FEF-E918-4EAA-906E-FC0913C7A155}"/>
            </a:ext>
          </a:extLst>
        </xdr:cNvPr>
        <xdr:cNvSpPr txBox="1"/>
      </xdr:nvSpPr>
      <xdr:spPr>
        <a:xfrm>
          <a:off x="10906685" y="118782"/>
          <a:ext cx="1532405" cy="310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CF0DC84-B8FC-49E0-B45A-C37B36E5F7EF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31-Mar-25</a:t>
          </a:fld>
          <a:endParaRPr lang="en-US" sz="1600" b="1"/>
        </a:p>
      </xdr:txBody>
    </xdr:sp>
    <xdr:clientData/>
  </xdr:twoCellAnchor>
  <xdr:twoCellAnchor>
    <xdr:from>
      <xdr:col>11</xdr:col>
      <xdr:colOff>392206</xdr:colOff>
      <xdr:row>0</xdr:row>
      <xdr:rowOff>118782</xdr:rowOff>
    </xdr:from>
    <xdr:to>
      <xdr:col>13</xdr:col>
      <xdr:colOff>403410</xdr:colOff>
      <xdr:row>2</xdr:row>
      <xdr:rowOff>29135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50557AB-502A-4867-A55E-7CC3559D9B89}"/>
            </a:ext>
          </a:extLst>
        </xdr:cNvPr>
        <xdr:cNvSpPr txBox="1"/>
      </xdr:nvSpPr>
      <xdr:spPr>
        <a:xfrm>
          <a:off x="9355231" y="118782"/>
          <a:ext cx="1544729" cy="31040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To</a:t>
          </a:r>
        </a:p>
      </xdr:txBody>
    </xdr:sp>
    <xdr:clientData/>
  </xdr:twoCellAnchor>
  <xdr:twoCellAnchor>
    <xdr:from>
      <xdr:col>16</xdr:col>
      <xdr:colOff>326571</xdr:colOff>
      <xdr:row>0</xdr:row>
      <xdr:rowOff>136071</xdr:rowOff>
    </xdr:from>
    <xdr:to>
      <xdr:col>28</xdr:col>
      <xdr:colOff>598714</xdr:colOff>
      <xdr:row>2</xdr:row>
      <xdr:rowOff>40822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96330B6-E1CD-4F3F-9DB1-EDF7A6D9C273}"/>
            </a:ext>
          </a:extLst>
        </xdr:cNvPr>
        <xdr:cNvSpPr/>
      </xdr:nvSpPr>
      <xdr:spPr>
        <a:xfrm>
          <a:off x="12680496" y="136071"/>
          <a:ext cx="7701643" cy="30480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340180</xdr:colOff>
      <xdr:row>0</xdr:row>
      <xdr:rowOff>180975</xdr:rowOff>
    </xdr:from>
    <xdr:to>
      <xdr:col>25</xdr:col>
      <xdr:colOff>190501</xdr:colOff>
      <xdr:row>2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DC23E67-E321-458E-B29B-AAE2AF16C656}"/>
            </a:ext>
          </a:extLst>
        </xdr:cNvPr>
        <xdr:cNvSpPr txBox="1"/>
      </xdr:nvSpPr>
      <xdr:spPr>
        <a:xfrm>
          <a:off x="12694105" y="180975"/>
          <a:ext cx="5422446" cy="2286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/>
            <a:t>Dashboard</a:t>
          </a:r>
          <a:r>
            <a:rPr lang="en-US" sz="2400" b="1" baseline="0"/>
            <a:t> for the month of </a:t>
          </a:r>
          <a:endParaRPr lang="en-US" sz="2400" b="1"/>
        </a:p>
      </xdr:txBody>
    </xdr:sp>
    <xdr:clientData/>
  </xdr:twoCellAnchor>
  <xdr:twoCellAnchor editAs="oneCell">
    <xdr:from>
      <xdr:col>27</xdr:col>
      <xdr:colOff>590340</xdr:colOff>
      <xdr:row>0</xdr:row>
      <xdr:rowOff>131884</xdr:rowOff>
    </xdr:from>
    <xdr:to>
      <xdr:col>29</xdr:col>
      <xdr:colOff>1231</xdr:colOff>
      <xdr:row>2</xdr:row>
      <xdr:rowOff>92319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6F9778D0-0982-4669-826A-CBA08F231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9754640" y="131884"/>
          <a:ext cx="649141" cy="341435"/>
        </a:xfrm>
        <a:prstGeom prst="rect">
          <a:avLst/>
        </a:prstGeom>
      </xdr:spPr>
    </xdr:pic>
    <xdr:clientData/>
  </xdr:twoCellAnchor>
  <xdr:twoCellAnchor>
    <xdr:from>
      <xdr:col>23</xdr:col>
      <xdr:colOff>600075</xdr:colOff>
      <xdr:row>0</xdr:row>
      <xdr:rowOff>149679</xdr:rowOff>
    </xdr:from>
    <xdr:to>
      <xdr:col>26</xdr:col>
      <xdr:colOff>542925</xdr:colOff>
      <xdr:row>2</xdr:row>
      <xdr:rowOff>27215</xdr:rowOff>
    </xdr:to>
    <xdr:sp macro="" textlink="$J$6">
      <xdr:nvSpPr>
        <xdr:cNvPr id="24" name="TextBox 23">
          <a:extLst>
            <a:ext uri="{FF2B5EF4-FFF2-40B4-BE49-F238E27FC236}">
              <a16:creationId xmlns:a16="http://schemas.microsoft.com/office/drawing/2014/main" id="{BD40A1FC-6E89-460A-BB25-6EE43D548634}"/>
            </a:ext>
          </a:extLst>
        </xdr:cNvPr>
        <xdr:cNvSpPr txBox="1"/>
      </xdr:nvSpPr>
      <xdr:spPr>
        <a:xfrm>
          <a:off x="17404896" y="149679"/>
          <a:ext cx="1820636" cy="28575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C2C24BA-C070-4B66-A11F-4012E2591220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March</a:t>
          </a:fld>
          <a:endParaRPr lang="en-US" sz="1600" b="1"/>
        </a:p>
      </xdr:txBody>
    </xdr:sp>
    <xdr:clientData/>
  </xdr:twoCellAnchor>
  <xdr:twoCellAnchor>
    <xdr:from>
      <xdr:col>30</xdr:col>
      <xdr:colOff>59121</xdr:colOff>
      <xdr:row>0</xdr:row>
      <xdr:rowOff>111673</xdr:rowOff>
    </xdr:from>
    <xdr:to>
      <xdr:col>30</xdr:col>
      <xdr:colOff>407277</xdr:colOff>
      <xdr:row>2</xdr:row>
      <xdr:rowOff>39415</xdr:rowOff>
    </xdr:to>
    <xdr:sp macro="" textlink="">
      <xdr:nvSpPr>
        <xdr:cNvPr id="25" name="Flowchart: Or 24">
          <a:extLst>
            <a:ext uri="{FF2B5EF4-FFF2-40B4-BE49-F238E27FC236}">
              <a16:creationId xmlns:a16="http://schemas.microsoft.com/office/drawing/2014/main" id="{5F7C1397-680C-4463-9913-0A1093FE05E2}"/>
            </a:ext>
          </a:extLst>
        </xdr:cNvPr>
        <xdr:cNvSpPr/>
      </xdr:nvSpPr>
      <xdr:spPr>
        <a:xfrm>
          <a:off x="21080796" y="111673"/>
          <a:ext cx="348156" cy="327792"/>
        </a:xfrm>
        <a:prstGeom prst="flowChartOr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420413</xdr:colOff>
      <xdr:row>0</xdr:row>
      <xdr:rowOff>91966</xdr:rowOff>
    </xdr:from>
    <xdr:to>
      <xdr:col>32</xdr:col>
      <xdr:colOff>170793</xdr:colOff>
      <xdr:row>2</xdr:row>
      <xdr:rowOff>78827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5A935B1-F656-4537-91BA-C499EC0DD1FC}"/>
            </a:ext>
          </a:extLst>
        </xdr:cNvPr>
        <xdr:cNvSpPr/>
      </xdr:nvSpPr>
      <xdr:spPr>
        <a:xfrm>
          <a:off x="21442088" y="91966"/>
          <a:ext cx="988630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Present</a:t>
          </a:r>
        </a:p>
      </xdr:txBody>
    </xdr:sp>
    <xdr:clientData/>
  </xdr:twoCellAnchor>
  <xdr:twoCellAnchor>
    <xdr:from>
      <xdr:col>32</xdr:col>
      <xdr:colOff>441436</xdr:colOff>
      <xdr:row>0</xdr:row>
      <xdr:rowOff>126124</xdr:rowOff>
    </xdr:from>
    <xdr:to>
      <xdr:col>33</xdr:col>
      <xdr:colOff>172109</xdr:colOff>
      <xdr:row>2</xdr:row>
      <xdr:rowOff>53866</xdr:rowOff>
    </xdr:to>
    <xdr:sp macro="" textlink="">
      <xdr:nvSpPr>
        <xdr:cNvPr id="27" name="Flowchart: Or 26">
          <a:extLst>
            <a:ext uri="{FF2B5EF4-FFF2-40B4-BE49-F238E27FC236}">
              <a16:creationId xmlns:a16="http://schemas.microsoft.com/office/drawing/2014/main" id="{B0791A05-2A60-4207-AAF3-C030685CF463}"/>
            </a:ext>
          </a:extLst>
        </xdr:cNvPr>
        <xdr:cNvSpPr/>
      </xdr:nvSpPr>
      <xdr:spPr>
        <a:xfrm>
          <a:off x="22701361" y="126124"/>
          <a:ext cx="349798" cy="327792"/>
        </a:xfrm>
        <a:prstGeom prst="flowChar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185245</xdr:colOff>
      <xdr:row>0</xdr:row>
      <xdr:rowOff>106417</xdr:rowOff>
    </xdr:from>
    <xdr:to>
      <xdr:col>34</xdr:col>
      <xdr:colOff>553107</xdr:colOff>
      <xdr:row>2</xdr:row>
      <xdr:rowOff>93278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838FCBC8-F5E0-4A27-8C6A-9BD480255947}"/>
            </a:ext>
          </a:extLst>
        </xdr:cNvPr>
        <xdr:cNvSpPr/>
      </xdr:nvSpPr>
      <xdr:spPr>
        <a:xfrm>
          <a:off x="23064295" y="106417"/>
          <a:ext cx="986987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Absent</a:t>
          </a:r>
        </a:p>
      </xdr:txBody>
    </xdr:sp>
    <xdr:clientData/>
  </xdr:twoCellAnchor>
  <xdr:twoCellAnchor>
    <xdr:from>
      <xdr:col>35</xdr:col>
      <xdr:colOff>173421</xdr:colOff>
      <xdr:row>0</xdr:row>
      <xdr:rowOff>114299</xdr:rowOff>
    </xdr:from>
    <xdr:to>
      <xdr:col>35</xdr:col>
      <xdr:colOff>521577</xdr:colOff>
      <xdr:row>2</xdr:row>
      <xdr:rowOff>42041</xdr:rowOff>
    </xdr:to>
    <xdr:sp macro="" textlink="">
      <xdr:nvSpPr>
        <xdr:cNvPr id="29" name="Flowchart: Or 28">
          <a:extLst>
            <a:ext uri="{FF2B5EF4-FFF2-40B4-BE49-F238E27FC236}">
              <a16:creationId xmlns:a16="http://schemas.microsoft.com/office/drawing/2014/main" id="{EDBD82CB-BCCF-4611-BDAA-12785AA7A5C2}"/>
            </a:ext>
          </a:extLst>
        </xdr:cNvPr>
        <xdr:cNvSpPr/>
      </xdr:nvSpPr>
      <xdr:spPr>
        <a:xfrm>
          <a:off x="24290721" y="114299"/>
          <a:ext cx="348156" cy="327792"/>
        </a:xfrm>
        <a:prstGeom prst="flowChartOr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534713</xdr:colOff>
      <xdr:row>0</xdr:row>
      <xdr:rowOff>94592</xdr:rowOff>
    </xdr:from>
    <xdr:to>
      <xdr:col>37</xdr:col>
      <xdr:colOff>285093</xdr:colOff>
      <xdr:row>2</xdr:row>
      <xdr:rowOff>81453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694504AE-B67C-4CE4-951D-27203ADD99F4}"/>
            </a:ext>
          </a:extLst>
        </xdr:cNvPr>
        <xdr:cNvSpPr/>
      </xdr:nvSpPr>
      <xdr:spPr>
        <a:xfrm>
          <a:off x="24652013" y="94592"/>
          <a:ext cx="988630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Leave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51636</xdr:colOff>
      <xdr:row>0</xdr:row>
      <xdr:rowOff>0</xdr:rowOff>
    </xdr:from>
    <xdr:to>
      <xdr:col>42</xdr:col>
      <xdr:colOff>0</xdr:colOff>
      <xdr:row>2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3961B58-6705-4C2D-B5B6-DC537AFD9FA3}"/>
            </a:ext>
          </a:extLst>
        </xdr:cNvPr>
        <xdr:cNvSpPr/>
      </xdr:nvSpPr>
      <xdr:spPr>
        <a:xfrm>
          <a:off x="1270836" y="0"/>
          <a:ext cx="27170814" cy="581025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</xdr:colOff>
      <xdr:row>0</xdr:row>
      <xdr:rowOff>9523</xdr:rowOff>
    </xdr:from>
    <xdr:to>
      <xdr:col>4</xdr:col>
      <xdr:colOff>40821</xdr:colOff>
      <xdr:row>70</xdr:row>
      <xdr:rowOff>176893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9AE738E-5084-45B9-9580-3A9010DCE015}"/>
            </a:ext>
          </a:extLst>
        </xdr:cNvPr>
        <xdr:cNvSpPr/>
      </xdr:nvSpPr>
      <xdr:spPr>
        <a:xfrm>
          <a:off x="9525" y="9523"/>
          <a:ext cx="2480582" cy="1445487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noFill/>
            </a:ln>
          </a:endParaRPr>
        </a:p>
      </xdr:txBody>
    </xdr:sp>
    <xdr:clientData/>
  </xdr:twoCellAnchor>
  <xdr:twoCellAnchor>
    <xdr:from>
      <xdr:col>0</xdr:col>
      <xdr:colOff>0</xdr:colOff>
      <xdr:row>1</xdr:row>
      <xdr:rowOff>133350</xdr:rowOff>
    </xdr:from>
    <xdr:to>
      <xdr:col>4</xdr:col>
      <xdr:colOff>142875</xdr:colOff>
      <xdr:row>4</xdr:row>
      <xdr:rowOff>47625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8DDBC-C765-45F9-9874-DC7915B9DC9A}"/>
            </a:ext>
          </a:extLst>
        </xdr:cNvPr>
        <xdr:cNvSpPr/>
      </xdr:nvSpPr>
      <xdr:spPr>
        <a:xfrm>
          <a:off x="0" y="323850"/>
          <a:ext cx="2619375" cy="4857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January</a:t>
          </a:r>
        </a:p>
      </xdr:txBody>
    </xdr:sp>
    <xdr:clientData/>
  </xdr:twoCellAnchor>
  <xdr:twoCellAnchor>
    <xdr:from>
      <xdr:col>0</xdr:col>
      <xdr:colOff>0</xdr:colOff>
      <xdr:row>4</xdr:row>
      <xdr:rowOff>180415</xdr:rowOff>
    </xdr:from>
    <xdr:to>
      <xdr:col>4</xdr:col>
      <xdr:colOff>138392</xdr:colOff>
      <xdr:row>7</xdr:row>
      <xdr:rowOff>94690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FBFE8DE-CE53-4382-A0A4-95E11109DEE4}"/>
            </a:ext>
          </a:extLst>
        </xdr:cNvPr>
        <xdr:cNvSpPr/>
      </xdr:nvSpPr>
      <xdr:spPr>
        <a:xfrm>
          <a:off x="0" y="980515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Feb</a:t>
          </a:r>
        </a:p>
      </xdr:txBody>
    </xdr:sp>
    <xdr:clientData/>
  </xdr:twoCellAnchor>
  <xdr:twoCellAnchor>
    <xdr:from>
      <xdr:col>0</xdr:col>
      <xdr:colOff>0</xdr:colOff>
      <xdr:row>8</xdr:row>
      <xdr:rowOff>8965</xdr:rowOff>
    </xdr:from>
    <xdr:to>
      <xdr:col>4</xdr:col>
      <xdr:colOff>142874</xdr:colOff>
      <xdr:row>10</xdr:row>
      <xdr:rowOff>113740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EBAACCE-ADAA-4A02-87D3-D2C85E1223EA}"/>
            </a:ext>
          </a:extLst>
        </xdr:cNvPr>
        <xdr:cNvSpPr/>
      </xdr:nvSpPr>
      <xdr:spPr>
        <a:xfrm>
          <a:off x="0" y="1609165"/>
          <a:ext cx="2581274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March</a:t>
          </a:r>
        </a:p>
      </xdr:txBody>
    </xdr:sp>
    <xdr:clientData/>
  </xdr:twoCellAnchor>
  <xdr:twoCellAnchor>
    <xdr:from>
      <xdr:col>1</xdr:col>
      <xdr:colOff>166687</xdr:colOff>
      <xdr:row>11</xdr:row>
      <xdr:rowOff>51827</xdr:rowOff>
    </xdr:from>
    <xdr:to>
      <xdr:col>5</xdr:col>
      <xdr:colOff>305079</xdr:colOff>
      <xdr:row>13</xdr:row>
      <xdr:rowOff>156602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E3ADE26-452F-46E7-BAAD-4F6A7B2383F3}"/>
            </a:ext>
          </a:extLst>
        </xdr:cNvPr>
        <xdr:cNvSpPr/>
      </xdr:nvSpPr>
      <xdr:spPr>
        <a:xfrm>
          <a:off x="785812" y="2171140"/>
          <a:ext cx="2614892" cy="48577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April</a:t>
          </a:r>
        </a:p>
      </xdr:txBody>
    </xdr:sp>
    <xdr:clientData/>
  </xdr:twoCellAnchor>
  <xdr:twoCellAnchor>
    <xdr:from>
      <xdr:col>0</xdr:col>
      <xdr:colOff>0</xdr:colOff>
      <xdr:row>14</xdr:row>
      <xdr:rowOff>123265</xdr:rowOff>
    </xdr:from>
    <xdr:to>
      <xdr:col>4</xdr:col>
      <xdr:colOff>138392</xdr:colOff>
      <xdr:row>17</xdr:row>
      <xdr:rowOff>37540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42A5576-F392-4838-A002-F427D3FA2778}"/>
            </a:ext>
          </a:extLst>
        </xdr:cNvPr>
        <xdr:cNvSpPr/>
      </xdr:nvSpPr>
      <xdr:spPr>
        <a:xfrm>
          <a:off x="0" y="29331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151840</xdr:rowOff>
    </xdr:from>
    <xdr:to>
      <xdr:col>4</xdr:col>
      <xdr:colOff>157442</xdr:colOff>
      <xdr:row>20</xdr:row>
      <xdr:rowOff>66115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20A0A53-E4F7-42A8-A98A-519F4033322A}"/>
            </a:ext>
          </a:extLst>
        </xdr:cNvPr>
        <xdr:cNvSpPr/>
      </xdr:nvSpPr>
      <xdr:spPr>
        <a:xfrm>
          <a:off x="19050" y="356179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June</a:t>
          </a:r>
        </a:p>
      </xdr:txBody>
    </xdr:sp>
    <xdr:clientData/>
  </xdr:twoCellAnchor>
  <xdr:twoCellAnchor>
    <xdr:from>
      <xdr:col>0</xdr:col>
      <xdr:colOff>9525</xdr:colOff>
      <xdr:row>20</xdr:row>
      <xdr:rowOff>189940</xdr:rowOff>
    </xdr:from>
    <xdr:to>
      <xdr:col>4</xdr:col>
      <xdr:colOff>147917</xdr:colOff>
      <xdr:row>23</xdr:row>
      <xdr:rowOff>104215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2F3C3E9-483E-46C9-8212-733FFDC519D1}"/>
            </a:ext>
          </a:extLst>
        </xdr:cNvPr>
        <xdr:cNvSpPr/>
      </xdr:nvSpPr>
      <xdr:spPr>
        <a:xfrm>
          <a:off x="9525" y="4199965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July</a:t>
          </a:r>
        </a:p>
      </xdr:txBody>
    </xdr:sp>
    <xdr:clientData/>
  </xdr:twoCellAnchor>
  <xdr:twoCellAnchor>
    <xdr:from>
      <xdr:col>0</xdr:col>
      <xdr:colOff>9525</xdr:colOff>
      <xdr:row>24</xdr:row>
      <xdr:rowOff>47065</xdr:rowOff>
    </xdr:from>
    <xdr:to>
      <xdr:col>4</xdr:col>
      <xdr:colOff>147917</xdr:colOff>
      <xdr:row>26</xdr:row>
      <xdr:rowOff>151840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A38F836-6C7B-444A-9FD5-C3EEF985B5F3}"/>
            </a:ext>
          </a:extLst>
        </xdr:cNvPr>
        <xdr:cNvSpPr/>
      </xdr:nvSpPr>
      <xdr:spPr>
        <a:xfrm>
          <a:off x="9525" y="485719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August</a:t>
          </a:r>
        </a:p>
      </xdr:txBody>
    </xdr:sp>
    <xdr:clientData/>
  </xdr:twoCellAnchor>
  <xdr:twoCellAnchor>
    <xdr:from>
      <xdr:col>0</xdr:col>
      <xdr:colOff>9525</xdr:colOff>
      <xdr:row>27</xdr:row>
      <xdr:rowOff>94690</xdr:rowOff>
    </xdr:from>
    <xdr:to>
      <xdr:col>4</xdr:col>
      <xdr:colOff>147917</xdr:colOff>
      <xdr:row>30</xdr:row>
      <xdr:rowOff>8965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A735C7A-0E6A-44D2-8F23-424C7301E194}"/>
            </a:ext>
          </a:extLst>
        </xdr:cNvPr>
        <xdr:cNvSpPr/>
      </xdr:nvSpPr>
      <xdr:spPr>
        <a:xfrm>
          <a:off x="9525" y="5504890"/>
          <a:ext cx="2576792" cy="5238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September</a:t>
          </a:r>
        </a:p>
      </xdr:txBody>
    </xdr:sp>
    <xdr:clientData/>
  </xdr:twoCellAnchor>
  <xdr:twoCellAnchor>
    <xdr:from>
      <xdr:col>0</xdr:col>
      <xdr:colOff>19050</xdr:colOff>
      <xdr:row>30</xdr:row>
      <xdr:rowOff>113740</xdr:rowOff>
    </xdr:from>
    <xdr:to>
      <xdr:col>4</xdr:col>
      <xdr:colOff>157442</xdr:colOff>
      <xdr:row>33</xdr:row>
      <xdr:rowOff>28015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E993AEB-4E0C-4D93-B271-73ECC079B96E}"/>
            </a:ext>
          </a:extLst>
        </xdr:cNvPr>
        <xdr:cNvSpPr/>
      </xdr:nvSpPr>
      <xdr:spPr>
        <a:xfrm>
          <a:off x="19050" y="61335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October</a:t>
          </a:r>
        </a:p>
      </xdr:txBody>
    </xdr:sp>
    <xdr:clientData/>
  </xdr:twoCellAnchor>
  <xdr:twoCellAnchor>
    <xdr:from>
      <xdr:col>0</xdr:col>
      <xdr:colOff>9525</xdr:colOff>
      <xdr:row>33</xdr:row>
      <xdr:rowOff>161365</xdr:rowOff>
    </xdr:from>
    <xdr:to>
      <xdr:col>4</xdr:col>
      <xdr:colOff>147917</xdr:colOff>
      <xdr:row>36</xdr:row>
      <xdr:rowOff>75640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9BFED3C-B0DE-48A3-90FC-D09DCCBA520D}"/>
            </a:ext>
          </a:extLst>
        </xdr:cNvPr>
        <xdr:cNvSpPr/>
      </xdr:nvSpPr>
      <xdr:spPr>
        <a:xfrm>
          <a:off x="9525" y="67812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November</a:t>
          </a:r>
        </a:p>
      </xdr:txBody>
    </xdr:sp>
    <xdr:clientData/>
  </xdr:twoCellAnchor>
  <xdr:twoCellAnchor>
    <xdr:from>
      <xdr:col>0</xdr:col>
      <xdr:colOff>0</xdr:colOff>
      <xdr:row>37</xdr:row>
      <xdr:rowOff>47065</xdr:rowOff>
    </xdr:from>
    <xdr:to>
      <xdr:col>4</xdr:col>
      <xdr:colOff>138392</xdr:colOff>
      <xdr:row>39</xdr:row>
      <xdr:rowOff>151840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11A4BAE-FA4F-435C-B313-F32D01B8152F}"/>
            </a:ext>
          </a:extLst>
        </xdr:cNvPr>
        <xdr:cNvSpPr/>
      </xdr:nvSpPr>
      <xdr:spPr>
        <a:xfrm>
          <a:off x="0" y="746704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December</a:t>
          </a:r>
        </a:p>
      </xdr:txBody>
    </xdr:sp>
    <xdr:clientData/>
  </xdr:twoCellAnchor>
  <xdr:twoCellAnchor>
    <xdr:from>
      <xdr:col>42</xdr:col>
      <xdr:colOff>11204</xdr:colOff>
      <xdr:row>0</xdr:row>
      <xdr:rowOff>0</xdr:rowOff>
    </xdr:from>
    <xdr:to>
      <xdr:col>59</xdr:col>
      <xdr:colOff>27214</xdr:colOff>
      <xdr:row>2</xdr:row>
      <xdr:rowOff>179293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640297F-418F-47AE-B1C4-28D5F148F047}"/>
            </a:ext>
          </a:extLst>
        </xdr:cNvPr>
        <xdr:cNvSpPr/>
      </xdr:nvSpPr>
      <xdr:spPr>
        <a:xfrm>
          <a:off x="28695061" y="0"/>
          <a:ext cx="15269617" cy="587507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ln>
                <a:noFill/>
              </a:ln>
              <a:solidFill>
                <a:schemeClr val="tx1"/>
              </a:solidFill>
            </a:rPr>
            <a:t>Monthly Report </a:t>
          </a:r>
        </a:p>
      </xdr:txBody>
    </xdr:sp>
    <xdr:clientData/>
  </xdr:twoCellAnchor>
  <xdr:twoCellAnchor>
    <xdr:from>
      <xdr:col>5</xdr:col>
      <xdr:colOff>571500</xdr:colOff>
      <xdr:row>0</xdr:row>
      <xdr:rowOff>145676</xdr:rowOff>
    </xdr:from>
    <xdr:to>
      <xdr:col>7</xdr:col>
      <xdr:colOff>874059</xdr:colOff>
      <xdr:row>2</xdr:row>
      <xdr:rowOff>56029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0768BB1-6E2B-4EB5-8F8E-54788BEA7B0E}"/>
            </a:ext>
          </a:extLst>
        </xdr:cNvPr>
        <xdr:cNvSpPr txBox="1"/>
      </xdr:nvSpPr>
      <xdr:spPr>
        <a:xfrm>
          <a:off x="3619500" y="145676"/>
          <a:ext cx="1531284" cy="31040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From</a:t>
          </a:r>
        </a:p>
      </xdr:txBody>
    </xdr:sp>
    <xdr:clientData/>
  </xdr:twoCellAnchor>
  <xdr:twoCellAnchor>
    <xdr:from>
      <xdr:col>7</xdr:col>
      <xdr:colOff>885265</xdr:colOff>
      <xdr:row>0</xdr:row>
      <xdr:rowOff>145676</xdr:rowOff>
    </xdr:from>
    <xdr:to>
      <xdr:col>8</xdr:col>
      <xdr:colOff>593911</xdr:colOff>
      <xdr:row>2</xdr:row>
      <xdr:rowOff>56029</xdr:rowOff>
    </xdr:to>
    <xdr:sp macro="" textlink="$H$6">
      <xdr:nvSpPr>
        <xdr:cNvPr id="18" name="TextBox 17">
          <a:extLst>
            <a:ext uri="{FF2B5EF4-FFF2-40B4-BE49-F238E27FC236}">
              <a16:creationId xmlns:a16="http://schemas.microsoft.com/office/drawing/2014/main" id="{29A58C1C-7A64-44F7-8755-51EDF0F588C4}"/>
            </a:ext>
          </a:extLst>
        </xdr:cNvPr>
        <xdr:cNvSpPr txBox="1"/>
      </xdr:nvSpPr>
      <xdr:spPr>
        <a:xfrm>
          <a:off x="5161990" y="145676"/>
          <a:ext cx="1499346" cy="310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4FAE0827-8A19-483B-A3A8-823BC530720B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1-Apr-25</a:t>
          </a:fld>
          <a:endParaRPr lang="en-US" sz="1600" b="1"/>
        </a:p>
      </xdr:txBody>
    </xdr:sp>
    <xdr:clientData/>
  </xdr:twoCellAnchor>
  <xdr:twoCellAnchor>
    <xdr:from>
      <xdr:col>13</xdr:col>
      <xdr:colOff>410135</xdr:colOff>
      <xdr:row>0</xdr:row>
      <xdr:rowOff>118782</xdr:rowOff>
    </xdr:from>
    <xdr:to>
      <xdr:col>16</xdr:col>
      <xdr:colOff>85165</xdr:colOff>
      <xdr:row>2</xdr:row>
      <xdr:rowOff>29135</xdr:rowOff>
    </xdr:to>
    <xdr:sp macro="" textlink="$M$6">
      <xdr:nvSpPr>
        <xdr:cNvPr id="19" name="TextBox 18">
          <a:extLst>
            <a:ext uri="{FF2B5EF4-FFF2-40B4-BE49-F238E27FC236}">
              <a16:creationId xmlns:a16="http://schemas.microsoft.com/office/drawing/2014/main" id="{CC5B1640-8086-4DF1-AE37-D1D64E1E2116}"/>
            </a:ext>
          </a:extLst>
        </xdr:cNvPr>
        <xdr:cNvSpPr txBox="1"/>
      </xdr:nvSpPr>
      <xdr:spPr>
        <a:xfrm>
          <a:off x="10906685" y="118782"/>
          <a:ext cx="1532405" cy="310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CF0DC84-B8FC-49E0-B45A-C37B36E5F7EF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30-Apr-25</a:t>
          </a:fld>
          <a:endParaRPr lang="en-US" sz="1600" b="1"/>
        </a:p>
      </xdr:txBody>
    </xdr:sp>
    <xdr:clientData/>
  </xdr:twoCellAnchor>
  <xdr:twoCellAnchor>
    <xdr:from>
      <xdr:col>11</xdr:col>
      <xdr:colOff>392206</xdr:colOff>
      <xdr:row>0</xdr:row>
      <xdr:rowOff>118782</xdr:rowOff>
    </xdr:from>
    <xdr:to>
      <xdr:col>13</xdr:col>
      <xdr:colOff>403410</xdr:colOff>
      <xdr:row>2</xdr:row>
      <xdr:rowOff>29135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D58A205-F976-468E-8237-C0E96011F679}"/>
            </a:ext>
          </a:extLst>
        </xdr:cNvPr>
        <xdr:cNvSpPr txBox="1"/>
      </xdr:nvSpPr>
      <xdr:spPr>
        <a:xfrm>
          <a:off x="9355231" y="118782"/>
          <a:ext cx="1544729" cy="31040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To</a:t>
          </a:r>
        </a:p>
      </xdr:txBody>
    </xdr:sp>
    <xdr:clientData/>
  </xdr:twoCellAnchor>
  <xdr:twoCellAnchor>
    <xdr:from>
      <xdr:col>16</xdr:col>
      <xdr:colOff>326571</xdr:colOff>
      <xdr:row>0</xdr:row>
      <xdr:rowOff>136071</xdr:rowOff>
    </xdr:from>
    <xdr:to>
      <xdr:col>28</xdr:col>
      <xdr:colOff>598714</xdr:colOff>
      <xdr:row>2</xdr:row>
      <xdr:rowOff>40822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493ACEF-81BE-4473-9C82-30D8FAE307E1}"/>
            </a:ext>
          </a:extLst>
        </xdr:cNvPr>
        <xdr:cNvSpPr/>
      </xdr:nvSpPr>
      <xdr:spPr>
        <a:xfrm>
          <a:off x="12680496" y="136071"/>
          <a:ext cx="7701643" cy="30480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340180</xdr:colOff>
      <xdr:row>0</xdr:row>
      <xdr:rowOff>180975</xdr:rowOff>
    </xdr:from>
    <xdr:to>
      <xdr:col>25</xdr:col>
      <xdr:colOff>190501</xdr:colOff>
      <xdr:row>2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C9DF248-F923-4FBC-8F9D-B23CAEA3D6BA}"/>
            </a:ext>
          </a:extLst>
        </xdr:cNvPr>
        <xdr:cNvSpPr txBox="1"/>
      </xdr:nvSpPr>
      <xdr:spPr>
        <a:xfrm>
          <a:off x="12694105" y="180975"/>
          <a:ext cx="5422446" cy="2286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/>
            <a:t>Dashboard</a:t>
          </a:r>
          <a:r>
            <a:rPr lang="en-US" sz="2400" b="1" baseline="0"/>
            <a:t> for the month of </a:t>
          </a:r>
          <a:endParaRPr lang="en-US" sz="2400" b="1"/>
        </a:p>
      </xdr:txBody>
    </xdr:sp>
    <xdr:clientData/>
  </xdr:twoCellAnchor>
  <xdr:twoCellAnchor editAs="oneCell">
    <xdr:from>
      <xdr:col>27</xdr:col>
      <xdr:colOff>590340</xdr:colOff>
      <xdr:row>0</xdr:row>
      <xdr:rowOff>131884</xdr:rowOff>
    </xdr:from>
    <xdr:to>
      <xdr:col>29</xdr:col>
      <xdr:colOff>1231</xdr:colOff>
      <xdr:row>2</xdr:row>
      <xdr:rowOff>92319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C0C6A82D-B3D6-4855-8D9A-729AB097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9754640" y="131884"/>
          <a:ext cx="649141" cy="341435"/>
        </a:xfrm>
        <a:prstGeom prst="rect">
          <a:avLst/>
        </a:prstGeom>
      </xdr:spPr>
    </xdr:pic>
    <xdr:clientData/>
  </xdr:twoCellAnchor>
  <xdr:twoCellAnchor>
    <xdr:from>
      <xdr:col>23</xdr:col>
      <xdr:colOff>600075</xdr:colOff>
      <xdr:row>0</xdr:row>
      <xdr:rowOff>142875</xdr:rowOff>
    </xdr:from>
    <xdr:to>
      <xdr:col>26</xdr:col>
      <xdr:colOff>542925</xdr:colOff>
      <xdr:row>2</xdr:row>
      <xdr:rowOff>19050</xdr:rowOff>
    </xdr:to>
    <xdr:sp macro="" textlink="$J$6">
      <xdr:nvSpPr>
        <xdr:cNvPr id="24" name="TextBox 23">
          <a:extLst>
            <a:ext uri="{FF2B5EF4-FFF2-40B4-BE49-F238E27FC236}">
              <a16:creationId xmlns:a16="http://schemas.microsoft.com/office/drawing/2014/main" id="{1424241F-8109-464F-A3F8-3F9E85B89B1B}"/>
            </a:ext>
          </a:extLst>
        </xdr:cNvPr>
        <xdr:cNvSpPr txBox="1"/>
      </xdr:nvSpPr>
      <xdr:spPr>
        <a:xfrm>
          <a:off x="17287875" y="142875"/>
          <a:ext cx="1800225" cy="276225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C2C24BA-C070-4B66-A11F-4012E2591220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April</a:t>
          </a:fld>
          <a:endParaRPr lang="en-US" sz="1600" b="1"/>
        </a:p>
      </xdr:txBody>
    </xdr:sp>
    <xdr:clientData/>
  </xdr:twoCellAnchor>
  <xdr:twoCellAnchor>
    <xdr:from>
      <xdr:col>30</xdr:col>
      <xdr:colOff>59121</xdr:colOff>
      <xdr:row>0</xdr:row>
      <xdr:rowOff>111673</xdr:rowOff>
    </xdr:from>
    <xdr:to>
      <xdr:col>30</xdr:col>
      <xdr:colOff>407277</xdr:colOff>
      <xdr:row>2</xdr:row>
      <xdr:rowOff>39415</xdr:rowOff>
    </xdr:to>
    <xdr:sp macro="" textlink="">
      <xdr:nvSpPr>
        <xdr:cNvPr id="25" name="Flowchart: Or 24">
          <a:extLst>
            <a:ext uri="{FF2B5EF4-FFF2-40B4-BE49-F238E27FC236}">
              <a16:creationId xmlns:a16="http://schemas.microsoft.com/office/drawing/2014/main" id="{DAD61493-9CCF-442C-8771-270A6CE8CB26}"/>
            </a:ext>
          </a:extLst>
        </xdr:cNvPr>
        <xdr:cNvSpPr/>
      </xdr:nvSpPr>
      <xdr:spPr>
        <a:xfrm>
          <a:off x="21080796" y="111673"/>
          <a:ext cx="348156" cy="327792"/>
        </a:xfrm>
        <a:prstGeom prst="flowChartOr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420413</xdr:colOff>
      <xdr:row>0</xdr:row>
      <xdr:rowOff>91966</xdr:rowOff>
    </xdr:from>
    <xdr:to>
      <xdr:col>32</xdr:col>
      <xdr:colOff>170793</xdr:colOff>
      <xdr:row>2</xdr:row>
      <xdr:rowOff>78827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0FD0CAC-799C-4B7F-9F5A-2AA0F6616742}"/>
            </a:ext>
          </a:extLst>
        </xdr:cNvPr>
        <xdr:cNvSpPr/>
      </xdr:nvSpPr>
      <xdr:spPr>
        <a:xfrm>
          <a:off x="21442088" y="91966"/>
          <a:ext cx="988630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Present</a:t>
          </a:r>
        </a:p>
      </xdr:txBody>
    </xdr:sp>
    <xdr:clientData/>
  </xdr:twoCellAnchor>
  <xdr:twoCellAnchor>
    <xdr:from>
      <xdr:col>32</xdr:col>
      <xdr:colOff>441436</xdr:colOff>
      <xdr:row>0</xdr:row>
      <xdr:rowOff>126124</xdr:rowOff>
    </xdr:from>
    <xdr:to>
      <xdr:col>33</xdr:col>
      <xdr:colOff>172109</xdr:colOff>
      <xdr:row>2</xdr:row>
      <xdr:rowOff>53866</xdr:rowOff>
    </xdr:to>
    <xdr:sp macro="" textlink="">
      <xdr:nvSpPr>
        <xdr:cNvPr id="27" name="Flowchart: Or 26">
          <a:extLst>
            <a:ext uri="{FF2B5EF4-FFF2-40B4-BE49-F238E27FC236}">
              <a16:creationId xmlns:a16="http://schemas.microsoft.com/office/drawing/2014/main" id="{CC9EF215-ABF8-4882-B059-7387D1187CB4}"/>
            </a:ext>
          </a:extLst>
        </xdr:cNvPr>
        <xdr:cNvSpPr/>
      </xdr:nvSpPr>
      <xdr:spPr>
        <a:xfrm>
          <a:off x="22701361" y="126124"/>
          <a:ext cx="349798" cy="327792"/>
        </a:xfrm>
        <a:prstGeom prst="flowChar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185245</xdr:colOff>
      <xdr:row>0</xdr:row>
      <xdr:rowOff>106417</xdr:rowOff>
    </xdr:from>
    <xdr:to>
      <xdr:col>34</xdr:col>
      <xdr:colOff>553107</xdr:colOff>
      <xdr:row>2</xdr:row>
      <xdr:rowOff>93278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944CB69-E126-4577-B0B6-DA20F79911D8}"/>
            </a:ext>
          </a:extLst>
        </xdr:cNvPr>
        <xdr:cNvSpPr/>
      </xdr:nvSpPr>
      <xdr:spPr>
        <a:xfrm>
          <a:off x="23064295" y="106417"/>
          <a:ext cx="986987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Absent</a:t>
          </a:r>
        </a:p>
      </xdr:txBody>
    </xdr:sp>
    <xdr:clientData/>
  </xdr:twoCellAnchor>
  <xdr:twoCellAnchor>
    <xdr:from>
      <xdr:col>35</xdr:col>
      <xdr:colOff>173421</xdr:colOff>
      <xdr:row>0</xdr:row>
      <xdr:rowOff>114299</xdr:rowOff>
    </xdr:from>
    <xdr:to>
      <xdr:col>35</xdr:col>
      <xdr:colOff>521577</xdr:colOff>
      <xdr:row>2</xdr:row>
      <xdr:rowOff>42041</xdr:rowOff>
    </xdr:to>
    <xdr:sp macro="" textlink="">
      <xdr:nvSpPr>
        <xdr:cNvPr id="29" name="Flowchart: Or 28">
          <a:extLst>
            <a:ext uri="{FF2B5EF4-FFF2-40B4-BE49-F238E27FC236}">
              <a16:creationId xmlns:a16="http://schemas.microsoft.com/office/drawing/2014/main" id="{D0F2D562-F66F-49FA-9184-F0B9260ADD6D}"/>
            </a:ext>
          </a:extLst>
        </xdr:cNvPr>
        <xdr:cNvSpPr/>
      </xdr:nvSpPr>
      <xdr:spPr>
        <a:xfrm>
          <a:off x="24290721" y="114299"/>
          <a:ext cx="348156" cy="327792"/>
        </a:xfrm>
        <a:prstGeom prst="flowChartOr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534713</xdr:colOff>
      <xdr:row>0</xdr:row>
      <xdr:rowOff>94592</xdr:rowOff>
    </xdr:from>
    <xdr:to>
      <xdr:col>37</xdr:col>
      <xdr:colOff>285093</xdr:colOff>
      <xdr:row>2</xdr:row>
      <xdr:rowOff>81453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CA9B7802-8A56-44C9-94B3-ADCFE8F76D1D}"/>
            </a:ext>
          </a:extLst>
        </xdr:cNvPr>
        <xdr:cNvSpPr/>
      </xdr:nvSpPr>
      <xdr:spPr>
        <a:xfrm>
          <a:off x="24652013" y="94592"/>
          <a:ext cx="988630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Leave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51636</xdr:colOff>
      <xdr:row>0</xdr:row>
      <xdr:rowOff>0</xdr:rowOff>
    </xdr:from>
    <xdr:to>
      <xdr:col>42</xdr:col>
      <xdr:colOff>0</xdr:colOff>
      <xdr:row>2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203E128-9837-485E-BC1B-F0C78BF4C28A}"/>
            </a:ext>
          </a:extLst>
        </xdr:cNvPr>
        <xdr:cNvSpPr/>
      </xdr:nvSpPr>
      <xdr:spPr>
        <a:xfrm>
          <a:off x="1270836" y="0"/>
          <a:ext cx="27170814" cy="581025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</xdr:colOff>
      <xdr:row>0</xdr:row>
      <xdr:rowOff>9523</xdr:rowOff>
    </xdr:from>
    <xdr:to>
      <xdr:col>3</xdr:col>
      <xdr:colOff>554182</xdr:colOff>
      <xdr:row>65</xdr:row>
      <xdr:rowOff>121227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88DD8EE-EF17-481B-932E-038EB51E6F58}"/>
            </a:ext>
          </a:extLst>
        </xdr:cNvPr>
        <xdr:cNvSpPr/>
      </xdr:nvSpPr>
      <xdr:spPr>
        <a:xfrm>
          <a:off x="9525" y="9523"/>
          <a:ext cx="2363066" cy="13619886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noFill/>
            </a:ln>
          </a:endParaRPr>
        </a:p>
      </xdr:txBody>
    </xdr:sp>
    <xdr:clientData/>
  </xdr:twoCellAnchor>
  <xdr:twoCellAnchor>
    <xdr:from>
      <xdr:col>0</xdr:col>
      <xdr:colOff>0</xdr:colOff>
      <xdr:row>1</xdr:row>
      <xdr:rowOff>133350</xdr:rowOff>
    </xdr:from>
    <xdr:to>
      <xdr:col>4</xdr:col>
      <xdr:colOff>142876</xdr:colOff>
      <xdr:row>4</xdr:row>
      <xdr:rowOff>47625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2A2413-84D2-45A6-9872-85494FC138EC}"/>
            </a:ext>
          </a:extLst>
        </xdr:cNvPr>
        <xdr:cNvSpPr/>
      </xdr:nvSpPr>
      <xdr:spPr>
        <a:xfrm>
          <a:off x="0" y="341168"/>
          <a:ext cx="2567421" cy="53773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January</a:t>
          </a:r>
        </a:p>
      </xdr:txBody>
    </xdr:sp>
    <xdr:clientData/>
  </xdr:twoCellAnchor>
  <xdr:twoCellAnchor>
    <xdr:from>
      <xdr:col>0</xdr:col>
      <xdr:colOff>0</xdr:colOff>
      <xdr:row>4</xdr:row>
      <xdr:rowOff>180415</xdr:rowOff>
    </xdr:from>
    <xdr:to>
      <xdr:col>4</xdr:col>
      <xdr:colOff>138392</xdr:colOff>
      <xdr:row>7</xdr:row>
      <xdr:rowOff>94690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F53E36-D114-4F2A-8EC3-A3642F5C6952}"/>
            </a:ext>
          </a:extLst>
        </xdr:cNvPr>
        <xdr:cNvSpPr/>
      </xdr:nvSpPr>
      <xdr:spPr>
        <a:xfrm>
          <a:off x="0" y="980515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Feb</a:t>
          </a:r>
        </a:p>
      </xdr:txBody>
    </xdr:sp>
    <xdr:clientData/>
  </xdr:twoCellAnchor>
  <xdr:twoCellAnchor>
    <xdr:from>
      <xdr:col>0</xdr:col>
      <xdr:colOff>0</xdr:colOff>
      <xdr:row>8</xdr:row>
      <xdr:rowOff>8965</xdr:rowOff>
    </xdr:from>
    <xdr:to>
      <xdr:col>4</xdr:col>
      <xdr:colOff>142874</xdr:colOff>
      <xdr:row>10</xdr:row>
      <xdr:rowOff>113740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392C9A3-BC5D-450A-A862-EFDF61559DE2}"/>
            </a:ext>
          </a:extLst>
        </xdr:cNvPr>
        <xdr:cNvSpPr/>
      </xdr:nvSpPr>
      <xdr:spPr>
        <a:xfrm>
          <a:off x="0" y="1609165"/>
          <a:ext cx="2581274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March</a:t>
          </a:r>
        </a:p>
      </xdr:txBody>
    </xdr:sp>
    <xdr:clientData/>
  </xdr:twoCellAnchor>
  <xdr:twoCellAnchor>
    <xdr:from>
      <xdr:col>0</xdr:col>
      <xdr:colOff>0</xdr:colOff>
      <xdr:row>11</xdr:row>
      <xdr:rowOff>75640</xdr:rowOff>
    </xdr:from>
    <xdr:to>
      <xdr:col>4</xdr:col>
      <xdr:colOff>138392</xdr:colOff>
      <xdr:row>13</xdr:row>
      <xdr:rowOff>180415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DF614F6-3C83-42A0-A2A7-12C5319C443D}"/>
            </a:ext>
          </a:extLst>
        </xdr:cNvPr>
        <xdr:cNvSpPr/>
      </xdr:nvSpPr>
      <xdr:spPr>
        <a:xfrm>
          <a:off x="0" y="228544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April</a:t>
          </a:r>
        </a:p>
      </xdr:txBody>
    </xdr:sp>
    <xdr:clientData/>
  </xdr:twoCellAnchor>
  <xdr:twoCellAnchor>
    <xdr:from>
      <xdr:col>1</xdr:col>
      <xdr:colOff>329045</xdr:colOff>
      <xdr:row>14</xdr:row>
      <xdr:rowOff>88629</xdr:rowOff>
    </xdr:from>
    <xdr:to>
      <xdr:col>5</xdr:col>
      <xdr:colOff>467436</xdr:colOff>
      <xdr:row>17</xdr:row>
      <xdr:rowOff>2904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671C81B-6575-4FE0-9AFF-F6D53B6B36D8}"/>
            </a:ext>
          </a:extLst>
        </xdr:cNvPr>
        <xdr:cNvSpPr/>
      </xdr:nvSpPr>
      <xdr:spPr>
        <a:xfrm>
          <a:off x="935181" y="2998084"/>
          <a:ext cx="2562937" cy="537729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151840</xdr:rowOff>
    </xdr:from>
    <xdr:to>
      <xdr:col>4</xdr:col>
      <xdr:colOff>157442</xdr:colOff>
      <xdr:row>20</xdr:row>
      <xdr:rowOff>66115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EDBDD0B-99A0-4EDF-B304-2DE2EF61FE74}"/>
            </a:ext>
          </a:extLst>
        </xdr:cNvPr>
        <xdr:cNvSpPr/>
      </xdr:nvSpPr>
      <xdr:spPr>
        <a:xfrm>
          <a:off x="19050" y="356179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June</a:t>
          </a:r>
        </a:p>
      </xdr:txBody>
    </xdr:sp>
    <xdr:clientData/>
  </xdr:twoCellAnchor>
  <xdr:twoCellAnchor>
    <xdr:from>
      <xdr:col>0</xdr:col>
      <xdr:colOff>9525</xdr:colOff>
      <xdr:row>20</xdr:row>
      <xdr:rowOff>189940</xdr:rowOff>
    </xdr:from>
    <xdr:to>
      <xdr:col>4</xdr:col>
      <xdr:colOff>147917</xdr:colOff>
      <xdr:row>23</xdr:row>
      <xdr:rowOff>104215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8984BA1-3250-4A4A-A6DF-5F974A927636}"/>
            </a:ext>
          </a:extLst>
        </xdr:cNvPr>
        <xdr:cNvSpPr/>
      </xdr:nvSpPr>
      <xdr:spPr>
        <a:xfrm>
          <a:off x="9525" y="4199965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July</a:t>
          </a:r>
        </a:p>
      </xdr:txBody>
    </xdr:sp>
    <xdr:clientData/>
  </xdr:twoCellAnchor>
  <xdr:twoCellAnchor>
    <xdr:from>
      <xdr:col>0</xdr:col>
      <xdr:colOff>9525</xdr:colOff>
      <xdr:row>24</xdr:row>
      <xdr:rowOff>47065</xdr:rowOff>
    </xdr:from>
    <xdr:to>
      <xdr:col>4</xdr:col>
      <xdr:colOff>147917</xdr:colOff>
      <xdr:row>26</xdr:row>
      <xdr:rowOff>151840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0C19A45-8BA1-4097-9D61-C9006F032E5B}"/>
            </a:ext>
          </a:extLst>
        </xdr:cNvPr>
        <xdr:cNvSpPr/>
      </xdr:nvSpPr>
      <xdr:spPr>
        <a:xfrm>
          <a:off x="9525" y="485719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August</a:t>
          </a:r>
        </a:p>
      </xdr:txBody>
    </xdr:sp>
    <xdr:clientData/>
  </xdr:twoCellAnchor>
  <xdr:twoCellAnchor>
    <xdr:from>
      <xdr:col>0</xdr:col>
      <xdr:colOff>9525</xdr:colOff>
      <xdr:row>27</xdr:row>
      <xdr:rowOff>94690</xdr:rowOff>
    </xdr:from>
    <xdr:to>
      <xdr:col>4</xdr:col>
      <xdr:colOff>147917</xdr:colOff>
      <xdr:row>30</xdr:row>
      <xdr:rowOff>8965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8AA6FEC-8387-45BF-BB44-A43C5EC4DF08}"/>
            </a:ext>
          </a:extLst>
        </xdr:cNvPr>
        <xdr:cNvSpPr/>
      </xdr:nvSpPr>
      <xdr:spPr>
        <a:xfrm>
          <a:off x="9525" y="5504890"/>
          <a:ext cx="2576792" cy="5238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September</a:t>
          </a:r>
        </a:p>
      </xdr:txBody>
    </xdr:sp>
    <xdr:clientData/>
  </xdr:twoCellAnchor>
  <xdr:twoCellAnchor>
    <xdr:from>
      <xdr:col>0</xdr:col>
      <xdr:colOff>19050</xdr:colOff>
      <xdr:row>30</xdr:row>
      <xdr:rowOff>113740</xdr:rowOff>
    </xdr:from>
    <xdr:to>
      <xdr:col>4</xdr:col>
      <xdr:colOff>157442</xdr:colOff>
      <xdr:row>33</xdr:row>
      <xdr:rowOff>28015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CCB1565-8CFF-4C34-B0B7-A14E9C24000B}"/>
            </a:ext>
          </a:extLst>
        </xdr:cNvPr>
        <xdr:cNvSpPr/>
      </xdr:nvSpPr>
      <xdr:spPr>
        <a:xfrm>
          <a:off x="19050" y="61335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October</a:t>
          </a:r>
        </a:p>
      </xdr:txBody>
    </xdr:sp>
    <xdr:clientData/>
  </xdr:twoCellAnchor>
  <xdr:twoCellAnchor>
    <xdr:from>
      <xdr:col>0</xdr:col>
      <xdr:colOff>9525</xdr:colOff>
      <xdr:row>33</xdr:row>
      <xdr:rowOff>161365</xdr:rowOff>
    </xdr:from>
    <xdr:to>
      <xdr:col>4</xdr:col>
      <xdr:colOff>147917</xdr:colOff>
      <xdr:row>36</xdr:row>
      <xdr:rowOff>75640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C397FB4-A948-4554-874C-B514E34DC4C6}"/>
            </a:ext>
          </a:extLst>
        </xdr:cNvPr>
        <xdr:cNvSpPr/>
      </xdr:nvSpPr>
      <xdr:spPr>
        <a:xfrm>
          <a:off x="9525" y="67812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November</a:t>
          </a:r>
        </a:p>
      </xdr:txBody>
    </xdr:sp>
    <xdr:clientData/>
  </xdr:twoCellAnchor>
  <xdr:twoCellAnchor>
    <xdr:from>
      <xdr:col>0</xdr:col>
      <xdr:colOff>0</xdr:colOff>
      <xdr:row>37</xdr:row>
      <xdr:rowOff>47065</xdr:rowOff>
    </xdr:from>
    <xdr:to>
      <xdr:col>4</xdr:col>
      <xdr:colOff>138392</xdr:colOff>
      <xdr:row>39</xdr:row>
      <xdr:rowOff>151840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B7FF274-8F93-48A8-82DF-DE0BE74393FE}"/>
            </a:ext>
          </a:extLst>
        </xdr:cNvPr>
        <xdr:cNvSpPr/>
      </xdr:nvSpPr>
      <xdr:spPr>
        <a:xfrm>
          <a:off x="0" y="746704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December</a:t>
          </a:r>
        </a:p>
      </xdr:txBody>
    </xdr:sp>
    <xdr:clientData/>
  </xdr:twoCellAnchor>
  <xdr:twoCellAnchor>
    <xdr:from>
      <xdr:col>43</xdr:col>
      <xdr:colOff>0</xdr:colOff>
      <xdr:row>0</xdr:row>
      <xdr:rowOff>0</xdr:rowOff>
    </xdr:from>
    <xdr:to>
      <xdr:col>58</xdr:col>
      <xdr:colOff>22412</xdr:colOff>
      <xdr:row>3</xdr:row>
      <xdr:rowOff>11205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44CBF64-152C-426D-A971-C40DB5BBD6EE}"/>
            </a:ext>
          </a:extLst>
        </xdr:cNvPr>
        <xdr:cNvSpPr/>
      </xdr:nvSpPr>
      <xdr:spPr>
        <a:xfrm>
          <a:off x="29051250" y="0"/>
          <a:ext cx="14014637" cy="61128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ln>
                <a:noFill/>
              </a:ln>
              <a:solidFill>
                <a:schemeClr val="tx1"/>
              </a:solidFill>
            </a:rPr>
            <a:t>Monthly Report </a:t>
          </a:r>
        </a:p>
      </xdr:txBody>
    </xdr:sp>
    <xdr:clientData/>
  </xdr:twoCellAnchor>
  <xdr:twoCellAnchor>
    <xdr:from>
      <xdr:col>5</xdr:col>
      <xdr:colOff>571500</xdr:colOff>
      <xdr:row>0</xdr:row>
      <xdr:rowOff>145676</xdr:rowOff>
    </xdr:from>
    <xdr:to>
      <xdr:col>7</xdr:col>
      <xdr:colOff>874059</xdr:colOff>
      <xdr:row>2</xdr:row>
      <xdr:rowOff>56029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BD15EE0-24F4-4F01-9AC1-9A62C051D335}"/>
            </a:ext>
          </a:extLst>
        </xdr:cNvPr>
        <xdr:cNvSpPr txBox="1"/>
      </xdr:nvSpPr>
      <xdr:spPr>
        <a:xfrm>
          <a:off x="3619500" y="145676"/>
          <a:ext cx="1531284" cy="31040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From</a:t>
          </a:r>
        </a:p>
      </xdr:txBody>
    </xdr:sp>
    <xdr:clientData/>
  </xdr:twoCellAnchor>
  <xdr:twoCellAnchor>
    <xdr:from>
      <xdr:col>7</xdr:col>
      <xdr:colOff>885265</xdr:colOff>
      <xdr:row>0</xdr:row>
      <xdr:rowOff>145676</xdr:rowOff>
    </xdr:from>
    <xdr:to>
      <xdr:col>8</xdr:col>
      <xdr:colOff>593911</xdr:colOff>
      <xdr:row>2</xdr:row>
      <xdr:rowOff>56029</xdr:rowOff>
    </xdr:to>
    <xdr:sp macro="" textlink="$H$6">
      <xdr:nvSpPr>
        <xdr:cNvPr id="18" name="TextBox 17">
          <a:extLst>
            <a:ext uri="{FF2B5EF4-FFF2-40B4-BE49-F238E27FC236}">
              <a16:creationId xmlns:a16="http://schemas.microsoft.com/office/drawing/2014/main" id="{AB71F025-9101-405B-B826-0DCD068CC7A4}"/>
            </a:ext>
          </a:extLst>
        </xdr:cNvPr>
        <xdr:cNvSpPr txBox="1"/>
      </xdr:nvSpPr>
      <xdr:spPr>
        <a:xfrm>
          <a:off x="5161990" y="145676"/>
          <a:ext cx="1499346" cy="310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4FAE0827-8A19-483B-A3A8-823BC530720B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1-May-25</a:t>
          </a:fld>
          <a:endParaRPr lang="en-US" sz="1600" b="1"/>
        </a:p>
      </xdr:txBody>
    </xdr:sp>
    <xdr:clientData/>
  </xdr:twoCellAnchor>
  <xdr:twoCellAnchor>
    <xdr:from>
      <xdr:col>13</xdr:col>
      <xdr:colOff>410135</xdr:colOff>
      <xdr:row>0</xdr:row>
      <xdr:rowOff>118782</xdr:rowOff>
    </xdr:from>
    <xdr:to>
      <xdr:col>16</xdr:col>
      <xdr:colOff>85165</xdr:colOff>
      <xdr:row>2</xdr:row>
      <xdr:rowOff>29135</xdr:rowOff>
    </xdr:to>
    <xdr:sp macro="" textlink="$M$6">
      <xdr:nvSpPr>
        <xdr:cNvPr id="19" name="TextBox 18">
          <a:extLst>
            <a:ext uri="{FF2B5EF4-FFF2-40B4-BE49-F238E27FC236}">
              <a16:creationId xmlns:a16="http://schemas.microsoft.com/office/drawing/2014/main" id="{D844FC1E-8D52-4701-BC70-CFE79790044C}"/>
            </a:ext>
          </a:extLst>
        </xdr:cNvPr>
        <xdr:cNvSpPr txBox="1"/>
      </xdr:nvSpPr>
      <xdr:spPr>
        <a:xfrm>
          <a:off x="10906685" y="118782"/>
          <a:ext cx="1532405" cy="310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CF0DC84-B8FC-49E0-B45A-C37B36E5F7EF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31-May-25</a:t>
          </a:fld>
          <a:endParaRPr lang="en-US" sz="1600" b="1"/>
        </a:p>
      </xdr:txBody>
    </xdr:sp>
    <xdr:clientData/>
  </xdr:twoCellAnchor>
  <xdr:twoCellAnchor>
    <xdr:from>
      <xdr:col>11</xdr:col>
      <xdr:colOff>392206</xdr:colOff>
      <xdr:row>0</xdr:row>
      <xdr:rowOff>118782</xdr:rowOff>
    </xdr:from>
    <xdr:to>
      <xdr:col>13</xdr:col>
      <xdr:colOff>403410</xdr:colOff>
      <xdr:row>2</xdr:row>
      <xdr:rowOff>29135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CA3C41B-A38F-4214-B28F-7BFA52D871B6}"/>
            </a:ext>
          </a:extLst>
        </xdr:cNvPr>
        <xdr:cNvSpPr txBox="1"/>
      </xdr:nvSpPr>
      <xdr:spPr>
        <a:xfrm>
          <a:off x="9355231" y="118782"/>
          <a:ext cx="1544729" cy="31040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To</a:t>
          </a:r>
        </a:p>
      </xdr:txBody>
    </xdr:sp>
    <xdr:clientData/>
  </xdr:twoCellAnchor>
  <xdr:twoCellAnchor>
    <xdr:from>
      <xdr:col>16</xdr:col>
      <xdr:colOff>326571</xdr:colOff>
      <xdr:row>0</xdr:row>
      <xdr:rowOff>136071</xdr:rowOff>
    </xdr:from>
    <xdr:to>
      <xdr:col>28</xdr:col>
      <xdr:colOff>598714</xdr:colOff>
      <xdr:row>2</xdr:row>
      <xdr:rowOff>40822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BA6F7569-817E-4E9E-BEC2-6B075EE62FE7}"/>
            </a:ext>
          </a:extLst>
        </xdr:cNvPr>
        <xdr:cNvSpPr/>
      </xdr:nvSpPr>
      <xdr:spPr>
        <a:xfrm>
          <a:off x="12680496" y="136071"/>
          <a:ext cx="7701643" cy="30480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340180</xdr:colOff>
      <xdr:row>0</xdr:row>
      <xdr:rowOff>180975</xdr:rowOff>
    </xdr:from>
    <xdr:to>
      <xdr:col>25</xdr:col>
      <xdr:colOff>190501</xdr:colOff>
      <xdr:row>2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8A98816-3B48-4290-A4BF-0F1401B2565D}"/>
            </a:ext>
          </a:extLst>
        </xdr:cNvPr>
        <xdr:cNvSpPr txBox="1"/>
      </xdr:nvSpPr>
      <xdr:spPr>
        <a:xfrm>
          <a:off x="12694105" y="180975"/>
          <a:ext cx="5422446" cy="2286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/>
            <a:t>Dashboard</a:t>
          </a:r>
          <a:r>
            <a:rPr lang="en-US" sz="2400" b="1" baseline="0"/>
            <a:t> for the month of </a:t>
          </a:r>
          <a:endParaRPr lang="en-US" sz="2400" b="1"/>
        </a:p>
      </xdr:txBody>
    </xdr:sp>
    <xdr:clientData/>
  </xdr:twoCellAnchor>
  <xdr:twoCellAnchor editAs="oneCell">
    <xdr:from>
      <xdr:col>27</xdr:col>
      <xdr:colOff>590340</xdr:colOff>
      <xdr:row>0</xdr:row>
      <xdr:rowOff>131884</xdr:rowOff>
    </xdr:from>
    <xdr:to>
      <xdr:col>29</xdr:col>
      <xdr:colOff>1231</xdr:colOff>
      <xdr:row>2</xdr:row>
      <xdr:rowOff>92319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94AD3508-5046-459F-A2BB-E8E852B22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9754640" y="131884"/>
          <a:ext cx="649141" cy="341435"/>
        </a:xfrm>
        <a:prstGeom prst="rect">
          <a:avLst/>
        </a:prstGeom>
      </xdr:spPr>
    </xdr:pic>
    <xdr:clientData/>
  </xdr:twoCellAnchor>
  <xdr:twoCellAnchor>
    <xdr:from>
      <xdr:col>23</xdr:col>
      <xdr:colOff>600075</xdr:colOff>
      <xdr:row>0</xdr:row>
      <xdr:rowOff>142875</xdr:rowOff>
    </xdr:from>
    <xdr:to>
      <xdr:col>26</xdr:col>
      <xdr:colOff>542925</xdr:colOff>
      <xdr:row>2</xdr:row>
      <xdr:rowOff>19050</xdr:rowOff>
    </xdr:to>
    <xdr:sp macro="" textlink="$J$6">
      <xdr:nvSpPr>
        <xdr:cNvPr id="24" name="TextBox 23">
          <a:extLst>
            <a:ext uri="{FF2B5EF4-FFF2-40B4-BE49-F238E27FC236}">
              <a16:creationId xmlns:a16="http://schemas.microsoft.com/office/drawing/2014/main" id="{3A8558FB-AF52-4C5C-8341-71C9A28D7BA7}"/>
            </a:ext>
          </a:extLst>
        </xdr:cNvPr>
        <xdr:cNvSpPr txBox="1"/>
      </xdr:nvSpPr>
      <xdr:spPr>
        <a:xfrm>
          <a:off x="17287875" y="142875"/>
          <a:ext cx="1800225" cy="276225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C2C24BA-C070-4B66-A11F-4012E2591220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May</a:t>
          </a:fld>
          <a:endParaRPr lang="en-US" sz="1600" b="1"/>
        </a:p>
      </xdr:txBody>
    </xdr:sp>
    <xdr:clientData/>
  </xdr:twoCellAnchor>
  <xdr:twoCellAnchor>
    <xdr:from>
      <xdr:col>30</xdr:col>
      <xdr:colOff>59121</xdr:colOff>
      <xdr:row>0</xdr:row>
      <xdr:rowOff>111673</xdr:rowOff>
    </xdr:from>
    <xdr:to>
      <xdr:col>30</xdr:col>
      <xdr:colOff>407277</xdr:colOff>
      <xdr:row>2</xdr:row>
      <xdr:rowOff>39415</xdr:rowOff>
    </xdr:to>
    <xdr:sp macro="" textlink="">
      <xdr:nvSpPr>
        <xdr:cNvPr id="25" name="Flowchart: Or 24">
          <a:extLst>
            <a:ext uri="{FF2B5EF4-FFF2-40B4-BE49-F238E27FC236}">
              <a16:creationId xmlns:a16="http://schemas.microsoft.com/office/drawing/2014/main" id="{FB0A07B9-4E64-46CD-A5EA-E61EF091CDC2}"/>
            </a:ext>
          </a:extLst>
        </xdr:cNvPr>
        <xdr:cNvSpPr/>
      </xdr:nvSpPr>
      <xdr:spPr>
        <a:xfrm>
          <a:off x="21080796" y="111673"/>
          <a:ext cx="348156" cy="327792"/>
        </a:xfrm>
        <a:prstGeom prst="flowChartOr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420413</xdr:colOff>
      <xdr:row>0</xdr:row>
      <xdr:rowOff>91966</xdr:rowOff>
    </xdr:from>
    <xdr:to>
      <xdr:col>32</xdr:col>
      <xdr:colOff>170793</xdr:colOff>
      <xdr:row>2</xdr:row>
      <xdr:rowOff>78827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924AA3D-6609-4745-AC7B-F72BB9DC5112}"/>
            </a:ext>
          </a:extLst>
        </xdr:cNvPr>
        <xdr:cNvSpPr/>
      </xdr:nvSpPr>
      <xdr:spPr>
        <a:xfrm>
          <a:off x="21442088" y="91966"/>
          <a:ext cx="988630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Present</a:t>
          </a:r>
        </a:p>
      </xdr:txBody>
    </xdr:sp>
    <xdr:clientData/>
  </xdr:twoCellAnchor>
  <xdr:twoCellAnchor>
    <xdr:from>
      <xdr:col>32</xdr:col>
      <xdr:colOff>441436</xdr:colOff>
      <xdr:row>0</xdr:row>
      <xdr:rowOff>126124</xdr:rowOff>
    </xdr:from>
    <xdr:to>
      <xdr:col>33</xdr:col>
      <xdr:colOff>172109</xdr:colOff>
      <xdr:row>2</xdr:row>
      <xdr:rowOff>53866</xdr:rowOff>
    </xdr:to>
    <xdr:sp macro="" textlink="">
      <xdr:nvSpPr>
        <xdr:cNvPr id="27" name="Flowchart: Or 26">
          <a:extLst>
            <a:ext uri="{FF2B5EF4-FFF2-40B4-BE49-F238E27FC236}">
              <a16:creationId xmlns:a16="http://schemas.microsoft.com/office/drawing/2014/main" id="{AE15AC17-E437-4C8F-95A7-7D0C3CD91059}"/>
            </a:ext>
          </a:extLst>
        </xdr:cNvPr>
        <xdr:cNvSpPr/>
      </xdr:nvSpPr>
      <xdr:spPr>
        <a:xfrm>
          <a:off x="22701361" y="126124"/>
          <a:ext cx="349798" cy="327792"/>
        </a:xfrm>
        <a:prstGeom prst="flowChar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185245</xdr:colOff>
      <xdr:row>0</xdr:row>
      <xdr:rowOff>106417</xdr:rowOff>
    </xdr:from>
    <xdr:to>
      <xdr:col>34</xdr:col>
      <xdr:colOff>553107</xdr:colOff>
      <xdr:row>2</xdr:row>
      <xdr:rowOff>93278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CAC8177-1873-4046-AFD4-28C3A9279866}"/>
            </a:ext>
          </a:extLst>
        </xdr:cNvPr>
        <xdr:cNvSpPr/>
      </xdr:nvSpPr>
      <xdr:spPr>
        <a:xfrm>
          <a:off x="23064295" y="106417"/>
          <a:ext cx="986987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Absent</a:t>
          </a:r>
        </a:p>
      </xdr:txBody>
    </xdr:sp>
    <xdr:clientData/>
  </xdr:twoCellAnchor>
  <xdr:twoCellAnchor>
    <xdr:from>
      <xdr:col>35</xdr:col>
      <xdr:colOff>173421</xdr:colOff>
      <xdr:row>0</xdr:row>
      <xdr:rowOff>114299</xdr:rowOff>
    </xdr:from>
    <xdr:to>
      <xdr:col>35</xdr:col>
      <xdr:colOff>521577</xdr:colOff>
      <xdr:row>2</xdr:row>
      <xdr:rowOff>42041</xdr:rowOff>
    </xdr:to>
    <xdr:sp macro="" textlink="">
      <xdr:nvSpPr>
        <xdr:cNvPr id="29" name="Flowchart: Or 28">
          <a:extLst>
            <a:ext uri="{FF2B5EF4-FFF2-40B4-BE49-F238E27FC236}">
              <a16:creationId xmlns:a16="http://schemas.microsoft.com/office/drawing/2014/main" id="{7BD5F0F6-05E8-42B2-A0B1-2551E3DD6E43}"/>
            </a:ext>
          </a:extLst>
        </xdr:cNvPr>
        <xdr:cNvSpPr/>
      </xdr:nvSpPr>
      <xdr:spPr>
        <a:xfrm>
          <a:off x="24290721" y="114299"/>
          <a:ext cx="348156" cy="327792"/>
        </a:xfrm>
        <a:prstGeom prst="flowChartOr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534713</xdr:colOff>
      <xdr:row>0</xdr:row>
      <xdr:rowOff>94592</xdr:rowOff>
    </xdr:from>
    <xdr:to>
      <xdr:col>37</xdr:col>
      <xdr:colOff>285093</xdr:colOff>
      <xdr:row>2</xdr:row>
      <xdr:rowOff>81453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6183B882-2AFF-4518-A1A7-8D4E2BE9858C}"/>
            </a:ext>
          </a:extLst>
        </xdr:cNvPr>
        <xdr:cNvSpPr/>
      </xdr:nvSpPr>
      <xdr:spPr>
        <a:xfrm>
          <a:off x="24652013" y="94592"/>
          <a:ext cx="988630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Leave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51636</xdr:colOff>
      <xdr:row>0</xdr:row>
      <xdr:rowOff>0</xdr:rowOff>
    </xdr:from>
    <xdr:to>
      <xdr:col>42</xdr:col>
      <xdr:colOff>0</xdr:colOff>
      <xdr:row>2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BD021AF-0BB9-4722-8813-3A0ED49C610C}"/>
            </a:ext>
          </a:extLst>
        </xdr:cNvPr>
        <xdr:cNvSpPr/>
      </xdr:nvSpPr>
      <xdr:spPr>
        <a:xfrm>
          <a:off x="1270836" y="0"/>
          <a:ext cx="27170814" cy="581025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</xdr:colOff>
      <xdr:row>0</xdr:row>
      <xdr:rowOff>9524</xdr:rowOff>
    </xdr:from>
    <xdr:to>
      <xdr:col>3</xdr:col>
      <xdr:colOff>588818</xdr:colOff>
      <xdr:row>60</xdr:row>
      <xdr:rowOff>17318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601B61B-D32E-45DB-8B8A-690B3F7C8573}"/>
            </a:ext>
          </a:extLst>
        </xdr:cNvPr>
        <xdr:cNvSpPr/>
      </xdr:nvSpPr>
      <xdr:spPr>
        <a:xfrm>
          <a:off x="9525" y="9524"/>
          <a:ext cx="2397702" cy="12476885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noFill/>
            </a:ln>
          </a:endParaRPr>
        </a:p>
      </xdr:txBody>
    </xdr:sp>
    <xdr:clientData/>
  </xdr:twoCellAnchor>
  <xdr:twoCellAnchor>
    <xdr:from>
      <xdr:col>0</xdr:col>
      <xdr:colOff>0</xdr:colOff>
      <xdr:row>1</xdr:row>
      <xdr:rowOff>133350</xdr:rowOff>
    </xdr:from>
    <xdr:to>
      <xdr:col>4</xdr:col>
      <xdr:colOff>142876</xdr:colOff>
      <xdr:row>4</xdr:row>
      <xdr:rowOff>47625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C3414F-AE9E-4D54-8D37-DD2CA55F45C8}"/>
            </a:ext>
          </a:extLst>
        </xdr:cNvPr>
        <xdr:cNvSpPr/>
      </xdr:nvSpPr>
      <xdr:spPr>
        <a:xfrm>
          <a:off x="0" y="341168"/>
          <a:ext cx="2567421" cy="53773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January</a:t>
          </a:r>
        </a:p>
      </xdr:txBody>
    </xdr:sp>
    <xdr:clientData/>
  </xdr:twoCellAnchor>
  <xdr:twoCellAnchor>
    <xdr:from>
      <xdr:col>0</xdr:col>
      <xdr:colOff>0</xdr:colOff>
      <xdr:row>4</xdr:row>
      <xdr:rowOff>180415</xdr:rowOff>
    </xdr:from>
    <xdr:to>
      <xdr:col>4</xdr:col>
      <xdr:colOff>138392</xdr:colOff>
      <xdr:row>7</xdr:row>
      <xdr:rowOff>94690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630B6F-3B54-47CE-98EE-39FE7AF64404}"/>
            </a:ext>
          </a:extLst>
        </xdr:cNvPr>
        <xdr:cNvSpPr/>
      </xdr:nvSpPr>
      <xdr:spPr>
        <a:xfrm>
          <a:off x="0" y="980515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Feb</a:t>
          </a:r>
        </a:p>
      </xdr:txBody>
    </xdr:sp>
    <xdr:clientData/>
  </xdr:twoCellAnchor>
  <xdr:twoCellAnchor>
    <xdr:from>
      <xdr:col>0</xdr:col>
      <xdr:colOff>0</xdr:colOff>
      <xdr:row>8</xdr:row>
      <xdr:rowOff>8965</xdr:rowOff>
    </xdr:from>
    <xdr:to>
      <xdr:col>4</xdr:col>
      <xdr:colOff>142874</xdr:colOff>
      <xdr:row>10</xdr:row>
      <xdr:rowOff>113740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9B0083C-4B4F-48FA-891D-60306E2F362A}"/>
            </a:ext>
          </a:extLst>
        </xdr:cNvPr>
        <xdr:cNvSpPr/>
      </xdr:nvSpPr>
      <xdr:spPr>
        <a:xfrm>
          <a:off x="0" y="1609165"/>
          <a:ext cx="2581274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March</a:t>
          </a:r>
        </a:p>
      </xdr:txBody>
    </xdr:sp>
    <xdr:clientData/>
  </xdr:twoCellAnchor>
  <xdr:twoCellAnchor>
    <xdr:from>
      <xdr:col>0</xdr:col>
      <xdr:colOff>0</xdr:colOff>
      <xdr:row>11</xdr:row>
      <xdr:rowOff>75640</xdr:rowOff>
    </xdr:from>
    <xdr:to>
      <xdr:col>4</xdr:col>
      <xdr:colOff>138392</xdr:colOff>
      <xdr:row>13</xdr:row>
      <xdr:rowOff>180415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D7CBD16-C73E-4E79-AF91-CAA5895F562A}"/>
            </a:ext>
          </a:extLst>
        </xdr:cNvPr>
        <xdr:cNvSpPr/>
      </xdr:nvSpPr>
      <xdr:spPr>
        <a:xfrm>
          <a:off x="0" y="228544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April</a:t>
          </a:r>
        </a:p>
      </xdr:txBody>
    </xdr:sp>
    <xdr:clientData/>
  </xdr:twoCellAnchor>
  <xdr:twoCellAnchor>
    <xdr:from>
      <xdr:col>0</xdr:col>
      <xdr:colOff>0</xdr:colOff>
      <xdr:row>14</xdr:row>
      <xdr:rowOff>123265</xdr:rowOff>
    </xdr:from>
    <xdr:to>
      <xdr:col>4</xdr:col>
      <xdr:colOff>138392</xdr:colOff>
      <xdr:row>17</xdr:row>
      <xdr:rowOff>37540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7D1A45B-38FD-4545-AFDD-894A5F55A666}"/>
            </a:ext>
          </a:extLst>
        </xdr:cNvPr>
        <xdr:cNvSpPr/>
      </xdr:nvSpPr>
      <xdr:spPr>
        <a:xfrm>
          <a:off x="0" y="29331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May</a:t>
          </a:r>
        </a:p>
      </xdr:txBody>
    </xdr:sp>
    <xdr:clientData/>
  </xdr:twoCellAnchor>
  <xdr:twoCellAnchor>
    <xdr:from>
      <xdr:col>1</xdr:col>
      <xdr:colOff>330777</xdr:colOff>
      <xdr:row>17</xdr:row>
      <xdr:rowOff>151840</xdr:rowOff>
    </xdr:from>
    <xdr:to>
      <xdr:col>5</xdr:col>
      <xdr:colOff>469168</xdr:colOff>
      <xdr:row>20</xdr:row>
      <xdr:rowOff>66115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80D18E4-5CF5-4F5F-8084-2C7D6BF1F203}"/>
            </a:ext>
          </a:extLst>
        </xdr:cNvPr>
        <xdr:cNvSpPr/>
      </xdr:nvSpPr>
      <xdr:spPr>
        <a:xfrm>
          <a:off x="936913" y="3684749"/>
          <a:ext cx="2562937" cy="537730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June</a:t>
          </a:r>
        </a:p>
      </xdr:txBody>
    </xdr:sp>
    <xdr:clientData/>
  </xdr:twoCellAnchor>
  <xdr:twoCellAnchor>
    <xdr:from>
      <xdr:col>0</xdr:col>
      <xdr:colOff>9525</xdr:colOff>
      <xdr:row>20</xdr:row>
      <xdr:rowOff>189940</xdr:rowOff>
    </xdr:from>
    <xdr:to>
      <xdr:col>4</xdr:col>
      <xdr:colOff>147917</xdr:colOff>
      <xdr:row>23</xdr:row>
      <xdr:rowOff>104215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965F1D1-F7ED-4D23-A370-973F80844084}"/>
            </a:ext>
          </a:extLst>
        </xdr:cNvPr>
        <xdr:cNvSpPr/>
      </xdr:nvSpPr>
      <xdr:spPr>
        <a:xfrm>
          <a:off x="9525" y="4199965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July</a:t>
          </a:r>
        </a:p>
      </xdr:txBody>
    </xdr:sp>
    <xdr:clientData/>
  </xdr:twoCellAnchor>
  <xdr:twoCellAnchor>
    <xdr:from>
      <xdr:col>0</xdr:col>
      <xdr:colOff>9525</xdr:colOff>
      <xdr:row>24</xdr:row>
      <xdr:rowOff>47065</xdr:rowOff>
    </xdr:from>
    <xdr:to>
      <xdr:col>4</xdr:col>
      <xdr:colOff>147917</xdr:colOff>
      <xdr:row>26</xdr:row>
      <xdr:rowOff>151840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506C434-7011-4F6E-A92F-9B6129B5BE32}"/>
            </a:ext>
          </a:extLst>
        </xdr:cNvPr>
        <xdr:cNvSpPr/>
      </xdr:nvSpPr>
      <xdr:spPr>
        <a:xfrm>
          <a:off x="9525" y="485719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August</a:t>
          </a:r>
        </a:p>
      </xdr:txBody>
    </xdr:sp>
    <xdr:clientData/>
  </xdr:twoCellAnchor>
  <xdr:twoCellAnchor>
    <xdr:from>
      <xdr:col>0</xdr:col>
      <xdr:colOff>9525</xdr:colOff>
      <xdr:row>27</xdr:row>
      <xdr:rowOff>94690</xdr:rowOff>
    </xdr:from>
    <xdr:to>
      <xdr:col>4</xdr:col>
      <xdr:colOff>147917</xdr:colOff>
      <xdr:row>30</xdr:row>
      <xdr:rowOff>8965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D2CF920-E7F6-4C3B-89BC-00372E43FBF5}"/>
            </a:ext>
          </a:extLst>
        </xdr:cNvPr>
        <xdr:cNvSpPr/>
      </xdr:nvSpPr>
      <xdr:spPr>
        <a:xfrm>
          <a:off x="9525" y="5504890"/>
          <a:ext cx="2576792" cy="5238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September</a:t>
          </a:r>
        </a:p>
      </xdr:txBody>
    </xdr:sp>
    <xdr:clientData/>
  </xdr:twoCellAnchor>
  <xdr:twoCellAnchor>
    <xdr:from>
      <xdr:col>0</xdr:col>
      <xdr:colOff>19050</xdr:colOff>
      <xdr:row>30</xdr:row>
      <xdr:rowOff>113740</xdr:rowOff>
    </xdr:from>
    <xdr:to>
      <xdr:col>4</xdr:col>
      <xdr:colOff>157442</xdr:colOff>
      <xdr:row>33</xdr:row>
      <xdr:rowOff>28015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931A8B7-99EA-4202-9FBC-060DBDAF3301}"/>
            </a:ext>
          </a:extLst>
        </xdr:cNvPr>
        <xdr:cNvSpPr/>
      </xdr:nvSpPr>
      <xdr:spPr>
        <a:xfrm>
          <a:off x="19050" y="61335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October</a:t>
          </a:r>
        </a:p>
      </xdr:txBody>
    </xdr:sp>
    <xdr:clientData/>
  </xdr:twoCellAnchor>
  <xdr:twoCellAnchor>
    <xdr:from>
      <xdr:col>0</xdr:col>
      <xdr:colOff>9525</xdr:colOff>
      <xdr:row>33</xdr:row>
      <xdr:rowOff>161365</xdr:rowOff>
    </xdr:from>
    <xdr:to>
      <xdr:col>4</xdr:col>
      <xdr:colOff>147917</xdr:colOff>
      <xdr:row>36</xdr:row>
      <xdr:rowOff>75640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838A398-1742-427F-82B1-6A99FC5D004D}"/>
            </a:ext>
          </a:extLst>
        </xdr:cNvPr>
        <xdr:cNvSpPr/>
      </xdr:nvSpPr>
      <xdr:spPr>
        <a:xfrm>
          <a:off x="9525" y="67812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November</a:t>
          </a:r>
        </a:p>
      </xdr:txBody>
    </xdr:sp>
    <xdr:clientData/>
  </xdr:twoCellAnchor>
  <xdr:twoCellAnchor>
    <xdr:from>
      <xdr:col>0</xdr:col>
      <xdr:colOff>0</xdr:colOff>
      <xdr:row>37</xdr:row>
      <xdr:rowOff>47065</xdr:rowOff>
    </xdr:from>
    <xdr:to>
      <xdr:col>4</xdr:col>
      <xdr:colOff>138392</xdr:colOff>
      <xdr:row>39</xdr:row>
      <xdr:rowOff>151840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C4D8858-DAB7-40D1-82C3-716C6E2371E9}"/>
            </a:ext>
          </a:extLst>
        </xdr:cNvPr>
        <xdr:cNvSpPr/>
      </xdr:nvSpPr>
      <xdr:spPr>
        <a:xfrm>
          <a:off x="0" y="746704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December</a:t>
          </a:r>
        </a:p>
      </xdr:txBody>
    </xdr:sp>
    <xdr:clientData/>
  </xdr:twoCellAnchor>
  <xdr:twoCellAnchor>
    <xdr:from>
      <xdr:col>43</xdr:col>
      <xdr:colOff>0</xdr:colOff>
      <xdr:row>0</xdr:row>
      <xdr:rowOff>0</xdr:rowOff>
    </xdr:from>
    <xdr:to>
      <xdr:col>58</xdr:col>
      <xdr:colOff>22412</xdr:colOff>
      <xdr:row>3</xdr:row>
      <xdr:rowOff>11205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69EED2A-E560-476D-8B74-539AEF98A04B}"/>
            </a:ext>
          </a:extLst>
        </xdr:cNvPr>
        <xdr:cNvSpPr/>
      </xdr:nvSpPr>
      <xdr:spPr>
        <a:xfrm>
          <a:off x="29051250" y="0"/>
          <a:ext cx="14014637" cy="61128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ln>
                <a:noFill/>
              </a:ln>
              <a:solidFill>
                <a:schemeClr val="tx1"/>
              </a:solidFill>
            </a:rPr>
            <a:t>Monthly Report </a:t>
          </a:r>
        </a:p>
      </xdr:txBody>
    </xdr:sp>
    <xdr:clientData/>
  </xdr:twoCellAnchor>
  <xdr:twoCellAnchor>
    <xdr:from>
      <xdr:col>5</xdr:col>
      <xdr:colOff>571500</xdr:colOff>
      <xdr:row>0</xdr:row>
      <xdr:rowOff>145676</xdr:rowOff>
    </xdr:from>
    <xdr:to>
      <xdr:col>7</xdr:col>
      <xdr:colOff>874059</xdr:colOff>
      <xdr:row>2</xdr:row>
      <xdr:rowOff>56029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7A3DF32-E146-4444-9081-46A15FA44BD3}"/>
            </a:ext>
          </a:extLst>
        </xdr:cNvPr>
        <xdr:cNvSpPr txBox="1"/>
      </xdr:nvSpPr>
      <xdr:spPr>
        <a:xfrm>
          <a:off x="3619500" y="145676"/>
          <a:ext cx="1531284" cy="31040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From</a:t>
          </a:r>
        </a:p>
      </xdr:txBody>
    </xdr:sp>
    <xdr:clientData/>
  </xdr:twoCellAnchor>
  <xdr:twoCellAnchor>
    <xdr:from>
      <xdr:col>7</xdr:col>
      <xdr:colOff>885265</xdr:colOff>
      <xdr:row>0</xdr:row>
      <xdr:rowOff>145676</xdr:rowOff>
    </xdr:from>
    <xdr:to>
      <xdr:col>8</xdr:col>
      <xdr:colOff>593911</xdr:colOff>
      <xdr:row>2</xdr:row>
      <xdr:rowOff>56029</xdr:rowOff>
    </xdr:to>
    <xdr:sp macro="" textlink="$H$6">
      <xdr:nvSpPr>
        <xdr:cNvPr id="18" name="TextBox 17">
          <a:extLst>
            <a:ext uri="{FF2B5EF4-FFF2-40B4-BE49-F238E27FC236}">
              <a16:creationId xmlns:a16="http://schemas.microsoft.com/office/drawing/2014/main" id="{6EFF4637-FA89-44A7-A003-87E4FBED88EB}"/>
            </a:ext>
          </a:extLst>
        </xdr:cNvPr>
        <xdr:cNvSpPr txBox="1"/>
      </xdr:nvSpPr>
      <xdr:spPr>
        <a:xfrm>
          <a:off x="5161990" y="145676"/>
          <a:ext cx="1499346" cy="310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4FAE0827-8A19-483B-A3A8-823BC530720B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1-Jun-25</a:t>
          </a:fld>
          <a:endParaRPr lang="en-US" sz="1600" b="1"/>
        </a:p>
      </xdr:txBody>
    </xdr:sp>
    <xdr:clientData/>
  </xdr:twoCellAnchor>
  <xdr:twoCellAnchor>
    <xdr:from>
      <xdr:col>13</xdr:col>
      <xdr:colOff>410135</xdr:colOff>
      <xdr:row>0</xdr:row>
      <xdr:rowOff>118782</xdr:rowOff>
    </xdr:from>
    <xdr:to>
      <xdr:col>16</xdr:col>
      <xdr:colOff>85165</xdr:colOff>
      <xdr:row>2</xdr:row>
      <xdr:rowOff>29135</xdr:rowOff>
    </xdr:to>
    <xdr:sp macro="" textlink="$M$6">
      <xdr:nvSpPr>
        <xdr:cNvPr id="19" name="TextBox 18">
          <a:extLst>
            <a:ext uri="{FF2B5EF4-FFF2-40B4-BE49-F238E27FC236}">
              <a16:creationId xmlns:a16="http://schemas.microsoft.com/office/drawing/2014/main" id="{D978305E-D466-48F4-A56E-3B88B584CA66}"/>
            </a:ext>
          </a:extLst>
        </xdr:cNvPr>
        <xdr:cNvSpPr txBox="1"/>
      </xdr:nvSpPr>
      <xdr:spPr>
        <a:xfrm>
          <a:off x="10906685" y="118782"/>
          <a:ext cx="1532405" cy="310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CF0DC84-B8FC-49E0-B45A-C37B36E5F7EF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30-Jun-25</a:t>
          </a:fld>
          <a:endParaRPr lang="en-US" sz="1600" b="1"/>
        </a:p>
      </xdr:txBody>
    </xdr:sp>
    <xdr:clientData/>
  </xdr:twoCellAnchor>
  <xdr:twoCellAnchor>
    <xdr:from>
      <xdr:col>11</xdr:col>
      <xdr:colOff>392206</xdr:colOff>
      <xdr:row>0</xdr:row>
      <xdr:rowOff>118782</xdr:rowOff>
    </xdr:from>
    <xdr:to>
      <xdr:col>13</xdr:col>
      <xdr:colOff>403410</xdr:colOff>
      <xdr:row>2</xdr:row>
      <xdr:rowOff>29135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CD34420-F9AE-4637-9023-BF8FE3FA00A8}"/>
            </a:ext>
          </a:extLst>
        </xdr:cNvPr>
        <xdr:cNvSpPr txBox="1"/>
      </xdr:nvSpPr>
      <xdr:spPr>
        <a:xfrm>
          <a:off x="9355231" y="118782"/>
          <a:ext cx="1544729" cy="31040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To</a:t>
          </a:r>
        </a:p>
      </xdr:txBody>
    </xdr:sp>
    <xdr:clientData/>
  </xdr:twoCellAnchor>
  <xdr:twoCellAnchor>
    <xdr:from>
      <xdr:col>16</xdr:col>
      <xdr:colOff>326571</xdr:colOff>
      <xdr:row>0</xdr:row>
      <xdr:rowOff>136071</xdr:rowOff>
    </xdr:from>
    <xdr:to>
      <xdr:col>28</xdr:col>
      <xdr:colOff>598714</xdr:colOff>
      <xdr:row>2</xdr:row>
      <xdr:rowOff>40822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0AC798C-D26D-418F-8A0B-CAFEC6E96E50}"/>
            </a:ext>
          </a:extLst>
        </xdr:cNvPr>
        <xdr:cNvSpPr/>
      </xdr:nvSpPr>
      <xdr:spPr>
        <a:xfrm>
          <a:off x="12680496" y="136071"/>
          <a:ext cx="7701643" cy="30480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340180</xdr:colOff>
      <xdr:row>0</xdr:row>
      <xdr:rowOff>180975</xdr:rowOff>
    </xdr:from>
    <xdr:to>
      <xdr:col>25</xdr:col>
      <xdr:colOff>190501</xdr:colOff>
      <xdr:row>2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7B571DB-E17F-41F4-9025-ED29ADF38EB2}"/>
            </a:ext>
          </a:extLst>
        </xdr:cNvPr>
        <xdr:cNvSpPr txBox="1"/>
      </xdr:nvSpPr>
      <xdr:spPr>
        <a:xfrm>
          <a:off x="12694105" y="180975"/>
          <a:ext cx="5422446" cy="2286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/>
            <a:t>Dashboard</a:t>
          </a:r>
          <a:r>
            <a:rPr lang="en-US" sz="2400" b="1" baseline="0"/>
            <a:t> for the month of </a:t>
          </a:r>
          <a:endParaRPr lang="en-US" sz="2400" b="1"/>
        </a:p>
      </xdr:txBody>
    </xdr:sp>
    <xdr:clientData/>
  </xdr:twoCellAnchor>
  <xdr:twoCellAnchor editAs="oneCell">
    <xdr:from>
      <xdr:col>27</xdr:col>
      <xdr:colOff>590340</xdr:colOff>
      <xdr:row>0</xdr:row>
      <xdr:rowOff>131884</xdr:rowOff>
    </xdr:from>
    <xdr:to>
      <xdr:col>29</xdr:col>
      <xdr:colOff>1231</xdr:colOff>
      <xdr:row>2</xdr:row>
      <xdr:rowOff>92319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09F1068A-B01E-48FB-A854-A1ED320E3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9754640" y="131884"/>
          <a:ext cx="649141" cy="341435"/>
        </a:xfrm>
        <a:prstGeom prst="rect">
          <a:avLst/>
        </a:prstGeom>
      </xdr:spPr>
    </xdr:pic>
    <xdr:clientData/>
  </xdr:twoCellAnchor>
  <xdr:twoCellAnchor>
    <xdr:from>
      <xdr:col>23</xdr:col>
      <xdr:colOff>600075</xdr:colOff>
      <xdr:row>0</xdr:row>
      <xdr:rowOff>142875</xdr:rowOff>
    </xdr:from>
    <xdr:to>
      <xdr:col>26</xdr:col>
      <xdr:colOff>542925</xdr:colOff>
      <xdr:row>2</xdr:row>
      <xdr:rowOff>19050</xdr:rowOff>
    </xdr:to>
    <xdr:sp macro="" textlink="$J$6">
      <xdr:nvSpPr>
        <xdr:cNvPr id="24" name="TextBox 23">
          <a:extLst>
            <a:ext uri="{FF2B5EF4-FFF2-40B4-BE49-F238E27FC236}">
              <a16:creationId xmlns:a16="http://schemas.microsoft.com/office/drawing/2014/main" id="{86E4527A-3DE6-4277-9A65-FF8066A915F1}"/>
            </a:ext>
          </a:extLst>
        </xdr:cNvPr>
        <xdr:cNvSpPr txBox="1"/>
      </xdr:nvSpPr>
      <xdr:spPr>
        <a:xfrm>
          <a:off x="17287875" y="142875"/>
          <a:ext cx="1800225" cy="276225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C2C24BA-C070-4B66-A11F-4012E2591220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June</a:t>
          </a:fld>
          <a:endParaRPr lang="en-US" sz="1600" b="1"/>
        </a:p>
      </xdr:txBody>
    </xdr:sp>
    <xdr:clientData/>
  </xdr:twoCellAnchor>
  <xdr:twoCellAnchor>
    <xdr:from>
      <xdr:col>30</xdr:col>
      <xdr:colOff>59121</xdr:colOff>
      <xdr:row>0</xdr:row>
      <xdr:rowOff>111673</xdr:rowOff>
    </xdr:from>
    <xdr:to>
      <xdr:col>30</xdr:col>
      <xdr:colOff>407277</xdr:colOff>
      <xdr:row>2</xdr:row>
      <xdr:rowOff>39415</xdr:rowOff>
    </xdr:to>
    <xdr:sp macro="" textlink="">
      <xdr:nvSpPr>
        <xdr:cNvPr id="25" name="Flowchart: Or 24">
          <a:extLst>
            <a:ext uri="{FF2B5EF4-FFF2-40B4-BE49-F238E27FC236}">
              <a16:creationId xmlns:a16="http://schemas.microsoft.com/office/drawing/2014/main" id="{419DF9DF-05FD-4025-A70D-A2C7979FABE9}"/>
            </a:ext>
          </a:extLst>
        </xdr:cNvPr>
        <xdr:cNvSpPr/>
      </xdr:nvSpPr>
      <xdr:spPr>
        <a:xfrm>
          <a:off x="21080796" y="111673"/>
          <a:ext cx="348156" cy="327792"/>
        </a:xfrm>
        <a:prstGeom prst="flowChartOr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420413</xdr:colOff>
      <xdr:row>0</xdr:row>
      <xdr:rowOff>91966</xdr:rowOff>
    </xdr:from>
    <xdr:to>
      <xdr:col>32</xdr:col>
      <xdr:colOff>170793</xdr:colOff>
      <xdr:row>2</xdr:row>
      <xdr:rowOff>78827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B5A54DB-0803-4117-92FB-9F47922BA684}"/>
            </a:ext>
          </a:extLst>
        </xdr:cNvPr>
        <xdr:cNvSpPr/>
      </xdr:nvSpPr>
      <xdr:spPr>
        <a:xfrm>
          <a:off x="21442088" y="91966"/>
          <a:ext cx="988630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Present</a:t>
          </a:r>
        </a:p>
      </xdr:txBody>
    </xdr:sp>
    <xdr:clientData/>
  </xdr:twoCellAnchor>
  <xdr:twoCellAnchor>
    <xdr:from>
      <xdr:col>32</xdr:col>
      <xdr:colOff>441436</xdr:colOff>
      <xdr:row>0</xdr:row>
      <xdr:rowOff>126124</xdr:rowOff>
    </xdr:from>
    <xdr:to>
      <xdr:col>33</xdr:col>
      <xdr:colOff>172109</xdr:colOff>
      <xdr:row>2</xdr:row>
      <xdr:rowOff>53866</xdr:rowOff>
    </xdr:to>
    <xdr:sp macro="" textlink="">
      <xdr:nvSpPr>
        <xdr:cNvPr id="27" name="Flowchart: Or 26">
          <a:extLst>
            <a:ext uri="{FF2B5EF4-FFF2-40B4-BE49-F238E27FC236}">
              <a16:creationId xmlns:a16="http://schemas.microsoft.com/office/drawing/2014/main" id="{6F66A017-21A1-4A45-9FA7-0C6EF920F4A9}"/>
            </a:ext>
          </a:extLst>
        </xdr:cNvPr>
        <xdr:cNvSpPr/>
      </xdr:nvSpPr>
      <xdr:spPr>
        <a:xfrm>
          <a:off x="22701361" y="126124"/>
          <a:ext cx="349798" cy="327792"/>
        </a:xfrm>
        <a:prstGeom prst="flowChar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185245</xdr:colOff>
      <xdr:row>0</xdr:row>
      <xdr:rowOff>106417</xdr:rowOff>
    </xdr:from>
    <xdr:to>
      <xdr:col>34</xdr:col>
      <xdr:colOff>553107</xdr:colOff>
      <xdr:row>2</xdr:row>
      <xdr:rowOff>93278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A86B06B8-3707-4DB7-B047-9B27F63042CA}"/>
            </a:ext>
          </a:extLst>
        </xdr:cNvPr>
        <xdr:cNvSpPr/>
      </xdr:nvSpPr>
      <xdr:spPr>
        <a:xfrm>
          <a:off x="23064295" y="106417"/>
          <a:ext cx="986987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Absent</a:t>
          </a:r>
        </a:p>
      </xdr:txBody>
    </xdr:sp>
    <xdr:clientData/>
  </xdr:twoCellAnchor>
  <xdr:twoCellAnchor>
    <xdr:from>
      <xdr:col>35</xdr:col>
      <xdr:colOff>173421</xdr:colOff>
      <xdr:row>0</xdr:row>
      <xdr:rowOff>114299</xdr:rowOff>
    </xdr:from>
    <xdr:to>
      <xdr:col>35</xdr:col>
      <xdr:colOff>521577</xdr:colOff>
      <xdr:row>2</xdr:row>
      <xdr:rowOff>42041</xdr:rowOff>
    </xdr:to>
    <xdr:sp macro="" textlink="">
      <xdr:nvSpPr>
        <xdr:cNvPr id="29" name="Flowchart: Or 28">
          <a:extLst>
            <a:ext uri="{FF2B5EF4-FFF2-40B4-BE49-F238E27FC236}">
              <a16:creationId xmlns:a16="http://schemas.microsoft.com/office/drawing/2014/main" id="{F0D3CFF3-2674-4528-9CBB-B6CAE53546FD}"/>
            </a:ext>
          </a:extLst>
        </xdr:cNvPr>
        <xdr:cNvSpPr/>
      </xdr:nvSpPr>
      <xdr:spPr>
        <a:xfrm>
          <a:off x="24290721" y="114299"/>
          <a:ext cx="348156" cy="327792"/>
        </a:xfrm>
        <a:prstGeom prst="flowChartOr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534713</xdr:colOff>
      <xdr:row>0</xdr:row>
      <xdr:rowOff>94592</xdr:rowOff>
    </xdr:from>
    <xdr:to>
      <xdr:col>37</xdr:col>
      <xdr:colOff>285093</xdr:colOff>
      <xdr:row>2</xdr:row>
      <xdr:rowOff>81453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38198CBA-9828-43F8-9AE2-44E27C3A70FA}"/>
            </a:ext>
          </a:extLst>
        </xdr:cNvPr>
        <xdr:cNvSpPr/>
      </xdr:nvSpPr>
      <xdr:spPr>
        <a:xfrm>
          <a:off x="24652013" y="94592"/>
          <a:ext cx="988630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Leave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51636</xdr:colOff>
      <xdr:row>0</xdr:row>
      <xdr:rowOff>0</xdr:rowOff>
    </xdr:from>
    <xdr:to>
      <xdr:col>42</xdr:col>
      <xdr:colOff>0</xdr:colOff>
      <xdr:row>2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958FBB-AE6D-4322-9ED7-395A10F39FF7}"/>
            </a:ext>
          </a:extLst>
        </xdr:cNvPr>
        <xdr:cNvSpPr/>
      </xdr:nvSpPr>
      <xdr:spPr>
        <a:xfrm>
          <a:off x="1270836" y="0"/>
          <a:ext cx="27170814" cy="581025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</xdr:colOff>
      <xdr:row>0</xdr:row>
      <xdr:rowOff>9523</xdr:rowOff>
    </xdr:from>
    <xdr:to>
      <xdr:col>3</xdr:col>
      <xdr:colOff>588818</xdr:colOff>
      <xdr:row>64</xdr:row>
      <xdr:rowOff>103908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841ED1A-55D0-4257-AC22-69E4665626B7}"/>
            </a:ext>
          </a:extLst>
        </xdr:cNvPr>
        <xdr:cNvSpPr/>
      </xdr:nvSpPr>
      <xdr:spPr>
        <a:xfrm>
          <a:off x="9525" y="9523"/>
          <a:ext cx="2397702" cy="13394749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noFill/>
            </a:ln>
          </a:endParaRPr>
        </a:p>
      </xdr:txBody>
    </xdr:sp>
    <xdr:clientData/>
  </xdr:twoCellAnchor>
  <xdr:twoCellAnchor>
    <xdr:from>
      <xdr:col>0</xdr:col>
      <xdr:colOff>0</xdr:colOff>
      <xdr:row>1</xdr:row>
      <xdr:rowOff>116032</xdr:rowOff>
    </xdr:from>
    <xdr:to>
      <xdr:col>4</xdr:col>
      <xdr:colOff>142876</xdr:colOff>
      <xdr:row>4</xdr:row>
      <xdr:rowOff>30307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55268-D0BD-4380-9A33-8B687F597098}"/>
            </a:ext>
          </a:extLst>
        </xdr:cNvPr>
        <xdr:cNvSpPr/>
      </xdr:nvSpPr>
      <xdr:spPr>
        <a:xfrm>
          <a:off x="0" y="323850"/>
          <a:ext cx="2567421" cy="53773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January</a:t>
          </a:r>
        </a:p>
      </xdr:txBody>
    </xdr:sp>
    <xdr:clientData/>
  </xdr:twoCellAnchor>
  <xdr:twoCellAnchor>
    <xdr:from>
      <xdr:col>0</xdr:col>
      <xdr:colOff>0</xdr:colOff>
      <xdr:row>4</xdr:row>
      <xdr:rowOff>180415</xdr:rowOff>
    </xdr:from>
    <xdr:to>
      <xdr:col>4</xdr:col>
      <xdr:colOff>138392</xdr:colOff>
      <xdr:row>7</xdr:row>
      <xdr:rowOff>94690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FFD8EE-23AF-49B4-8B4D-3E7C3D0B1480}"/>
            </a:ext>
          </a:extLst>
        </xdr:cNvPr>
        <xdr:cNvSpPr/>
      </xdr:nvSpPr>
      <xdr:spPr>
        <a:xfrm>
          <a:off x="0" y="980515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Feb</a:t>
          </a:r>
        </a:p>
      </xdr:txBody>
    </xdr:sp>
    <xdr:clientData/>
  </xdr:twoCellAnchor>
  <xdr:twoCellAnchor>
    <xdr:from>
      <xdr:col>0</xdr:col>
      <xdr:colOff>0</xdr:colOff>
      <xdr:row>8</xdr:row>
      <xdr:rowOff>8965</xdr:rowOff>
    </xdr:from>
    <xdr:to>
      <xdr:col>4</xdr:col>
      <xdr:colOff>142874</xdr:colOff>
      <xdr:row>10</xdr:row>
      <xdr:rowOff>113740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5D1F8E-B1FC-4275-96BC-01972354AD4A}"/>
            </a:ext>
          </a:extLst>
        </xdr:cNvPr>
        <xdr:cNvSpPr/>
      </xdr:nvSpPr>
      <xdr:spPr>
        <a:xfrm>
          <a:off x="0" y="1609165"/>
          <a:ext cx="2581274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March</a:t>
          </a:r>
        </a:p>
      </xdr:txBody>
    </xdr:sp>
    <xdr:clientData/>
  </xdr:twoCellAnchor>
  <xdr:twoCellAnchor>
    <xdr:from>
      <xdr:col>0</xdr:col>
      <xdr:colOff>0</xdr:colOff>
      <xdr:row>11</xdr:row>
      <xdr:rowOff>75640</xdr:rowOff>
    </xdr:from>
    <xdr:to>
      <xdr:col>4</xdr:col>
      <xdr:colOff>138392</xdr:colOff>
      <xdr:row>13</xdr:row>
      <xdr:rowOff>180415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DC6CA0-EF14-4A7E-9E3A-91E2533757C1}"/>
            </a:ext>
          </a:extLst>
        </xdr:cNvPr>
        <xdr:cNvSpPr/>
      </xdr:nvSpPr>
      <xdr:spPr>
        <a:xfrm>
          <a:off x="0" y="228544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April</a:t>
          </a:r>
        </a:p>
      </xdr:txBody>
    </xdr:sp>
    <xdr:clientData/>
  </xdr:twoCellAnchor>
  <xdr:twoCellAnchor>
    <xdr:from>
      <xdr:col>0</xdr:col>
      <xdr:colOff>0</xdr:colOff>
      <xdr:row>14</xdr:row>
      <xdr:rowOff>123265</xdr:rowOff>
    </xdr:from>
    <xdr:to>
      <xdr:col>4</xdr:col>
      <xdr:colOff>138392</xdr:colOff>
      <xdr:row>17</xdr:row>
      <xdr:rowOff>37540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9970042-4C39-4CB2-A189-365AD7A1A01E}"/>
            </a:ext>
          </a:extLst>
        </xdr:cNvPr>
        <xdr:cNvSpPr/>
      </xdr:nvSpPr>
      <xdr:spPr>
        <a:xfrm>
          <a:off x="0" y="29331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151840</xdr:rowOff>
    </xdr:from>
    <xdr:to>
      <xdr:col>4</xdr:col>
      <xdr:colOff>157442</xdr:colOff>
      <xdr:row>20</xdr:row>
      <xdr:rowOff>66115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47351F6-F7A3-408C-A84D-0AECDAC06214}"/>
            </a:ext>
          </a:extLst>
        </xdr:cNvPr>
        <xdr:cNvSpPr/>
      </xdr:nvSpPr>
      <xdr:spPr>
        <a:xfrm>
          <a:off x="19050" y="356179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June</a:t>
          </a:r>
        </a:p>
      </xdr:txBody>
    </xdr:sp>
    <xdr:clientData/>
  </xdr:twoCellAnchor>
  <xdr:twoCellAnchor>
    <xdr:from>
      <xdr:col>1</xdr:col>
      <xdr:colOff>321253</xdr:colOff>
      <xdr:row>20</xdr:row>
      <xdr:rowOff>189940</xdr:rowOff>
    </xdr:from>
    <xdr:to>
      <xdr:col>5</xdr:col>
      <xdr:colOff>459644</xdr:colOff>
      <xdr:row>23</xdr:row>
      <xdr:rowOff>104215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4B9509E-0AA8-4F78-8379-DBA1F4DB2942}"/>
            </a:ext>
          </a:extLst>
        </xdr:cNvPr>
        <xdr:cNvSpPr/>
      </xdr:nvSpPr>
      <xdr:spPr>
        <a:xfrm>
          <a:off x="927389" y="4346304"/>
          <a:ext cx="2562937" cy="537729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July</a:t>
          </a:r>
        </a:p>
      </xdr:txBody>
    </xdr:sp>
    <xdr:clientData/>
  </xdr:twoCellAnchor>
  <xdr:twoCellAnchor>
    <xdr:from>
      <xdr:col>0</xdr:col>
      <xdr:colOff>9525</xdr:colOff>
      <xdr:row>24</xdr:row>
      <xdr:rowOff>47065</xdr:rowOff>
    </xdr:from>
    <xdr:to>
      <xdr:col>4</xdr:col>
      <xdr:colOff>147917</xdr:colOff>
      <xdr:row>26</xdr:row>
      <xdr:rowOff>151840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EAD5A2F-CA6B-4DEB-94C3-4923161D57D6}"/>
            </a:ext>
          </a:extLst>
        </xdr:cNvPr>
        <xdr:cNvSpPr/>
      </xdr:nvSpPr>
      <xdr:spPr>
        <a:xfrm>
          <a:off x="9525" y="485719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August</a:t>
          </a:r>
        </a:p>
      </xdr:txBody>
    </xdr:sp>
    <xdr:clientData/>
  </xdr:twoCellAnchor>
  <xdr:twoCellAnchor>
    <xdr:from>
      <xdr:col>0</xdr:col>
      <xdr:colOff>9525</xdr:colOff>
      <xdr:row>27</xdr:row>
      <xdr:rowOff>94690</xdr:rowOff>
    </xdr:from>
    <xdr:to>
      <xdr:col>4</xdr:col>
      <xdr:colOff>147917</xdr:colOff>
      <xdr:row>30</xdr:row>
      <xdr:rowOff>8965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B23BE9D-5F20-4D75-9755-A6265469EC35}"/>
            </a:ext>
          </a:extLst>
        </xdr:cNvPr>
        <xdr:cNvSpPr/>
      </xdr:nvSpPr>
      <xdr:spPr>
        <a:xfrm>
          <a:off x="9525" y="5504890"/>
          <a:ext cx="2576792" cy="5238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September</a:t>
          </a:r>
        </a:p>
      </xdr:txBody>
    </xdr:sp>
    <xdr:clientData/>
  </xdr:twoCellAnchor>
  <xdr:twoCellAnchor>
    <xdr:from>
      <xdr:col>0</xdr:col>
      <xdr:colOff>19050</xdr:colOff>
      <xdr:row>30</xdr:row>
      <xdr:rowOff>113740</xdr:rowOff>
    </xdr:from>
    <xdr:to>
      <xdr:col>4</xdr:col>
      <xdr:colOff>157442</xdr:colOff>
      <xdr:row>33</xdr:row>
      <xdr:rowOff>28015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FA880FE-ED99-4617-B312-21A1C2BBDF55}"/>
            </a:ext>
          </a:extLst>
        </xdr:cNvPr>
        <xdr:cNvSpPr/>
      </xdr:nvSpPr>
      <xdr:spPr>
        <a:xfrm>
          <a:off x="19050" y="61335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October</a:t>
          </a:r>
        </a:p>
      </xdr:txBody>
    </xdr:sp>
    <xdr:clientData/>
  </xdr:twoCellAnchor>
  <xdr:twoCellAnchor>
    <xdr:from>
      <xdr:col>0</xdr:col>
      <xdr:colOff>9525</xdr:colOff>
      <xdr:row>33</xdr:row>
      <xdr:rowOff>161365</xdr:rowOff>
    </xdr:from>
    <xdr:to>
      <xdr:col>4</xdr:col>
      <xdr:colOff>147917</xdr:colOff>
      <xdr:row>36</xdr:row>
      <xdr:rowOff>75640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CFF5094-07CA-4A93-97FA-61C5E6C167D8}"/>
            </a:ext>
          </a:extLst>
        </xdr:cNvPr>
        <xdr:cNvSpPr/>
      </xdr:nvSpPr>
      <xdr:spPr>
        <a:xfrm>
          <a:off x="9525" y="67812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November</a:t>
          </a:r>
        </a:p>
      </xdr:txBody>
    </xdr:sp>
    <xdr:clientData/>
  </xdr:twoCellAnchor>
  <xdr:twoCellAnchor>
    <xdr:from>
      <xdr:col>0</xdr:col>
      <xdr:colOff>0</xdr:colOff>
      <xdr:row>37</xdr:row>
      <xdr:rowOff>47065</xdr:rowOff>
    </xdr:from>
    <xdr:to>
      <xdr:col>4</xdr:col>
      <xdr:colOff>138392</xdr:colOff>
      <xdr:row>39</xdr:row>
      <xdr:rowOff>151840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A15CBD2-AB96-4A0C-984E-0F8408A259BC}"/>
            </a:ext>
          </a:extLst>
        </xdr:cNvPr>
        <xdr:cNvSpPr/>
      </xdr:nvSpPr>
      <xdr:spPr>
        <a:xfrm>
          <a:off x="0" y="746704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December</a:t>
          </a:r>
        </a:p>
      </xdr:txBody>
    </xdr:sp>
    <xdr:clientData/>
  </xdr:twoCellAnchor>
  <xdr:twoCellAnchor>
    <xdr:from>
      <xdr:col>43</xdr:col>
      <xdr:colOff>0</xdr:colOff>
      <xdr:row>0</xdr:row>
      <xdr:rowOff>0</xdr:rowOff>
    </xdr:from>
    <xdr:to>
      <xdr:col>58</xdr:col>
      <xdr:colOff>22412</xdr:colOff>
      <xdr:row>3</xdr:row>
      <xdr:rowOff>11205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D59C74-D770-433C-93D0-33E7A4075AF9}"/>
            </a:ext>
          </a:extLst>
        </xdr:cNvPr>
        <xdr:cNvSpPr/>
      </xdr:nvSpPr>
      <xdr:spPr>
        <a:xfrm>
          <a:off x="29051250" y="0"/>
          <a:ext cx="14014637" cy="61128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ln>
                <a:noFill/>
              </a:ln>
              <a:solidFill>
                <a:schemeClr val="tx1"/>
              </a:solidFill>
            </a:rPr>
            <a:t>Monthly Report </a:t>
          </a:r>
        </a:p>
      </xdr:txBody>
    </xdr:sp>
    <xdr:clientData/>
  </xdr:twoCellAnchor>
  <xdr:twoCellAnchor>
    <xdr:from>
      <xdr:col>5</xdr:col>
      <xdr:colOff>571500</xdr:colOff>
      <xdr:row>0</xdr:row>
      <xdr:rowOff>145676</xdr:rowOff>
    </xdr:from>
    <xdr:to>
      <xdr:col>7</xdr:col>
      <xdr:colOff>874059</xdr:colOff>
      <xdr:row>2</xdr:row>
      <xdr:rowOff>56029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7BF7CCA-D0CF-433E-A621-4C329A0D4CA2}"/>
            </a:ext>
          </a:extLst>
        </xdr:cNvPr>
        <xdr:cNvSpPr txBox="1"/>
      </xdr:nvSpPr>
      <xdr:spPr>
        <a:xfrm>
          <a:off x="3619500" y="145676"/>
          <a:ext cx="1531284" cy="31040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From</a:t>
          </a:r>
        </a:p>
      </xdr:txBody>
    </xdr:sp>
    <xdr:clientData/>
  </xdr:twoCellAnchor>
  <xdr:twoCellAnchor>
    <xdr:from>
      <xdr:col>7</xdr:col>
      <xdr:colOff>885265</xdr:colOff>
      <xdr:row>0</xdr:row>
      <xdr:rowOff>145676</xdr:rowOff>
    </xdr:from>
    <xdr:to>
      <xdr:col>8</xdr:col>
      <xdr:colOff>593911</xdr:colOff>
      <xdr:row>2</xdr:row>
      <xdr:rowOff>56029</xdr:rowOff>
    </xdr:to>
    <xdr:sp macro="" textlink="$H$6">
      <xdr:nvSpPr>
        <xdr:cNvPr id="18" name="TextBox 17">
          <a:extLst>
            <a:ext uri="{FF2B5EF4-FFF2-40B4-BE49-F238E27FC236}">
              <a16:creationId xmlns:a16="http://schemas.microsoft.com/office/drawing/2014/main" id="{4F2A2313-BA52-413D-BE12-5DB121127758}"/>
            </a:ext>
          </a:extLst>
        </xdr:cNvPr>
        <xdr:cNvSpPr txBox="1"/>
      </xdr:nvSpPr>
      <xdr:spPr>
        <a:xfrm>
          <a:off x="5161990" y="145676"/>
          <a:ext cx="1499346" cy="310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4FAE0827-8A19-483B-A3A8-823BC530720B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1-Jul-25</a:t>
          </a:fld>
          <a:endParaRPr lang="en-US" sz="1600" b="1"/>
        </a:p>
      </xdr:txBody>
    </xdr:sp>
    <xdr:clientData/>
  </xdr:twoCellAnchor>
  <xdr:twoCellAnchor>
    <xdr:from>
      <xdr:col>13</xdr:col>
      <xdr:colOff>410135</xdr:colOff>
      <xdr:row>0</xdr:row>
      <xdr:rowOff>118782</xdr:rowOff>
    </xdr:from>
    <xdr:to>
      <xdr:col>16</xdr:col>
      <xdr:colOff>85165</xdr:colOff>
      <xdr:row>2</xdr:row>
      <xdr:rowOff>29135</xdr:rowOff>
    </xdr:to>
    <xdr:sp macro="" textlink="$M$6">
      <xdr:nvSpPr>
        <xdr:cNvPr id="19" name="TextBox 18">
          <a:extLst>
            <a:ext uri="{FF2B5EF4-FFF2-40B4-BE49-F238E27FC236}">
              <a16:creationId xmlns:a16="http://schemas.microsoft.com/office/drawing/2014/main" id="{2A4FDC70-D01E-47BA-A3B2-C2212020509E}"/>
            </a:ext>
          </a:extLst>
        </xdr:cNvPr>
        <xdr:cNvSpPr txBox="1"/>
      </xdr:nvSpPr>
      <xdr:spPr>
        <a:xfrm>
          <a:off x="10906685" y="118782"/>
          <a:ext cx="1532405" cy="310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CF0DC84-B8FC-49E0-B45A-C37B36E5F7EF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31-Jul-25</a:t>
          </a:fld>
          <a:endParaRPr lang="en-US" sz="1600" b="1"/>
        </a:p>
      </xdr:txBody>
    </xdr:sp>
    <xdr:clientData/>
  </xdr:twoCellAnchor>
  <xdr:twoCellAnchor>
    <xdr:from>
      <xdr:col>11</xdr:col>
      <xdr:colOff>392206</xdr:colOff>
      <xdr:row>0</xdr:row>
      <xdr:rowOff>118782</xdr:rowOff>
    </xdr:from>
    <xdr:to>
      <xdr:col>13</xdr:col>
      <xdr:colOff>403410</xdr:colOff>
      <xdr:row>2</xdr:row>
      <xdr:rowOff>29135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802D597-8A5B-4BE2-BB0E-CFFCD767D024}"/>
            </a:ext>
          </a:extLst>
        </xdr:cNvPr>
        <xdr:cNvSpPr txBox="1"/>
      </xdr:nvSpPr>
      <xdr:spPr>
        <a:xfrm>
          <a:off x="9355231" y="118782"/>
          <a:ext cx="1544729" cy="31040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To</a:t>
          </a:r>
        </a:p>
      </xdr:txBody>
    </xdr:sp>
    <xdr:clientData/>
  </xdr:twoCellAnchor>
  <xdr:twoCellAnchor>
    <xdr:from>
      <xdr:col>16</xdr:col>
      <xdr:colOff>326571</xdr:colOff>
      <xdr:row>0</xdr:row>
      <xdr:rowOff>136071</xdr:rowOff>
    </xdr:from>
    <xdr:to>
      <xdr:col>28</xdr:col>
      <xdr:colOff>598714</xdr:colOff>
      <xdr:row>2</xdr:row>
      <xdr:rowOff>40822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5BA4B490-2D46-4D62-AA69-5794B0CE7F65}"/>
            </a:ext>
          </a:extLst>
        </xdr:cNvPr>
        <xdr:cNvSpPr/>
      </xdr:nvSpPr>
      <xdr:spPr>
        <a:xfrm>
          <a:off x="12680496" y="136071"/>
          <a:ext cx="7701643" cy="30480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340180</xdr:colOff>
      <xdr:row>0</xdr:row>
      <xdr:rowOff>180975</xdr:rowOff>
    </xdr:from>
    <xdr:to>
      <xdr:col>25</xdr:col>
      <xdr:colOff>190501</xdr:colOff>
      <xdr:row>2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BAF8E8B-67AC-4A52-A2C8-DC71251ED06E}"/>
            </a:ext>
          </a:extLst>
        </xdr:cNvPr>
        <xdr:cNvSpPr txBox="1"/>
      </xdr:nvSpPr>
      <xdr:spPr>
        <a:xfrm>
          <a:off x="12694105" y="180975"/>
          <a:ext cx="5422446" cy="2286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/>
            <a:t>Dashboard</a:t>
          </a:r>
          <a:r>
            <a:rPr lang="en-US" sz="2400" b="1" baseline="0"/>
            <a:t> for the month of </a:t>
          </a:r>
          <a:endParaRPr lang="en-US" sz="2400" b="1"/>
        </a:p>
      </xdr:txBody>
    </xdr:sp>
    <xdr:clientData/>
  </xdr:twoCellAnchor>
  <xdr:twoCellAnchor editAs="oneCell">
    <xdr:from>
      <xdr:col>27</xdr:col>
      <xdr:colOff>590340</xdr:colOff>
      <xdr:row>0</xdr:row>
      <xdr:rowOff>131884</xdr:rowOff>
    </xdr:from>
    <xdr:to>
      <xdr:col>29</xdr:col>
      <xdr:colOff>1231</xdr:colOff>
      <xdr:row>2</xdr:row>
      <xdr:rowOff>92319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FDD5B181-F6B5-41CF-8006-EF1926738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9754640" y="131884"/>
          <a:ext cx="649141" cy="341435"/>
        </a:xfrm>
        <a:prstGeom prst="rect">
          <a:avLst/>
        </a:prstGeom>
      </xdr:spPr>
    </xdr:pic>
    <xdr:clientData/>
  </xdr:twoCellAnchor>
  <xdr:twoCellAnchor>
    <xdr:from>
      <xdr:col>23</xdr:col>
      <xdr:colOff>600075</xdr:colOff>
      <xdr:row>0</xdr:row>
      <xdr:rowOff>142875</xdr:rowOff>
    </xdr:from>
    <xdr:to>
      <xdr:col>26</xdr:col>
      <xdr:colOff>542925</xdr:colOff>
      <xdr:row>2</xdr:row>
      <xdr:rowOff>19050</xdr:rowOff>
    </xdr:to>
    <xdr:sp macro="" textlink="$J$6">
      <xdr:nvSpPr>
        <xdr:cNvPr id="24" name="TextBox 23">
          <a:extLst>
            <a:ext uri="{FF2B5EF4-FFF2-40B4-BE49-F238E27FC236}">
              <a16:creationId xmlns:a16="http://schemas.microsoft.com/office/drawing/2014/main" id="{B8E3B5BF-53DB-42FE-9A35-261C0AFC6BEC}"/>
            </a:ext>
          </a:extLst>
        </xdr:cNvPr>
        <xdr:cNvSpPr txBox="1"/>
      </xdr:nvSpPr>
      <xdr:spPr>
        <a:xfrm>
          <a:off x="17287875" y="142875"/>
          <a:ext cx="1800225" cy="276225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C2C24BA-C070-4B66-A11F-4012E2591220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July</a:t>
          </a:fld>
          <a:endParaRPr lang="en-US" sz="1600" b="1"/>
        </a:p>
      </xdr:txBody>
    </xdr:sp>
    <xdr:clientData/>
  </xdr:twoCellAnchor>
  <xdr:twoCellAnchor>
    <xdr:from>
      <xdr:col>30</xdr:col>
      <xdr:colOff>59121</xdr:colOff>
      <xdr:row>0</xdr:row>
      <xdr:rowOff>111673</xdr:rowOff>
    </xdr:from>
    <xdr:to>
      <xdr:col>30</xdr:col>
      <xdr:colOff>407277</xdr:colOff>
      <xdr:row>2</xdr:row>
      <xdr:rowOff>39415</xdr:rowOff>
    </xdr:to>
    <xdr:sp macro="" textlink="">
      <xdr:nvSpPr>
        <xdr:cNvPr id="25" name="Flowchart: Or 24">
          <a:extLst>
            <a:ext uri="{FF2B5EF4-FFF2-40B4-BE49-F238E27FC236}">
              <a16:creationId xmlns:a16="http://schemas.microsoft.com/office/drawing/2014/main" id="{83E9D591-03D1-401C-8806-2C1AEFA301A3}"/>
            </a:ext>
          </a:extLst>
        </xdr:cNvPr>
        <xdr:cNvSpPr/>
      </xdr:nvSpPr>
      <xdr:spPr>
        <a:xfrm>
          <a:off x="21080796" y="111673"/>
          <a:ext cx="348156" cy="327792"/>
        </a:xfrm>
        <a:prstGeom prst="flowChartOr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420413</xdr:colOff>
      <xdr:row>0</xdr:row>
      <xdr:rowOff>91966</xdr:rowOff>
    </xdr:from>
    <xdr:to>
      <xdr:col>32</xdr:col>
      <xdr:colOff>170793</xdr:colOff>
      <xdr:row>2</xdr:row>
      <xdr:rowOff>78827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EE3E542A-601F-43A0-8912-2EFCDB98EDAD}"/>
            </a:ext>
          </a:extLst>
        </xdr:cNvPr>
        <xdr:cNvSpPr/>
      </xdr:nvSpPr>
      <xdr:spPr>
        <a:xfrm>
          <a:off x="21442088" y="91966"/>
          <a:ext cx="988630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Present</a:t>
          </a:r>
        </a:p>
      </xdr:txBody>
    </xdr:sp>
    <xdr:clientData/>
  </xdr:twoCellAnchor>
  <xdr:twoCellAnchor>
    <xdr:from>
      <xdr:col>32</xdr:col>
      <xdr:colOff>441436</xdr:colOff>
      <xdr:row>0</xdr:row>
      <xdr:rowOff>126124</xdr:rowOff>
    </xdr:from>
    <xdr:to>
      <xdr:col>33</xdr:col>
      <xdr:colOff>172109</xdr:colOff>
      <xdr:row>2</xdr:row>
      <xdr:rowOff>53866</xdr:rowOff>
    </xdr:to>
    <xdr:sp macro="" textlink="">
      <xdr:nvSpPr>
        <xdr:cNvPr id="27" name="Flowchart: Or 26">
          <a:extLst>
            <a:ext uri="{FF2B5EF4-FFF2-40B4-BE49-F238E27FC236}">
              <a16:creationId xmlns:a16="http://schemas.microsoft.com/office/drawing/2014/main" id="{EEDCDAE1-7E3A-4F02-A824-D981A77719A2}"/>
            </a:ext>
          </a:extLst>
        </xdr:cNvPr>
        <xdr:cNvSpPr/>
      </xdr:nvSpPr>
      <xdr:spPr>
        <a:xfrm>
          <a:off x="22701361" y="126124"/>
          <a:ext cx="349798" cy="327792"/>
        </a:xfrm>
        <a:prstGeom prst="flowChar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185245</xdr:colOff>
      <xdr:row>0</xdr:row>
      <xdr:rowOff>106417</xdr:rowOff>
    </xdr:from>
    <xdr:to>
      <xdr:col>34</xdr:col>
      <xdr:colOff>553107</xdr:colOff>
      <xdr:row>2</xdr:row>
      <xdr:rowOff>93278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30B6847-6BA6-4CC5-8A98-315CE37E6D29}"/>
            </a:ext>
          </a:extLst>
        </xdr:cNvPr>
        <xdr:cNvSpPr/>
      </xdr:nvSpPr>
      <xdr:spPr>
        <a:xfrm>
          <a:off x="23064295" y="106417"/>
          <a:ext cx="986987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Absent</a:t>
          </a:r>
        </a:p>
      </xdr:txBody>
    </xdr:sp>
    <xdr:clientData/>
  </xdr:twoCellAnchor>
  <xdr:twoCellAnchor>
    <xdr:from>
      <xdr:col>35</xdr:col>
      <xdr:colOff>173421</xdr:colOff>
      <xdr:row>0</xdr:row>
      <xdr:rowOff>114299</xdr:rowOff>
    </xdr:from>
    <xdr:to>
      <xdr:col>35</xdr:col>
      <xdr:colOff>521577</xdr:colOff>
      <xdr:row>2</xdr:row>
      <xdr:rowOff>42041</xdr:rowOff>
    </xdr:to>
    <xdr:sp macro="" textlink="">
      <xdr:nvSpPr>
        <xdr:cNvPr id="29" name="Flowchart: Or 28">
          <a:extLst>
            <a:ext uri="{FF2B5EF4-FFF2-40B4-BE49-F238E27FC236}">
              <a16:creationId xmlns:a16="http://schemas.microsoft.com/office/drawing/2014/main" id="{0E8D87E4-4C44-4881-A360-23EA1B4B6492}"/>
            </a:ext>
          </a:extLst>
        </xdr:cNvPr>
        <xdr:cNvSpPr/>
      </xdr:nvSpPr>
      <xdr:spPr>
        <a:xfrm>
          <a:off x="24290721" y="114299"/>
          <a:ext cx="348156" cy="327792"/>
        </a:xfrm>
        <a:prstGeom prst="flowChartOr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534713</xdr:colOff>
      <xdr:row>0</xdr:row>
      <xdr:rowOff>94592</xdr:rowOff>
    </xdr:from>
    <xdr:to>
      <xdr:col>37</xdr:col>
      <xdr:colOff>285093</xdr:colOff>
      <xdr:row>2</xdr:row>
      <xdr:rowOff>81453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9AC303FE-9B88-4CC6-B50B-F71469E5CD8D}"/>
            </a:ext>
          </a:extLst>
        </xdr:cNvPr>
        <xdr:cNvSpPr/>
      </xdr:nvSpPr>
      <xdr:spPr>
        <a:xfrm>
          <a:off x="24652013" y="94592"/>
          <a:ext cx="988630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Leave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51636</xdr:colOff>
      <xdr:row>0</xdr:row>
      <xdr:rowOff>0</xdr:rowOff>
    </xdr:from>
    <xdr:to>
      <xdr:col>42</xdr:col>
      <xdr:colOff>0</xdr:colOff>
      <xdr:row>2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31824AF-167A-48E0-B58E-64649F10202E}"/>
            </a:ext>
          </a:extLst>
        </xdr:cNvPr>
        <xdr:cNvSpPr/>
      </xdr:nvSpPr>
      <xdr:spPr>
        <a:xfrm>
          <a:off x="1270836" y="0"/>
          <a:ext cx="27170814" cy="581025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65</xdr:row>
      <xdr:rowOff>17318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8956FA0-5338-4C1A-AD4F-AE9604B2EDF1}"/>
            </a:ext>
          </a:extLst>
        </xdr:cNvPr>
        <xdr:cNvSpPr/>
      </xdr:nvSpPr>
      <xdr:spPr>
        <a:xfrm>
          <a:off x="0" y="0"/>
          <a:ext cx="2424545" cy="135255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noFill/>
            </a:ln>
          </a:endParaRPr>
        </a:p>
      </xdr:txBody>
    </xdr:sp>
    <xdr:clientData/>
  </xdr:twoCellAnchor>
  <xdr:twoCellAnchor>
    <xdr:from>
      <xdr:col>0</xdr:col>
      <xdr:colOff>0</xdr:colOff>
      <xdr:row>1</xdr:row>
      <xdr:rowOff>150669</xdr:rowOff>
    </xdr:from>
    <xdr:to>
      <xdr:col>4</xdr:col>
      <xdr:colOff>142876</xdr:colOff>
      <xdr:row>4</xdr:row>
      <xdr:rowOff>64944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DE0AEB-2E9B-4BB9-AF2A-B01390CCD028}"/>
            </a:ext>
          </a:extLst>
        </xdr:cNvPr>
        <xdr:cNvSpPr/>
      </xdr:nvSpPr>
      <xdr:spPr>
        <a:xfrm>
          <a:off x="0" y="358487"/>
          <a:ext cx="2567421" cy="53773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January</a:t>
          </a:r>
        </a:p>
      </xdr:txBody>
    </xdr:sp>
    <xdr:clientData/>
  </xdr:twoCellAnchor>
  <xdr:twoCellAnchor>
    <xdr:from>
      <xdr:col>0</xdr:col>
      <xdr:colOff>0</xdr:colOff>
      <xdr:row>4</xdr:row>
      <xdr:rowOff>180415</xdr:rowOff>
    </xdr:from>
    <xdr:to>
      <xdr:col>4</xdr:col>
      <xdr:colOff>138392</xdr:colOff>
      <xdr:row>7</xdr:row>
      <xdr:rowOff>94690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60B98D-84B6-49B8-A264-3A44924FC012}"/>
            </a:ext>
          </a:extLst>
        </xdr:cNvPr>
        <xdr:cNvSpPr/>
      </xdr:nvSpPr>
      <xdr:spPr>
        <a:xfrm>
          <a:off x="0" y="980515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Feb</a:t>
          </a:r>
        </a:p>
      </xdr:txBody>
    </xdr:sp>
    <xdr:clientData/>
  </xdr:twoCellAnchor>
  <xdr:twoCellAnchor>
    <xdr:from>
      <xdr:col>0</xdr:col>
      <xdr:colOff>0</xdr:colOff>
      <xdr:row>8</xdr:row>
      <xdr:rowOff>8965</xdr:rowOff>
    </xdr:from>
    <xdr:to>
      <xdr:col>4</xdr:col>
      <xdr:colOff>142874</xdr:colOff>
      <xdr:row>10</xdr:row>
      <xdr:rowOff>113740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FFA0A24-0AFC-4499-9976-3718388E0B04}"/>
            </a:ext>
          </a:extLst>
        </xdr:cNvPr>
        <xdr:cNvSpPr/>
      </xdr:nvSpPr>
      <xdr:spPr>
        <a:xfrm>
          <a:off x="0" y="1609165"/>
          <a:ext cx="2581274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March</a:t>
          </a:r>
        </a:p>
      </xdr:txBody>
    </xdr:sp>
    <xdr:clientData/>
  </xdr:twoCellAnchor>
  <xdr:twoCellAnchor>
    <xdr:from>
      <xdr:col>0</xdr:col>
      <xdr:colOff>0</xdr:colOff>
      <xdr:row>11</xdr:row>
      <xdr:rowOff>75640</xdr:rowOff>
    </xdr:from>
    <xdr:to>
      <xdr:col>4</xdr:col>
      <xdr:colOff>138392</xdr:colOff>
      <xdr:row>13</xdr:row>
      <xdr:rowOff>180415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5A0C204-C5E7-4BEC-A989-45697050B762}"/>
            </a:ext>
          </a:extLst>
        </xdr:cNvPr>
        <xdr:cNvSpPr/>
      </xdr:nvSpPr>
      <xdr:spPr>
        <a:xfrm>
          <a:off x="0" y="228544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April</a:t>
          </a:r>
        </a:p>
      </xdr:txBody>
    </xdr:sp>
    <xdr:clientData/>
  </xdr:twoCellAnchor>
  <xdr:twoCellAnchor>
    <xdr:from>
      <xdr:col>0</xdr:col>
      <xdr:colOff>0</xdr:colOff>
      <xdr:row>14</xdr:row>
      <xdr:rowOff>123265</xdr:rowOff>
    </xdr:from>
    <xdr:to>
      <xdr:col>4</xdr:col>
      <xdr:colOff>138392</xdr:colOff>
      <xdr:row>17</xdr:row>
      <xdr:rowOff>37540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DDE6F0C-4883-41DA-B505-446F485FD488}"/>
            </a:ext>
          </a:extLst>
        </xdr:cNvPr>
        <xdr:cNvSpPr/>
      </xdr:nvSpPr>
      <xdr:spPr>
        <a:xfrm>
          <a:off x="0" y="29331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151840</xdr:rowOff>
    </xdr:from>
    <xdr:to>
      <xdr:col>4</xdr:col>
      <xdr:colOff>157442</xdr:colOff>
      <xdr:row>20</xdr:row>
      <xdr:rowOff>66115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8B81B85-40BC-45D0-949E-15D08F9CC973}"/>
            </a:ext>
          </a:extLst>
        </xdr:cNvPr>
        <xdr:cNvSpPr/>
      </xdr:nvSpPr>
      <xdr:spPr>
        <a:xfrm>
          <a:off x="19050" y="356179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June</a:t>
          </a:r>
        </a:p>
      </xdr:txBody>
    </xdr:sp>
    <xdr:clientData/>
  </xdr:twoCellAnchor>
  <xdr:twoCellAnchor>
    <xdr:from>
      <xdr:col>0</xdr:col>
      <xdr:colOff>9525</xdr:colOff>
      <xdr:row>20</xdr:row>
      <xdr:rowOff>189940</xdr:rowOff>
    </xdr:from>
    <xdr:to>
      <xdr:col>4</xdr:col>
      <xdr:colOff>147917</xdr:colOff>
      <xdr:row>23</xdr:row>
      <xdr:rowOff>104215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9919F2E-A806-4F2E-B683-43818ACD2235}"/>
            </a:ext>
          </a:extLst>
        </xdr:cNvPr>
        <xdr:cNvSpPr/>
      </xdr:nvSpPr>
      <xdr:spPr>
        <a:xfrm>
          <a:off x="9525" y="4199965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July</a:t>
          </a:r>
        </a:p>
      </xdr:txBody>
    </xdr:sp>
    <xdr:clientData/>
  </xdr:twoCellAnchor>
  <xdr:twoCellAnchor>
    <xdr:from>
      <xdr:col>1</xdr:col>
      <xdr:colOff>425161</xdr:colOff>
      <xdr:row>24</xdr:row>
      <xdr:rowOff>29747</xdr:rowOff>
    </xdr:from>
    <xdr:to>
      <xdr:col>5</xdr:col>
      <xdr:colOff>563552</xdr:colOff>
      <xdr:row>26</xdr:row>
      <xdr:rowOff>134522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557308A-4BB9-411B-B253-DD4214D91CAF}"/>
            </a:ext>
          </a:extLst>
        </xdr:cNvPr>
        <xdr:cNvSpPr/>
      </xdr:nvSpPr>
      <xdr:spPr>
        <a:xfrm>
          <a:off x="1031297" y="5017383"/>
          <a:ext cx="2562937" cy="520412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August</a:t>
          </a:r>
        </a:p>
      </xdr:txBody>
    </xdr:sp>
    <xdr:clientData/>
  </xdr:twoCellAnchor>
  <xdr:twoCellAnchor>
    <xdr:from>
      <xdr:col>0</xdr:col>
      <xdr:colOff>9525</xdr:colOff>
      <xdr:row>27</xdr:row>
      <xdr:rowOff>94690</xdr:rowOff>
    </xdr:from>
    <xdr:to>
      <xdr:col>4</xdr:col>
      <xdr:colOff>147917</xdr:colOff>
      <xdr:row>30</xdr:row>
      <xdr:rowOff>8965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F120B1D-ACE0-4ABF-AB89-5C23EBBE7D6E}"/>
            </a:ext>
          </a:extLst>
        </xdr:cNvPr>
        <xdr:cNvSpPr/>
      </xdr:nvSpPr>
      <xdr:spPr>
        <a:xfrm>
          <a:off x="9525" y="5504890"/>
          <a:ext cx="2576792" cy="5238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September</a:t>
          </a:r>
        </a:p>
      </xdr:txBody>
    </xdr:sp>
    <xdr:clientData/>
  </xdr:twoCellAnchor>
  <xdr:twoCellAnchor>
    <xdr:from>
      <xdr:col>0</xdr:col>
      <xdr:colOff>19050</xdr:colOff>
      <xdr:row>30</xdr:row>
      <xdr:rowOff>113740</xdr:rowOff>
    </xdr:from>
    <xdr:to>
      <xdr:col>4</xdr:col>
      <xdr:colOff>157442</xdr:colOff>
      <xdr:row>33</xdr:row>
      <xdr:rowOff>28015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60D1929-65A9-4963-BBB1-D7E9F7CF2E62}"/>
            </a:ext>
          </a:extLst>
        </xdr:cNvPr>
        <xdr:cNvSpPr/>
      </xdr:nvSpPr>
      <xdr:spPr>
        <a:xfrm>
          <a:off x="19050" y="61335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October</a:t>
          </a:r>
        </a:p>
      </xdr:txBody>
    </xdr:sp>
    <xdr:clientData/>
  </xdr:twoCellAnchor>
  <xdr:twoCellAnchor>
    <xdr:from>
      <xdr:col>0</xdr:col>
      <xdr:colOff>9525</xdr:colOff>
      <xdr:row>33</xdr:row>
      <xdr:rowOff>161365</xdr:rowOff>
    </xdr:from>
    <xdr:to>
      <xdr:col>4</xdr:col>
      <xdr:colOff>147917</xdr:colOff>
      <xdr:row>36</xdr:row>
      <xdr:rowOff>75640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64E0791-2233-4D05-962F-A4AC38B33A21}"/>
            </a:ext>
          </a:extLst>
        </xdr:cNvPr>
        <xdr:cNvSpPr/>
      </xdr:nvSpPr>
      <xdr:spPr>
        <a:xfrm>
          <a:off x="9525" y="67812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November</a:t>
          </a:r>
        </a:p>
      </xdr:txBody>
    </xdr:sp>
    <xdr:clientData/>
  </xdr:twoCellAnchor>
  <xdr:twoCellAnchor>
    <xdr:from>
      <xdr:col>0</xdr:col>
      <xdr:colOff>0</xdr:colOff>
      <xdr:row>37</xdr:row>
      <xdr:rowOff>47065</xdr:rowOff>
    </xdr:from>
    <xdr:to>
      <xdr:col>4</xdr:col>
      <xdr:colOff>138392</xdr:colOff>
      <xdr:row>39</xdr:row>
      <xdr:rowOff>151840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7C74518-C752-4DD0-A411-B1E36F4C59B5}"/>
            </a:ext>
          </a:extLst>
        </xdr:cNvPr>
        <xdr:cNvSpPr/>
      </xdr:nvSpPr>
      <xdr:spPr>
        <a:xfrm>
          <a:off x="0" y="746704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December</a:t>
          </a:r>
        </a:p>
      </xdr:txBody>
    </xdr:sp>
    <xdr:clientData/>
  </xdr:twoCellAnchor>
  <xdr:twoCellAnchor>
    <xdr:from>
      <xdr:col>43</xdr:col>
      <xdr:colOff>0</xdr:colOff>
      <xdr:row>0</xdr:row>
      <xdr:rowOff>0</xdr:rowOff>
    </xdr:from>
    <xdr:to>
      <xdr:col>58</xdr:col>
      <xdr:colOff>22412</xdr:colOff>
      <xdr:row>3</xdr:row>
      <xdr:rowOff>11205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C0540B9-3B1B-4C22-B814-FD00DF4FE17D}"/>
            </a:ext>
          </a:extLst>
        </xdr:cNvPr>
        <xdr:cNvSpPr/>
      </xdr:nvSpPr>
      <xdr:spPr>
        <a:xfrm>
          <a:off x="29051250" y="0"/>
          <a:ext cx="14014637" cy="61128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ln>
                <a:noFill/>
              </a:ln>
              <a:solidFill>
                <a:schemeClr val="tx1"/>
              </a:solidFill>
            </a:rPr>
            <a:t>Monthly Report </a:t>
          </a:r>
        </a:p>
      </xdr:txBody>
    </xdr:sp>
    <xdr:clientData/>
  </xdr:twoCellAnchor>
  <xdr:twoCellAnchor>
    <xdr:from>
      <xdr:col>5</xdr:col>
      <xdr:colOff>571500</xdr:colOff>
      <xdr:row>0</xdr:row>
      <xdr:rowOff>145676</xdr:rowOff>
    </xdr:from>
    <xdr:to>
      <xdr:col>7</xdr:col>
      <xdr:colOff>874059</xdr:colOff>
      <xdr:row>2</xdr:row>
      <xdr:rowOff>56029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9CE9BB3-A672-4CCE-B1A4-4D7325F1B8E3}"/>
            </a:ext>
          </a:extLst>
        </xdr:cNvPr>
        <xdr:cNvSpPr txBox="1"/>
      </xdr:nvSpPr>
      <xdr:spPr>
        <a:xfrm>
          <a:off x="3619500" y="145676"/>
          <a:ext cx="1531284" cy="31040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From</a:t>
          </a:r>
        </a:p>
      </xdr:txBody>
    </xdr:sp>
    <xdr:clientData/>
  </xdr:twoCellAnchor>
  <xdr:twoCellAnchor>
    <xdr:from>
      <xdr:col>7</xdr:col>
      <xdr:colOff>885265</xdr:colOff>
      <xdr:row>0</xdr:row>
      <xdr:rowOff>145676</xdr:rowOff>
    </xdr:from>
    <xdr:to>
      <xdr:col>8</xdr:col>
      <xdr:colOff>593911</xdr:colOff>
      <xdr:row>2</xdr:row>
      <xdr:rowOff>56029</xdr:rowOff>
    </xdr:to>
    <xdr:sp macro="" textlink="$H$6">
      <xdr:nvSpPr>
        <xdr:cNvPr id="18" name="TextBox 17">
          <a:extLst>
            <a:ext uri="{FF2B5EF4-FFF2-40B4-BE49-F238E27FC236}">
              <a16:creationId xmlns:a16="http://schemas.microsoft.com/office/drawing/2014/main" id="{3CFD2B21-E3D8-4437-AB51-DE2ADAE5C76C}"/>
            </a:ext>
          </a:extLst>
        </xdr:cNvPr>
        <xdr:cNvSpPr txBox="1"/>
      </xdr:nvSpPr>
      <xdr:spPr>
        <a:xfrm>
          <a:off x="5161990" y="145676"/>
          <a:ext cx="1499346" cy="310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4FAE0827-8A19-483B-A3A8-823BC530720B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1-Aug-25</a:t>
          </a:fld>
          <a:endParaRPr lang="en-US" sz="1600" b="1"/>
        </a:p>
      </xdr:txBody>
    </xdr:sp>
    <xdr:clientData/>
  </xdr:twoCellAnchor>
  <xdr:twoCellAnchor>
    <xdr:from>
      <xdr:col>13</xdr:col>
      <xdr:colOff>410135</xdr:colOff>
      <xdr:row>0</xdr:row>
      <xdr:rowOff>118782</xdr:rowOff>
    </xdr:from>
    <xdr:to>
      <xdr:col>16</xdr:col>
      <xdr:colOff>85165</xdr:colOff>
      <xdr:row>2</xdr:row>
      <xdr:rowOff>29135</xdr:rowOff>
    </xdr:to>
    <xdr:sp macro="" textlink="$M$6">
      <xdr:nvSpPr>
        <xdr:cNvPr id="19" name="TextBox 18">
          <a:extLst>
            <a:ext uri="{FF2B5EF4-FFF2-40B4-BE49-F238E27FC236}">
              <a16:creationId xmlns:a16="http://schemas.microsoft.com/office/drawing/2014/main" id="{C211D5AE-40E4-414E-A90E-6808E734151C}"/>
            </a:ext>
          </a:extLst>
        </xdr:cNvPr>
        <xdr:cNvSpPr txBox="1"/>
      </xdr:nvSpPr>
      <xdr:spPr>
        <a:xfrm>
          <a:off x="10906685" y="118782"/>
          <a:ext cx="1532405" cy="310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CF0DC84-B8FC-49E0-B45A-C37B36E5F7EF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31-Aug-25</a:t>
          </a:fld>
          <a:endParaRPr lang="en-US" sz="1600" b="1"/>
        </a:p>
      </xdr:txBody>
    </xdr:sp>
    <xdr:clientData/>
  </xdr:twoCellAnchor>
  <xdr:twoCellAnchor>
    <xdr:from>
      <xdr:col>11</xdr:col>
      <xdr:colOff>392206</xdr:colOff>
      <xdr:row>0</xdr:row>
      <xdr:rowOff>118782</xdr:rowOff>
    </xdr:from>
    <xdr:to>
      <xdr:col>13</xdr:col>
      <xdr:colOff>403410</xdr:colOff>
      <xdr:row>2</xdr:row>
      <xdr:rowOff>29135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F4F8003-873C-43A3-9E8D-3D6C1CCDB823}"/>
            </a:ext>
          </a:extLst>
        </xdr:cNvPr>
        <xdr:cNvSpPr txBox="1"/>
      </xdr:nvSpPr>
      <xdr:spPr>
        <a:xfrm>
          <a:off x="9355231" y="118782"/>
          <a:ext cx="1544729" cy="31040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To</a:t>
          </a:r>
        </a:p>
      </xdr:txBody>
    </xdr:sp>
    <xdr:clientData/>
  </xdr:twoCellAnchor>
  <xdr:twoCellAnchor>
    <xdr:from>
      <xdr:col>16</xdr:col>
      <xdr:colOff>326571</xdr:colOff>
      <xdr:row>0</xdr:row>
      <xdr:rowOff>136071</xdr:rowOff>
    </xdr:from>
    <xdr:to>
      <xdr:col>28</xdr:col>
      <xdr:colOff>598714</xdr:colOff>
      <xdr:row>2</xdr:row>
      <xdr:rowOff>40822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54B47815-8A68-4B1A-93B3-B6ADE177532C}"/>
            </a:ext>
          </a:extLst>
        </xdr:cNvPr>
        <xdr:cNvSpPr/>
      </xdr:nvSpPr>
      <xdr:spPr>
        <a:xfrm>
          <a:off x="12680496" y="136071"/>
          <a:ext cx="7701643" cy="30480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340180</xdr:colOff>
      <xdr:row>0</xdr:row>
      <xdr:rowOff>180975</xdr:rowOff>
    </xdr:from>
    <xdr:to>
      <xdr:col>25</xdr:col>
      <xdr:colOff>190501</xdr:colOff>
      <xdr:row>2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A8FD2D6-FAB9-491B-89BB-C6DD013153E3}"/>
            </a:ext>
          </a:extLst>
        </xdr:cNvPr>
        <xdr:cNvSpPr txBox="1"/>
      </xdr:nvSpPr>
      <xdr:spPr>
        <a:xfrm>
          <a:off x="12694105" y="180975"/>
          <a:ext cx="5422446" cy="2286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/>
            <a:t>Dashboard</a:t>
          </a:r>
          <a:r>
            <a:rPr lang="en-US" sz="2400" b="1" baseline="0"/>
            <a:t> for the month of </a:t>
          </a:r>
          <a:endParaRPr lang="en-US" sz="2400" b="1"/>
        </a:p>
      </xdr:txBody>
    </xdr:sp>
    <xdr:clientData/>
  </xdr:twoCellAnchor>
  <xdr:twoCellAnchor editAs="oneCell">
    <xdr:from>
      <xdr:col>27</xdr:col>
      <xdr:colOff>590340</xdr:colOff>
      <xdr:row>0</xdr:row>
      <xdr:rowOff>131884</xdr:rowOff>
    </xdr:from>
    <xdr:to>
      <xdr:col>29</xdr:col>
      <xdr:colOff>1231</xdr:colOff>
      <xdr:row>2</xdr:row>
      <xdr:rowOff>92319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03000CB8-CB82-4CB5-BE81-4E9561457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9754640" y="131884"/>
          <a:ext cx="649141" cy="341435"/>
        </a:xfrm>
        <a:prstGeom prst="rect">
          <a:avLst/>
        </a:prstGeom>
      </xdr:spPr>
    </xdr:pic>
    <xdr:clientData/>
  </xdr:twoCellAnchor>
  <xdr:twoCellAnchor>
    <xdr:from>
      <xdr:col>23</xdr:col>
      <xdr:colOff>600075</xdr:colOff>
      <xdr:row>0</xdr:row>
      <xdr:rowOff>142875</xdr:rowOff>
    </xdr:from>
    <xdr:to>
      <xdr:col>26</xdr:col>
      <xdr:colOff>542925</xdr:colOff>
      <xdr:row>2</xdr:row>
      <xdr:rowOff>19050</xdr:rowOff>
    </xdr:to>
    <xdr:sp macro="" textlink="$J$6">
      <xdr:nvSpPr>
        <xdr:cNvPr id="24" name="TextBox 23">
          <a:extLst>
            <a:ext uri="{FF2B5EF4-FFF2-40B4-BE49-F238E27FC236}">
              <a16:creationId xmlns:a16="http://schemas.microsoft.com/office/drawing/2014/main" id="{AD7BD6B0-6563-486E-B763-8588B7AA1D7C}"/>
            </a:ext>
          </a:extLst>
        </xdr:cNvPr>
        <xdr:cNvSpPr txBox="1"/>
      </xdr:nvSpPr>
      <xdr:spPr>
        <a:xfrm>
          <a:off x="17287875" y="142875"/>
          <a:ext cx="1800225" cy="276225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C2C24BA-C070-4B66-A11F-4012E2591220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August</a:t>
          </a:fld>
          <a:endParaRPr lang="en-US" sz="1600" b="1"/>
        </a:p>
      </xdr:txBody>
    </xdr:sp>
    <xdr:clientData/>
  </xdr:twoCellAnchor>
  <xdr:twoCellAnchor>
    <xdr:from>
      <xdr:col>30</xdr:col>
      <xdr:colOff>59121</xdr:colOff>
      <xdr:row>0</xdr:row>
      <xdr:rowOff>111673</xdr:rowOff>
    </xdr:from>
    <xdr:to>
      <xdr:col>30</xdr:col>
      <xdr:colOff>407277</xdr:colOff>
      <xdr:row>2</xdr:row>
      <xdr:rowOff>39415</xdr:rowOff>
    </xdr:to>
    <xdr:sp macro="" textlink="">
      <xdr:nvSpPr>
        <xdr:cNvPr id="25" name="Flowchart: Or 24">
          <a:extLst>
            <a:ext uri="{FF2B5EF4-FFF2-40B4-BE49-F238E27FC236}">
              <a16:creationId xmlns:a16="http://schemas.microsoft.com/office/drawing/2014/main" id="{A845C6E7-0660-47E5-8603-5A3C28BB0CD5}"/>
            </a:ext>
          </a:extLst>
        </xdr:cNvPr>
        <xdr:cNvSpPr/>
      </xdr:nvSpPr>
      <xdr:spPr>
        <a:xfrm>
          <a:off x="21080796" y="111673"/>
          <a:ext cx="348156" cy="327792"/>
        </a:xfrm>
        <a:prstGeom prst="flowChartOr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420413</xdr:colOff>
      <xdr:row>0</xdr:row>
      <xdr:rowOff>91966</xdr:rowOff>
    </xdr:from>
    <xdr:to>
      <xdr:col>32</xdr:col>
      <xdr:colOff>170793</xdr:colOff>
      <xdr:row>2</xdr:row>
      <xdr:rowOff>78827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3DFF8372-619B-4AE4-9653-3CA41629AA15}"/>
            </a:ext>
          </a:extLst>
        </xdr:cNvPr>
        <xdr:cNvSpPr/>
      </xdr:nvSpPr>
      <xdr:spPr>
        <a:xfrm>
          <a:off x="21442088" y="91966"/>
          <a:ext cx="988630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Present</a:t>
          </a:r>
        </a:p>
      </xdr:txBody>
    </xdr:sp>
    <xdr:clientData/>
  </xdr:twoCellAnchor>
  <xdr:twoCellAnchor>
    <xdr:from>
      <xdr:col>32</xdr:col>
      <xdr:colOff>441436</xdr:colOff>
      <xdr:row>0</xdr:row>
      <xdr:rowOff>126124</xdr:rowOff>
    </xdr:from>
    <xdr:to>
      <xdr:col>33</xdr:col>
      <xdr:colOff>172109</xdr:colOff>
      <xdr:row>2</xdr:row>
      <xdr:rowOff>53866</xdr:rowOff>
    </xdr:to>
    <xdr:sp macro="" textlink="">
      <xdr:nvSpPr>
        <xdr:cNvPr id="27" name="Flowchart: Or 26">
          <a:extLst>
            <a:ext uri="{FF2B5EF4-FFF2-40B4-BE49-F238E27FC236}">
              <a16:creationId xmlns:a16="http://schemas.microsoft.com/office/drawing/2014/main" id="{A2EA79DE-14A0-4D5F-A74B-FBB44031A96B}"/>
            </a:ext>
          </a:extLst>
        </xdr:cNvPr>
        <xdr:cNvSpPr/>
      </xdr:nvSpPr>
      <xdr:spPr>
        <a:xfrm>
          <a:off x="22701361" y="126124"/>
          <a:ext cx="349798" cy="327792"/>
        </a:xfrm>
        <a:prstGeom prst="flowChar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185245</xdr:colOff>
      <xdr:row>0</xdr:row>
      <xdr:rowOff>106417</xdr:rowOff>
    </xdr:from>
    <xdr:to>
      <xdr:col>34</xdr:col>
      <xdr:colOff>553107</xdr:colOff>
      <xdr:row>2</xdr:row>
      <xdr:rowOff>93278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75D72F8-761A-47FA-9B1F-3F66E0A5DB45}"/>
            </a:ext>
          </a:extLst>
        </xdr:cNvPr>
        <xdr:cNvSpPr/>
      </xdr:nvSpPr>
      <xdr:spPr>
        <a:xfrm>
          <a:off x="23064295" y="106417"/>
          <a:ext cx="986987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Absent</a:t>
          </a:r>
        </a:p>
      </xdr:txBody>
    </xdr:sp>
    <xdr:clientData/>
  </xdr:twoCellAnchor>
  <xdr:twoCellAnchor>
    <xdr:from>
      <xdr:col>35</xdr:col>
      <xdr:colOff>173421</xdr:colOff>
      <xdr:row>0</xdr:row>
      <xdr:rowOff>114299</xdr:rowOff>
    </xdr:from>
    <xdr:to>
      <xdr:col>35</xdr:col>
      <xdr:colOff>521577</xdr:colOff>
      <xdr:row>2</xdr:row>
      <xdr:rowOff>42041</xdr:rowOff>
    </xdr:to>
    <xdr:sp macro="" textlink="">
      <xdr:nvSpPr>
        <xdr:cNvPr id="29" name="Flowchart: Or 28">
          <a:extLst>
            <a:ext uri="{FF2B5EF4-FFF2-40B4-BE49-F238E27FC236}">
              <a16:creationId xmlns:a16="http://schemas.microsoft.com/office/drawing/2014/main" id="{B4A706C4-575D-4184-BB09-856981C79CDF}"/>
            </a:ext>
          </a:extLst>
        </xdr:cNvPr>
        <xdr:cNvSpPr/>
      </xdr:nvSpPr>
      <xdr:spPr>
        <a:xfrm>
          <a:off x="24290721" y="114299"/>
          <a:ext cx="348156" cy="327792"/>
        </a:xfrm>
        <a:prstGeom prst="flowChartOr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534713</xdr:colOff>
      <xdr:row>0</xdr:row>
      <xdr:rowOff>94592</xdr:rowOff>
    </xdr:from>
    <xdr:to>
      <xdr:col>37</xdr:col>
      <xdr:colOff>285093</xdr:colOff>
      <xdr:row>2</xdr:row>
      <xdr:rowOff>81453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8BE769A5-D353-422A-B1D2-FBAC77336577}"/>
            </a:ext>
          </a:extLst>
        </xdr:cNvPr>
        <xdr:cNvSpPr/>
      </xdr:nvSpPr>
      <xdr:spPr>
        <a:xfrm>
          <a:off x="24652013" y="94592"/>
          <a:ext cx="988630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Leave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51636</xdr:colOff>
      <xdr:row>0</xdr:row>
      <xdr:rowOff>0</xdr:rowOff>
    </xdr:from>
    <xdr:to>
      <xdr:col>42</xdr:col>
      <xdr:colOff>0</xdr:colOff>
      <xdr:row>2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26B4094-3C23-411A-A83C-953337327AFB}"/>
            </a:ext>
          </a:extLst>
        </xdr:cNvPr>
        <xdr:cNvSpPr/>
      </xdr:nvSpPr>
      <xdr:spPr>
        <a:xfrm>
          <a:off x="1270836" y="0"/>
          <a:ext cx="27170814" cy="581025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</xdr:colOff>
      <xdr:row>0</xdr:row>
      <xdr:rowOff>9524</xdr:rowOff>
    </xdr:from>
    <xdr:to>
      <xdr:col>3</xdr:col>
      <xdr:colOff>571500</xdr:colOff>
      <xdr:row>64</xdr:row>
      <xdr:rowOff>86591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4C01AD9-F2F7-4073-AC02-A67966269076}"/>
            </a:ext>
          </a:extLst>
        </xdr:cNvPr>
        <xdr:cNvSpPr/>
      </xdr:nvSpPr>
      <xdr:spPr>
        <a:xfrm>
          <a:off x="9525" y="9524"/>
          <a:ext cx="2380384" cy="13377431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noFill/>
            </a:ln>
          </a:endParaRPr>
        </a:p>
      </xdr:txBody>
    </xdr:sp>
    <xdr:clientData/>
  </xdr:twoCellAnchor>
  <xdr:twoCellAnchor>
    <xdr:from>
      <xdr:col>0</xdr:col>
      <xdr:colOff>0</xdr:colOff>
      <xdr:row>1</xdr:row>
      <xdr:rowOff>160564</xdr:rowOff>
    </xdr:from>
    <xdr:to>
      <xdr:col>4</xdr:col>
      <xdr:colOff>142875</xdr:colOff>
      <xdr:row>4</xdr:row>
      <xdr:rowOff>74839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88D8BF-2B77-4EB8-8344-1E1C1ECB2D8A}"/>
            </a:ext>
          </a:extLst>
        </xdr:cNvPr>
        <xdr:cNvSpPr/>
      </xdr:nvSpPr>
      <xdr:spPr>
        <a:xfrm>
          <a:off x="0" y="364671"/>
          <a:ext cx="2592161" cy="526597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January</a:t>
          </a:r>
        </a:p>
      </xdr:txBody>
    </xdr:sp>
    <xdr:clientData/>
  </xdr:twoCellAnchor>
  <xdr:twoCellAnchor>
    <xdr:from>
      <xdr:col>0</xdr:col>
      <xdr:colOff>0</xdr:colOff>
      <xdr:row>4</xdr:row>
      <xdr:rowOff>180415</xdr:rowOff>
    </xdr:from>
    <xdr:to>
      <xdr:col>4</xdr:col>
      <xdr:colOff>138392</xdr:colOff>
      <xdr:row>7</xdr:row>
      <xdr:rowOff>94690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FBCF49-9796-43D2-87FF-93533074AE1F}"/>
            </a:ext>
          </a:extLst>
        </xdr:cNvPr>
        <xdr:cNvSpPr/>
      </xdr:nvSpPr>
      <xdr:spPr>
        <a:xfrm>
          <a:off x="0" y="980515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Feb</a:t>
          </a:r>
        </a:p>
      </xdr:txBody>
    </xdr:sp>
    <xdr:clientData/>
  </xdr:twoCellAnchor>
  <xdr:twoCellAnchor>
    <xdr:from>
      <xdr:col>0</xdr:col>
      <xdr:colOff>0</xdr:colOff>
      <xdr:row>8</xdr:row>
      <xdr:rowOff>8965</xdr:rowOff>
    </xdr:from>
    <xdr:to>
      <xdr:col>4</xdr:col>
      <xdr:colOff>142874</xdr:colOff>
      <xdr:row>10</xdr:row>
      <xdr:rowOff>113740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C09D196-FB38-4ACF-976A-5E8A0EF32159}"/>
            </a:ext>
          </a:extLst>
        </xdr:cNvPr>
        <xdr:cNvSpPr/>
      </xdr:nvSpPr>
      <xdr:spPr>
        <a:xfrm>
          <a:off x="0" y="1609165"/>
          <a:ext cx="2581274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March</a:t>
          </a:r>
        </a:p>
      </xdr:txBody>
    </xdr:sp>
    <xdr:clientData/>
  </xdr:twoCellAnchor>
  <xdr:twoCellAnchor>
    <xdr:from>
      <xdr:col>0</xdr:col>
      <xdr:colOff>0</xdr:colOff>
      <xdr:row>11</xdr:row>
      <xdr:rowOff>75640</xdr:rowOff>
    </xdr:from>
    <xdr:to>
      <xdr:col>4</xdr:col>
      <xdr:colOff>138392</xdr:colOff>
      <xdr:row>13</xdr:row>
      <xdr:rowOff>180415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1CAFD3F-354F-4A77-B109-78D38C48E09A}"/>
            </a:ext>
          </a:extLst>
        </xdr:cNvPr>
        <xdr:cNvSpPr/>
      </xdr:nvSpPr>
      <xdr:spPr>
        <a:xfrm>
          <a:off x="0" y="228544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April</a:t>
          </a:r>
        </a:p>
      </xdr:txBody>
    </xdr:sp>
    <xdr:clientData/>
  </xdr:twoCellAnchor>
  <xdr:twoCellAnchor>
    <xdr:from>
      <xdr:col>0</xdr:col>
      <xdr:colOff>0</xdr:colOff>
      <xdr:row>14</xdr:row>
      <xdr:rowOff>123265</xdr:rowOff>
    </xdr:from>
    <xdr:to>
      <xdr:col>4</xdr:col>
      <xdr:colOff>138392</xdr:colOff>
      <xdr:row>17</xdr:row>
      <xdr:rowOff>37540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7E88920-00FC-4CAE-8A33-8C4FDC362698}"/>
            </a:ext>
          </a:extLst>
        </xdr:cNvPr>
        <xdr:cNvSpPr/>
      </xdr:nvSpPr>
      <xdr:spPr>
        <a:xfrm>
          <a:off x="0" y="29331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151840</xdr:rowOff>
    </xdr:from>
    <xdr:to>
      <xdr:col>4</xdr:col>
      <xdr:colOff>157442</xdr:colOff>
      <xdr:row>20</xdr:row>
      <xdr:rowOff>66115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C4FF4C1-A301-438C-9EC3-2929C9489293}"/>
            </a:ext>
          </a:extLst>
        </xdr:cNvPr>
        <xdr:cNvSpPr/>
      </xdr:nvSpPr>
      <xdr:spPr>
        <a:xfrm>
          <a:off x="19050" y="356179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June</a:t>
          </a:r>
        </a:p>
      </xdr:txBody>
    </xdr:sp>
    <xdr:clientData/>
  </xdr:twoCellAnchor>
  <xdr:twoCellAnchor>
    <xdr:from>
      <xdr:col>0</xdr:col>
      <xdr:colOff>9525</xdr:colOff>
      <xdr:row>20</xdr:row>
      <xdr:rowOff>189940</xdr:rowOff>
    </xdr:from>
    <xdr:to>
      <xdr:col>4</xdr:col>
      <xdr:colOff>147917</xdr:colOff>
      <xdr:row>23</xdr:row>
      <xdr:rowOff>104215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9CD8C7F-A0A4-432B-A176-2647A6D00A25}"/>
            </a:ext>
          </a:extLst>
        </xdr:cNvPr>
        <xdr:cNvSpPr/>
      </xdr:nvSpPr>
      <xdr:spPr>
        <a:xfrm>
          <a:off x="9525" y="4199965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July</a:t>
          </a:r>
        </a:p>
      </xdr:txBody>
    </xdr:sp>
    <xdr:clientData/>
  </xdr:twoCellAnchor>
  <xdr:twoCellAnchor>
    <xdr:from>
      <xdr:col>0</xdr:col>
      <xdr:colOff>9525</xdr:colOff>
      <xdr:row>24</xdr:row>
      <xdr:rowOff>47065</xdr:rowOff>
    </xdr:from>
    <xdr:to>
      <xdr:col>4</xdr:col>
      <xdr:colOff>147917</xdr:colOff>
      <xdr:row>26</xdr:row>
      <xdr:rowOff>151840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B0C48AB-0BB2-450A-9D4C-93C76A8EED45}"/>
            </a:ext>
          </a:extLst>
        </xdr:cNvPr>
        <xdr:cNvSpPr/>
      </xdr:nvSpPr>
      <xdr:spPr>
        <a:xfrm>
          <a:off x="9525" y="485719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August</a:t>
          </a:r>
        </a:p>
      </xdr:txBody>
    </xdr:sp>
    <xdr:clientData/>
  </xdr:twoCellAnchor>
  <xdr:twoCellAnchor>
    <xdr:from>
      <xdr:col>1</xdr:col>
      <xdr:colOff>281668</xdr:colOff>
      <xdr:row>27</xdr:row>
      <xdr:rowOff>67475</xdr:rowOff>
    </xdr:from>
    <xdr:to>
      <xdr:col>5</xdr:col>
      <xdr:colOff>420060</xdr:colOff>
      <xdr:row>29</xdr:row>
      <xdr:rowOff>185857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5082EC6-8BC1-4522-A6CB-59A02CC930A5}"/>
            </a:ext>
          </a:extLst>
        </xdr:cNvPr>
        <xdr:cNvSpPr/>
      </xdr:nvSpPr>
      <xdr:spPr>
        <a:xfrm>
          <a:off x="893989" y="5578368"/>
          <a:ext cx="2587678" cy="526596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September</a:t>
          </a:r>
        </a:p>
      </xdr:txBody>
    </xdr:sp>
    <xdr:clientData/>
  </xdr:twoCellAnchor>
  <xdr:twoCellAnchor>
    <xdr:from>
      <xdr:col>0</xdr:col>
      <xdr:colOff>19050</xdr:colOff>
      <xdr:row>30</xdr:row>
      <xdr:rowOff>113740</xdr:rowOff>
    </xdr:from>
    <xdr:to>
      <xdr:col>4</xdr:col>
      <xdr:colOff>157442</xdr:colOff>
      <xdr:row>33</xdr:row>
      <xdr:rowOff>28015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CFE5D4A-9A52-43CF-AA64-17DF0CB8A56C}"/>
            </a:ext>
          </a:extLst>
        </xdr:cNvPr>
        <xdr:cNvSpPr/>
      </xdr:nvSpPr>
      <xdr:spPr>
        <a:xfrm>
          <a:off x="19050" y="61335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October</a:t>
          </a:r>
        </a:p>
      </xdr:txBody>
    </xdr:sp>
    <xdr:clientData/>
  </xdr:twoCellAnchor>
  <xdr:twoCellAnchor>
    <xdr:from>
      <xdr:col>0</xdr:col>
      <xdr:colOff>9525</xdr:colOff>
      <xdr:row>33</xdr:row>
      <xdr:rowOff>161365</xdr:rowOff>
    </xdr:from>
    <xdr:to>
      <xdr:col>4</xdr:col>
      <xdr:colOff>147917</xdr:colOff>
      <xdr:row>36</xdr:row>
      <xdr:rowOff>75640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21B32C8-6B03-4E91-9B6C-7F8276F10103}"/>
            </a:ext>
          </a:extLst>
        </xdr:cNvPr>
        <xdr:cNvSpPr/>
      </xdr:nvSpPr>
      <xdr:spPr>
        <a:xfrm>
          <a:off x="9525" y="67812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November</a:t>
          </a:r>
        </a:p>
      </xdr:txBody>
    </xdr:sp>
    <xdr:clientData/>
  </xdr:twoCellAnchor>
  <xdr:twoCellAnchor>
    <xdr:from>
      <xdr:col>0</xdr:col>
      <xdr:colOff>0</xdr:colOff>
      <xdr:row>37</xdr:row>
      <xdr:rowOff>47065</xdr:rowOff>
    </xdr:from>
    <xdr:to>
      <xdr:col>4</xdr:col>
      <xdr:colOff>138392</xdr:colOff>
      <xdr:row>39</xdr:row>
      <xdr:rowOff>151840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6F122CD-5DD1-4124-B582-53738CECF98C}"/>
            </a:ext>
          </a:extLst>
        </xdr:cNvPr>
        <xdr:cNvSpPr/>
      </xdr:nvSpPr>
      <xdr:spPr>
        <a:xfrm>
          <a:off x="0" y="746704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December</a:t>
          </a:r>
        </a:p>
      </xdr:txBody>
    </xdr:sp>
    <xdr:clientData/>
  </xdr:twoCellAnchor>
  <xdr:twoCellAnchor>
    <xdr:from>
      <xdr:col>43</xdr:col>
      <xdr:colOff>0</xdr:colOff>
      <xdr:row>0</xdr:row>
      <xdr:rowOff>0</xdr:rowOff>
    </xdr:from>
    <xdr:to>
      <xdr:col>58</xdr:col>
      <xdr:colOff>22412</xdr:colOff>
      <xdr:row>3</xdr:row>
      <xdr:rowOff>11205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541A1C0-3A56-49B9-8909-EA72304B14B9}"/>
            </a:ext>
          </a:extLst>
        </xdr:cNvPr>
        <xdr:cNvSpPr/>
      </xdr:nvSpPr>
      <xdr:spPr>
        <a:xfrm>
          <a:off x="29051250" y="0"/>
          <a:ext cx="14014637" cy="61128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ln>
                <a:noFill/>
              </a:ln>
              <a:solidFill>
                <a:schemeClr val="tx1"/>
              </a:solidFill>
            </a:rPr>
            <a:t>Monthly Report </a:t>
          </a:r>
        </a:p>
      </xdr:txBody>
    </xdr:sp>
    <xdr:clientData/>
  </xdr:twoCellAnchor>
  <xdr:twoCellAnchor>
    <xdr:from>
      <xdr:col>5</xdr:col>
      <xdr:colOff>571500</xdr:colOff>
      <xdr:row>0</xdr:row>
      <xdr:rowOff>145676</xdr:rowOff>
    </xdr:from>
    <xdr:to>
      <xdr:col>7</xdr:col>
      <xdr:colOff>874059</xdr:colOff>
      <xdr:row>2</xdr:row>
      <xdr:rowOff>56029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D1AC575-508B-4879-A133-3793CD976BB3}"/>
            </a:ext>
          </a:extLst>
        </xdr:cNvPr>
        <xdr:cNvSpPr txBox="1"/>
      </xdr:nvSpPr>
      <xdr:spPr>
        <a:xfrm>
          <a:off x="3619500" y="145676"/>
          <a:ext cx="1531284" cy="31040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From</a:t>
          </a:r>
        </a:p>
      </xdr:txBody>
    </xdr:sp>
    <xdr:clientData/>
  </xdr:twoCellAnchor>
  <xdr:twoCellAnchor>
    <xdr:from>
      <xdr:col>7</xdr:col>
      <xdr:colOff>885265</xdr:colOff>
      <xdr:row>0</xdr:row>
      <xdr:rowOff>145676</xdr:rowOff>
    </xdr:from>
    <xdr:to>
      <xdr:col>8</xdr:col>
      <xdr:colOff>593911</xdr:colOff>
      <xdr:row>2</xdr:row>
      <xdr:rowOff>56029</xdr:rowOff>
    </xdr:to>
    <xdr:sp macro="" textlink="$H$6">
      <xdr:nvSpPr>
        <xdr:cNvPr id="18" name="TextBox 17">
          <a:extLst>
            <a:ext uri="{FF2B5EF4-FFF2-40B4-BE49-F238E27FC236}">
              <a16:creationId xmlns:a16="http://schemas.microsoft.com/office/drawing/2014/main" id="{63789611-EB91-4D50-8955-BA771FD1AAD1}"/>
            </a:ext>
          </a:extLst>
        </xdr:cNvPr>
        <xdr:cNvSpPr txBox="1"/>
      </xdr:nvSpPr>
      <xdr:spPr>
        <a:xfrm>
          <a:off x="5161990" y="145676"/>
          <a:ext cx="1499346" cy="310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4FAE0827-8A19-483B-A3A8-823BC530720B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1-Sep-25</a:t>
          </a:fld>
          <a:endParaRPr lang="en-US" sz="1600" b="1"/>
        </a:p>
      </xdr:txBody>
    </xdr:sp>
    <xdr:clientData/>
  </xdr:twoCellAnchor>
  <xdr:twoCellAnchor>
    <xdr:from>
      <xdr:col>13</xdr:col>
      <xdr:colOff>410135</xdr:colOff>
      <xdr:row>0</xdr:row>
      <xdr:rowOff>118782</xdr:rowOff>
    </xdr:from>
    <xdr:to>
      <xdr:col>16</xdr:col>
      <xdr:colOff>85165</xdr:colOff>
      <xdr:row>2</xdr:row>
      <xdr:rowOff>29135</xdr:rowOff>
    </xdr:to>
    <xdr:sp macro="" textlink="$M$6">
      <xdr:nvSpPr>
        <xdr:cNvPr id="19" name="TextBox 18">
          <a:extLst>
            <a:ext uri="{FF2B5EF4-FFF2-40B4-BE49-F238E27FC236}">
              <a16:creationId xmlns:a16="http://schemas.microsoft.com/office/drawing/2014/main" id="{D4FA019A-E4CC-430D-A2C7-81F76ABBEF1A}"/>
            </a:ext>
          </a:extLst>
        </xdr:cNvPr>
        <xdr:cNvSpPr txBox="1"/>
      </xdr:nvSpPr>
      <xdr:spPr>
        <a:xfrm>
          <a:off x="10906685" y="118782"/>
          <a:ext cx="1532405" cy="310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CF0DC84-B8FC-49E0-B45A-C37B36E5F7EF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30-Sep-25</a:t>
          </a:fld>
          <a:endParaRPr lang="en-US" sz="1600" b="1"/>
        </a:p>
      </xdr:txBody>
    </xdr:sp>
    <xdr:clientData/>
  </xdr:twoCellAnchor>
  <xdr:twoCellAnchor>
    <xdr:from>
      <xdr:col>11</xdr:col>
      <xdr:colOff>392206</xdr:colOff>
      <xdr:row>0</xdr:row>
      <xdr:rowOff>118782</xdr:rowOff>
    </xdr:from>
    <xdr:to>
      <xdr:col>13</xdr:col>
      <xdr:colOff>403410</xdr:colOff>
      <xdr:row>2</xdr:row>
      <xdr:rowOff>29135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50E5A98-C12D-46A3-B6F8-B8C100BA5F1F}"/>
            </a:ext>
          </a:extLst>
        </xdr:cNvPr>
        <xdr:cNvSpPr txBox="1"/>
      </xdr:nvSpPr>
      <xdr:spPr>
        <a:xfrm>
          <a:off x="9355231" y="118782"/>
          <a:ext cx="1544729" cy="31040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To</a:t>
          </a:r>
        </a:p>
      </xdr:txBody>
    </xdr:sp>
    <xdr:clientData/>
  </xdr:twoCellAnchor>
  <xdr:twoCellAnchor>
    <xdr:from>
      <xdr:col>16</xdr:col>
      <xdr:colOff>326571</xdr:colOff>
      <xdr:row>0</xdr:row>
      <xdr:rowOff>136071</xdr:rowOff>
    </xdr:from>
    <xdr:to>
      <xdr:col>28</xdr:col>
      <xdr:colOff>598714</xdr:colOff>
      <xdr:row>2</xdr:row>
      <xdr:rowOff>40822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9608AF3-86F6-455D-ADC7-E87B5FBF2133}"/>
            </a:ext>
          </a:extLst>
        </xdr:cNvPr>
        <xdr:cNvSpPr/>
      </xdr:nvSpPr>
      <xdr:spPr>
        <a:xfrm>
          <a:off x="12680496" y="136071"/>
          <a:ext cx="7701643" cy="30480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340180</xdr:colOff>
      <xdr:row>0</xdr:row>
      <xdr:rowOff>180975</xdr:rowOff>
    </xdr:from>
    <xdr:to>
      <xdr:col>25</xdr:col>
      <xdr:colOff>190501</xdr:colOff>
      <xdr:row>2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F11BD4D-1181-425C-B2EF-F078046F1957}"/>
            </a:ext>
          </a:extLst>
        </xdr:cNvPr>
        <xdr:cNvSpPr txBox="1"/>
      </xdr:nvSpPr>
      <xdr:spPr>
        <a:xfrm>
          <a:off x="12694105" y="180975"/>
          <a:ext cx="5422446" cy="2286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/>
            <a:t>Dashboard</a:t>
          </a:r>
          <a:r>
            <a:rPr lang="en-US" sz="2400" b="1" baseline="0"/>
            <a:t> for the month of </a:t>
          </a:r>
          <a:endParaRPr lang="en-US" sz="2400" b="1"/>
        </a:p>
      </xdr:txBody>
    </xdr:sp>
    <xdr:clientData/>
  </xdr:twoCellAnchor>
  <xdr:twoCellAnchor editAs="oneCell">
    <xdr:from>
      <xdr:col>27</xdr:col>
      <xdr:colOff>590340</xdr:colOff>
      <xdr:row>0</xdr:row>
      <xdr:rowOff>131884</xdr:rowOff>
    </xdr:from>
    <xdr:to>
      <xdr:col>29</xdr:col>
      <xdr:colOff>1231</xdr:colOff>
      <xdr:row>2</xdr:row>
      <xdr:rowOff>92319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B7069674-F90D-4D83-8F32-DA9EA5477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9754640" y="131884"/>
          <a:ext cx="649141" cy="341435"/>
        </a:xfrm>
        <a:prstGeom prst="rect">
          <a:avLst/>
        </a:prstGeom>
      </xdr:spPr>
    </xdr:pic>
    <xdr:clientData/>
  </xdr:twoCellAnchor>
  <xdr:twoCellAnchor>
    <xdr:from>
      <xdr:col>23</xdr:col>
      <xdr:colOff>600075</xdr:colOff>
      <xdr:row>0</xdr:row>
      <xdr:rowOff>142875</xdr:rowOff>
    </xdr:from>
    <xdr:to>
      <xdr:col>26</xdr:col>
      <xdr:colOff>542925</xdr:colOff>
      <xdr:row>2</xdr:row>
      <xdr:rowOff>19050</xdr:rowOff>
    </xdr:to>
    <xdr:sp macro="" textlink="$J$6">
      <xdr:nvSpPr>
        <xdr:cNvPr id="24" name="TextBox 23">
          <a:extLst>
            <a:ext uri="{FF2B5EF4-FFF2-40B4-BE49-F238E27FC236}">
              <a16:creationId xmlns:a16="http://schemas.microsoft.com/office/drawing/2014/main" id="{60B16A9E-1BF9-4A3E-9369-CD8B86686F7F}"/>
            </a:ext>
          </a:extLst>
        </xdr:cNvPr>
        <xdr:cNvSpPr txBox="1"/>
      </xdr:nvSpPr>
      <xdr:spPr>
        <a:xfrm>
          <a:off x="17287875" y="142875"/>
          <a:ext cx="1800225" cy="276225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C2C24BA-C070-4B66-A11F-4012E2591220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September</a:t>
          </a:fld>
          <a:endParaRPr lang="en-US" sz="1600" b="1"/>
        </a:p>
      </xdr:txBody>
    </xdr:sp>
    <xdr:clientData/>
  </xdr:twoCellAnchor>
  <xdr:twoCellAnchor>
    <xdr:from>
      <xdr:col>30</xdr:col>
      <xdr:colOff>59121</xdr:colOff>
      <xdr:row>0</xdr:row>
      <xdr:rowOff>111673</xdr:rowOff>
    </xdr:from>
    <xdr:to>
      <xdr:col>30</xdr:col>
      <xdr:colOff>407277</xdr:colOff>
      <xdr:row>2</xdr:row>
      <xdr:rowOff>39415</xdr:rowOff>
    </xdr:to>
    <xdr:sp macro="" textlink="">
      <xdr:nvSpPr>
        <xdr:cNvPr id="25" name="Flowchart: Or 24">
          <a:extLst>
            <a:ext uri="{FF2B5EF4-FFF2-40B4-BE49-F238E27FC236}">
              <a16:creationId xmlns:a16="http://schemas.microsoft.com/office/drawing/2014/main" id="{2E875ECA-C9C5-4831-8D0A-866917F41FE3}"/>
            </a:ext>
          </a:extLst>
        </xdr:cNvPr>
        <xdr:cNvSpPr/>
      </xdr:nvSpPr>
      <xdr:spPr>
        <a:xfrm>
          <a:off x="21080796" y="111673"/>
          <a:ext cx="348156" cy="327792"/>
        </a:xfrm>
        <a:prstGeom prst="flowChartOr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420413</xdr:colOff>
      <xdr:row>0</xdr:row>
      <xdr:rowOff>91966</xdr:rowOff>
    </xdr:from>
    <xdr:to>
      <xdr:col>32</xdr:col>
      <xdr:colOff>170793</xdr:colOff>
      <xdr:row>2</xdr:row>
      <xdr:rowOff>78827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F93130E1-B052-406E-9A4E-71AE107C54B9}"/>
            </a:ext>
          </a:extLst>
        </xdr:cNvPr>
        <xdr:cNvSpPr/>
      </xdr:nvSpPr>
      <xdr:spPr>
        <a:xfrm>
          <a:off x="21442088" y="91966"/>
          <a:ext cx="988630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Present</a:t>
          </a:r>
        </a:p>
      </xdr:txBody>
    </xdr:sp>
    <xdr:clientData/>
  </xdr:twoCellAnchor>
  <xdr:twoCellAnchor>
    <xdr:from>
      <xdr:col>32</xdr:col>
      <xdr:colOff>441436</xdr:colOff>
      <xdr:row>0</xdr:row>
      <xdr:rowOff>126124</xdr:rowOff>
    </xdr:from>
    <xdr:to>
      <xdr:col>33</xdr:col>
      <xdr:colOff>172109</xdr:colOff>
      <xdr:row>2</xdr:row>
      <xdr:rowOff>53866</xdr:rowOff>
    </xdr:to>
    <xdr:sp macro="" textlink="">
      <xdr:nvSpPr>
        <xdr:cNvPr id="27" name="Flowchart: Or 26">
          <a:extLst>
            <a:ext uri="{FF2B5EF4-FFF2-40B4-BE49-F238E27FC236}">
              <a16:creationId xmlns:a16="http://schemas.microsoft.com/office/drawing/2014/main" id="{D6C88190-1DE9-4A2A-B3BA-47797D650C53}"/>
            </a:ext>
          </a:extLst>
        </xdr:cNvPr>
        <xdr:cNvSpPr/>
      </xdr:nvSpPr>
      <xdr:spPr>
        <a:xfrm>
          <a:off x="22701361" y="126124"/>
          <a:ext cx="349798" cy="327792"/>
        </a:xfrm>
        <a:prstGeom prst="flowChar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185245</xdr:colOff>
      <xdr:row>0</xdr:row>
      <xdr:rowOff>106417</xdr:rowOff>
    </xdr:from>
    <xdr:to>
      <xdr:col>34</xdr:col>
      <xdr:colOff>553107</xdr:colOff>
      <xdr:row>2</xdr:row>
      <xdr:rowOff>93278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9D54905D-58A9-4F9D-8A40-AE54F703377E}"/>
            </a:ext>
          </a:extLst>
        </xdr:cNvPr>
        <xdr:cNvSpPr/>
      </xdr:nvSpPr>
      <xdr:spPr>
        <a:xfrm>
          <a:off x="23064295" y="106417"/>
          <a:ext cx="986987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Absent</a:t>
          </a:r>
        </a:p>
      </xdr:txBody>
    </xdr:sp>
    <xdr:clientData/>
  </xdr:twoCellAnchor>
  <xdr:twoCellAnchor>
    <xdr:from>
      <xdr:col>35</xdr:col>
      <xdr:colOff>173421</xdr:colOff>
      <xdr:row>0</xdr:row>
      <xdr:rowOff>114299</xdr:rowOff>
    </xdr:from>
    <xdr:to>
      <xdr:col>35</xdr:col>
      <xdr:colOff>521577</xdr:colOff>
      <xdr:row>2</xdr:row>
      <xdr:rowOff>42041</xdr:rowOff>
    </xdr:to>
    <xdr:sp macro="" textlink="">
      <xdr:nvSpPr>
        <xdr:cNvPr id="29" name="Flowchart: Or 28">
          <a:extLst>
            <a:ext uri="{FF2B5EF4-FFF2-40B4-BE49-F238E27FC236}">
              <a16:creationId xmlns:a16="http://schemas.microsoft.com/office/drawing/2014/main" id="{04D0CD82-7245-4FD1-9015-C5BE074BED99}"/>
            </a:ext>
          </a:extLst>
        </xdr:cNvPr>
        <xdr:cNvSpPr/>
      </xdr:nvSpPr>
      <xdr:spPr>
        <a:xfrm>
          <a:off x="24290721" y="114299"/>
          <a:ext cx="348156" cy="327792"/>
        </a:xfrm>
        <a:prstGeom prst="flowChartOr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534713</xdr:colOff>
      <xdr:row>0</xdr:row>
      <xdr:rowOff>94592</xdr:rowOff>
    </xdr:from>
    <xdr:to>
      <xdr:col>37</xdr:col>
      <xdr:colOff>285093</xdr:colOff>
      <xdr:row>2</xdr:row>
      <xdr:rowOff>81453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49977BBD-B152-40C1-9791-1F82B351F6A5}"/>
            </a:ext>
          </a:extLst>
        </xdr:cNvPr>
        <xdr:cNvSpPr/>
      </xdr:nvSpPr>
      <xdr:spPr>
        <a:xfrm>
          <a:off x="24652013" y="94592"/>
          <a:ext cx="988630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Leave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51636</xdr:colOff>
      <xdr:row>0</xdr:row>
      <xdr:rowOff>0</xdr:rowOff>
    </xdr:from>
    <xdr:to>
      <xdr:col>42</xdr:col>
      <xdr:colOff>0</xdr:colOff>
      <xdr:row>2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D66A845-D9B1-437F-8C47-6FC55DDF6D16}"/>
            </a:ext>
          </a:extLst>
        </xdr:cNvPr>
        <xdr:cNvSpPr/>
      </xdr:nvSpPr>
      <xdr:spPr>
        <a:xfrm>
          <a:off x="1270836" y="0"/>
          <a:ext cx="27170814" cy="581025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9524</xdr:colOff>
      <xdr:row>0</xdr:row>
      <xdr:rowOff>9523</xdr:rowOff>
    </xdr:from>
    <xdr:to>
      <xdr:col>3</xdr:col>
      <xdr:colOff>547686</xdr:colOff>
      <xdr:row>67</xdr:row>
      <xdr:rowOff>23811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46106E5-FFAC-416E-8A34-B5CB61F95001}"/>
            </a:ext>
          </a:extLst>
        </xdr:cNvPr>
        <xdr:cNvSpPr/>
      </xdr:nvSpPr>
      <xdr:spPr>
        <a:xfrm>
          <a:off x="9524" y="9523"/>
          <a:ext cx="2395537" cy="12825413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noFill/>
            </a:ln>
          </a:endParaRPr>
        </a:p>
      </xdr:txBody>
    </xdr:sp>
    <xdr:clientData/>
  </xdr:twoCellAnchor>
  <xdr:twoCellAnchor>
    <xdr:from>
      <xdr:col>0</xdr:col>
      <xdr:colOff>0</xdr:colOff>
      <xdr:row>1</xdr:row>
      <xdr:rowOff>133350</xdr:rowOff>
    </xdr:from>
    <xdr:to>
      <xdr:col>4</xdr:col>
      <xdr:colOff>142875</xdr:colOff>
      <xdr:row>4</xdr:row>
      <xdr:rowOff>47625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0D8B1-ACAE-466D-8CB4-8808F230E93D}"/>
            </a:ext>
          </a:extLst>
        </xdr:cNvPr>
        <xdr:cNvSpPr/>
      </xdr:nvSpPr>
      <xdr:spPr>
        <a:xfrm>
          <a:off x="0" y="337457"/>
          <a:ext cx="2592161" cy="526597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January</a:t>
          </a:r>
        </a:p>
      </xdr:txBody>
    </xdr:sp>
    <xdr:clientData/>
  </xdr:twoCellAnchor>
  <xdr:twoCellAnchor>
    <xdr:from>
      <xdr:col>0</xdr:col>
      <xdr:colOff>0</xdr:colOff>
      <xdr:row>4</xdr:row>
      <xdr:rowOff>180415</xdr:rowOff>
    </xdr:from>
    <xdr:to>
      <xdr:col>4</xdr:col>
      <xdr:colOff>138392</xdr:colOff>
      <xdr:row>7</xdr:row>
      <xdr:rowOff>94690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8808BC-5ADD-48CC-AA3B-D727FB4FC02C}"/>
            </a:ext>
          </a:extLst>
        </xdr:cNvPr>
        <xdr:cNvSpPr/>
      </xdr:nvSpPr>
      <xdr:spPr>
        <a:xfrm>
          <a:off x="0" y="980515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Feb</a:t>
          </a:r>
        </a:p>
      </xdr:txBody>
    </xdr:sp>
    <xdr:clientData/>
  </xdr:twoCellAnchor>
  <xdr:twoCellAnchor>
    <xdr:from>
      <xdr:col>0</xdr:col>
      <xdr:colOff>0</xdr:colOff>
      <xdr:row>8</xdr:row>
      <xdr:rowOff>8965</xdr:rowOff>
    </xdr:from>
    <xdr:to>
      <xdr:col>4</xdr:col>
      <xdr:colOff>142874</xdr:colOff>
      <xdr:row>10</xdr:row>
      <xdr:rowOff>113740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1E08F5-5B66-4F82-B02D-53785CCEB4B5}"/>
            </a:ext>
          </a:extLst>
        </xdr:cNvPr>
        <xdr:cNvSpPr/>
      </xdr:nvSpPr>
      <xdr:spPr>
        <a:xfrm>
          <a:off x="0" y="1609165"/>
          <a:ext cx="2581274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March</a:t>
          </a:r>
        </a:p>
      </xdr:txBody>
    </xdr:sp>
    <xdr:clientData/>
  </xdr:twoCellAnchor>
  <xdr:twoCellAnchor>
    <xdr:from>
      <xdr:col>0</xdr:col>
      <xdr:colOff>0</xdr:colOff>
      <xdr:row>11</xdr:row>
      <xdr:rowOff>75640</xdr:rowOff>
    </xdr:from>
    <xdr:to>
      <xdr:col>4</xdr:col>
      <xdr:colOff>138392</xdr:colOff>
      <xdr:row>13</xdr:row>
      <xdr:rowOff>180415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4655773-E880-472A-AC74-804E2802AEA6}"/>
            </a:ext>
          </a:extLst>
        </xdr:cNvPr>
        <xdr:cNvSpPr/>
      </xdr:nvSpPr>
      <xdr:spPr>
        <a:xfrm>
          <a:off x="0" y="228544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April</a:t>
          </a:r>
        </a:p>
      </xdr:txBody>
    </xdr:sp>
    <xdr:clientData/>
  </xdr:twoCellAnchor>
  <xdr:twoCellAnchor>
    <xdr:from>
      <xdr:col>0</xdr:col>
      <xdr:colOff>0</xdr:colOff>
      <xdr:row>14</xdr:row>
      <xdr:rowOff>123265</xdr:rowOff>
    </xdr:from>
    <xdr:to>
      <xdr:col>4</xdr:col>
      <xdr:colOff>138392</xdr:colOff>
      <xdr:row>17</xdr:row>
      <xdr:rowOff>37540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66AD2B3-737C-4636-82D1-99626656B668}"/>
            </a:ext>
          </a:extLst>
        </xdr:cNvPr>
        <xdr:cNvSpPr/>
      </xdr:nvSpPr>
      <xdr:spPr>
        <a:xfrm>
          <a:off x="0" y="29331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151840</xdr:rowOff>
    </xdr:from>
    <xdr:to>
      <xdr:col>4</xdr:col>
      <xdr:colOff>157442</xdr:colOff>
      <xdr:row>20</xdr:row>
      <xdr:rowOff>66115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CA0635B-2B0A-41C3-A6BD-5F6201538324}"/>
            </a:ext>
          </a:extLst>
        </xdr:cNvPr>
        <xdr:cNvSpPr/>
      </xdr:nvSpPr>
      <xdr:spPr>
        <a:xfrm>
          <a:off x="19050" y="356179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June</a:t>
          </a:r>
        </a:p>
      </xdr:txBody>
    </xdr:sp>
    <xdr:clientData/>
  </xdr:twoCellAnchor>
  <xdr:twoCellAnchor>
    <xdr:from>
      <xdr:col>0</xdr:col>
      <xdr:colOff>9525</xdr:colOff>
      <xdr:row>20</xdr:row>
      <xdr:rowOff>189940</xdr:rowOff>
    </xdr:from>
    <xdr:to>
      <xdr:col>4</xdr:col>
      <xdr:colOff>147917</xdr:colOff>
      <xdr:row>23</xdr:row>
      <xdr:rowOff>104215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DA14C24-C522-4E10-8310-ADD24679976B}"/>
            </a:ext>
          </a:extLst>
        </xdr:cNvPr>
        <xdr:cNvSpPr/>
      </xdr:nvSpPr>
      <xdr:spPr>
        <a:xfrm>
          <a:off x="9525" y="4199965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July</a:t>
          </a:r>
        </a:p>
      </xdr:txBody>
    </xdr:sp>
    <xdr:clientData/>
  </xdr:twoCellAnchor>
  <xdr:twoCellAnchor>
    <xdr:from>
      <xdr:col>0</xdr:col>
      <xdr:colOff>9525</xdr:colOff>
      <xdr:row>24</xdr:row>
      <xdr:rowOff>47065</xdr:rowOff>
    </xdr:from>
    <xdr:to>
      <xdr:col>4</xdr:col>
      <xdr:colOff>147917</xdr:colOff>
      <xdr:row>26</xdr:row>
      <xdr:rowOff>151840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BE0D473-0E2B-44DB-970A-3345ADD0F05D}"/>
            </a:ext>
          </a:extLst>
        </xdr:cNvPr>
        <xdr:cNvSpPr/>
      </xdr:nvSpPr>
      <xdr:spPr>
        <a:xfrm>
          <a:off x="9525" y="485719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August</a:t>
          </a:r>
        </a:p>
      </xdr:txBody>
    </xdr:sp>
    <xdr:clientData/>
  </xdr:twoCellAnchor>
  <xdr:twoCellAnchor>
    <xdr:from>
      <xdr:col>0</xdr:col>
      <xdr:colOff>9525</xdr:colOff>
      <xdr:row>27</xdr:row>
      <xdr:rowOff>94690</xdr:rowOff>
    </xdr:from>
    <xdr:to>
      <xdr:col>4</xdr:col>
      <xdr:colOff>147917</xdr:colOff>
      <xdr:row>30</xdr:row>
      <xdr:rowOff>8965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E89B2D2-9149-493E-8F80-7AC1748B2DBE}"/>
            </a:ext>
          </a:extLst>
        </xdr:cNvPr>
        <xdr:cNvSpPr/>
      </xdr:nvSpPr>
      <xdr:spPr>
        <a:xfrm>
          <a:off x="9525" y="5504890"/>
          <a:ext cx="2576792" cy="5238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September</a:t>
          </a:r>
        </a:p>
      </xdr:txBody>
    </xdr:sp>
    <xdr:clientData/>
  </xdr:twoCellAnchor>
  <xdr:twoCellAnchor>
    <xdr:from>
      <xdr:col>1</xdr:col>
      <xdr:colOff>508908</xdr:colOff>
      <xdr:row>30</xdr:row>
      <xdr:rowOff>127347</xdr:rowOff>
    </xdr:from>
    <xdr:to>
      <xdr:col>6</xdr:col>
      <xdr:colOff>34978</xdr:colOff>
      <xdr:row>33</xdr:row>
      <xdr:rowOff>41622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20DB56A-9D3F-4F15-99F1-88B4F8D6E146}"/>
            </a:ext>
          </a:extLst>
        </xdr:cNvPr>
        <xdr:cNvSpPr/>
      </xdr:nvSpPr>
      <xdr:spPr>
        <a:xfrm>
          <a:off x="1121229" y="6250561"/>
          <a:ext cx="2587678" cy="526597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October</a:t>
          </a:r>
        </a:p>
      </xdr:txBody>
    </xdr:sp>
    <xdr:clientData/>
  </xdr:twoCellAnchor>
  <xdr:twoCellAnchor>
    <xdr:from>
      <xdr:col>0</xdr:col>
      <xdr:colOff>9525</xdr:colOff>
      <xdr:row>33</xdr:row>
      <xdr:rowOff>161365</xdr:rowOff>
    </xdr:from>
    <xdr:to>
      <xdr:col>4</xdr:col>
      <xdr:colOff>147917</xdr:colOff>
      <xdr:row>36</xdr:row>
      <xdr:rowOff>75640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713BE07-A827-48FC-9D1F-3BF720DD9D4B}"/>
            </a:ext>
          </a:extLst>
        </xdr:cNvPr>
        <xdr:cNvSpPr/>
      </xdr:nvSpPr>
      <xdr:spPr>
        <a:xfrm>
          <a:off x="9525" y="67812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November</a:t>
          </a:r>
        </a:p>
      </xdr:txBody>
    </xdr:sp>
    <xdr:clientData/>
  </xdr:twoCellAnchor>
  <xdr:twoCellAnchor>
    <xdr:from>
      <xdr:col>0</xdr:col>
      <xdr:colOff>0</xdr:colOff>
      <xdr:row>37</xdr:row>
      <xdr:rowOff>47065</xdr:rowOff>
    </xdr:from>
    <xdr:to>
      <xdr:col>4</xdr:col>
      <xdr:colOff>138392</xdr:colOff>
      <xdr:row>39</xdr:row>
      <xdr:rowOff>151840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2E6F7AC-EDFB-4417-975A-ED5911F37165}"/>
            </a:ext>
          </a:extLst>
        </xdr:cNvPr>
        <xdr:cNvSpPr/>
      </xdr:nvSpPr>
      <xdr:spPr>
        <a:xfrm>
          <a:off x="0" y="746704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December</a:t>
          </a:r>
        </a:p>
      </xdr:txBody>
    </xdr:sp>
    <xdr:clientData/>
  </xdr:twoCellAnchor>
  <xdr:twoCellAnchor>
    <xdr:from>
      <xdr:col>43</xdr:col>
      <xdr:colOff>0</xdr:colOff>
      <xdr:row>0</xdr:row>
      <xdr:rowOff>0</xdr:rowOff>
    </xdr:from>
    <xdr:to>
      <xdr:col>58</xdr:col>
      <xdr:colOff>22412</xdr:colOff>
      <xdr:row>3</xdr:row>
      <xdr:rowOff>11205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2340929-A9D3-4D2A-964F-615828A2CD67}"/>
            </a:ext>
          </a:extLst>
        </xdr:cNvPr>
        <xdr:cNvSpPr/>
      </xdr:nvSpPr>
      <xdr:spPr>
        <a:xfrm>
          <a:off x="29051250" y="0"/>
          <a:ext cx="14014637" cy="61128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ln>
                <a:noFill/>
              </a:ln>
              <a:solidFill>
                <a:schemeClr val="tx1"/>
              </a:solidFill>
            </a:rPr>
            <a:t>Monthly Report </a:t>
          </a:r>
        </a:p>
      </xdr:txBody>
    </xdr:sp>
    <xdr:clientData/>
  </xdr:twoCellAnchor>
  <xdr:twoCellAnchor>
    <xdr:from>
      <xdr:col>5</xdr:col>
      <xdr:colOff>571500</xdr:colOff>
      <xdr:row>0</xdr:row>
      <xdr:rowOff>145676</xdr:rowOff>
    </xdr:from>
    <xdr:to>
      <xdr:col>7</xdr:col>
      <xdr:colOff>874059</xdr:colOff>
      <xdr:row>2</xdr:row>
      <xdr:rowOff>56029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6AAD3FB-D8BF-40EC-BE6F-28DA20C49FCB}"/>
            </a:ext>
          </a:extLst>
        </xdr:cNvPr>
        <xdr:cNvSpPr txBox="1"/>
      </xdr:nvSpPr>
      <xdr:spPr>
        <a:xfrm>
          <a:off x="3619500" y="145676"/>
          <a:ext cx="1531284" cy="31040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From</a:t>
          </a:r>
        </a:p>
      </xdr:txBody>
    </xdr:sp>
    <xdr:clientData/>
  </xdr:twoCellAnchor>
  <xdr:twoCellAnchor>
    <xdr:from>
      <xdr:col>7</xdr:col>
      <xdr:colOff>885265</xdr:colOff>
      <xdr:row>0</xdr:row>
      <xdr:rowOff>145676</xdr:rowOff>
    </xdr:from>
    <xdr:to>
      <xdr:col>8</xdr:col>
      <xdr:colOff>593911</xdr:colOff>
      <xdr:row>2</xdr:row>
      <xdr:rowOff>56029</xdr:rowOff>
    </xdr:to>
    <xdr:sp macro="" textlink="$H$6">
      <xdr:nvSpPr>
        <xdr:cNvPr id="18" name="TextBox 17">
          <a:extLst>
            <a:ext uri="{FF2B5EF4-FFF2-40B4-BE49-F238E27FC236}">
              <a16:creationId xmlns:a16="http://schemas.microsoft.com/office/drawing/2014/main" id="{7283BD18-6B5D-4FEE-9301-E14E8B36D536}"/>
            </a:ext>
          </a:extLst>
        </xdr:cNvPr>
        <xdr:cNvSpPr txBox="1"/>
      </xdr:nvSpPr>
      <xdr:spPr>
        <a:xfrm>
          <a:off x="5161990" y="145676"/>
          <a:ext cx="1499346" cy="310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4FAE0827-8A19-483B-A3A8-823BC530720B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1-Oct-25</a:t>
          </a:fld>
          <a:endParaRPr lang="en-US" sz="1600" b="1"/>
        </a:p>
      </xdr:txBody>
    </xdr:sp>
    <xdr:clientData/>
  </xdr:twoCellAnchor>
  <xdr:twoCellAnchor>
    <xdr:from>
      <xdr:col>13</xdr:col>
      <xdr:colOff>410135</xdr:colOff>
      <xdr:row>0</xdr:row>
      <xdr:rowOff>118782</xdr:rowOff>
    </xdr:from>
    <xdr:to>
      <xdr:col>16</xdr:col>
      <xdr:colOff>85165</xdr:colOff>
      <xdr:row>2</xdr:row>
      <xdr:rowOff>29135</xdr:rowOff>
    </xdr:to>
    <xdr:sp macro="" textlink="$M$6">
      <xdr:nvSpPr>
        <xdr:cNvPr id="19" name="TextBox 18">
          <a:extLst>
            <a:ext uri="{FF2B5EF4-FFF2-40B4-BE49-F238E27FC236}">
              <a16:creationId xmlns:a16="http://schemas.microsoft.com/office/drawing/2014/main" id="{E8524E4E-264A-4FF0-AD6E-7ED14E347F29}"/>
            </a:ext>
          </a:extLst>
        </xdr:cNvPr>
        <xdr:cNvSpPr txBox="1"/>
      </xdr:nvSpPr>
      <xdr:spPr>
        <a:xfrm>
          <a:off x="10906685" y="118782"/>
          <a:ext cx="1532405" cy="310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CF0DC84-B8FC-49E0-B45A-C37B36E5F7EF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31-Oct-25</a:t>
          </a:fld>
          <a:endParaRPr lang="en-US" sz="1600" b="1"/>
        </a:p>
      </xdr:txBody>
    </xdr:sp>
    <xdr:clientData/>
  </xdr:twoCellAnchor>
  <xdr:twoCellAnchor>
    <xdr:from>
      <xdr:col>11</xdr:col>
      <xdr:colOff>392206</xdr:colOff>
      <xdr:row>0</xdr:row>
      <xdr:rowOff>118782</xdr:rowOff>
    </xdr:from>
    <xdr:to>
      <xdr:col>13</xdr:col>
      <xdr:colOff>403410</xdr:colOff>
      <xdr:row>2</xdr:row>
      <xdr:rowOff>29135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976B1BA-F4EF-4DC9-8883-A92F33D0864A}"/>
            </a:ext>
          </a:extLst>
        </xdr:cNvPr>
        <xdr:cNvSpPr txBox="1"/>
      </xdr:nvSpPr>
      <xdr:spPr>
        <a:xfrm>
          <a:off x="9355231" y="118782"/>
          <a:ext cx="1544729" cy="31040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To</a:t>
          </a:r>
        </a:p>
      </xdr:txBody>
    </xdr:sp>
    <xdr:clientData/>
  </xdr:twoCellAnchor>
  <xdr:twoCellAnchor>
    <xdr:from>
      <xdr:col>16</xdr:col>
      <xdr:colOff>326571</xdr:colOff>
      <xdr:row>0</xdr:row>
      <xdr:rowOff>136071</xdr:rowOff>
    </xdr:from>
    <xdr:to>
      <xdr:col>28</xdr:col>
      <xdr:colOff>598714</xdr:colOff>
      <xdr:row>2</xdr:row>
      <xdr:rowOff>40822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B65F31F-9E3D-48EA-881E-FA331144D6DC}"/>
            </a:ext>
          </a:extLst>
        </xdr:cNvPr>
        <xdr:cNvSpPr/>
      </xdr:nvSpPr>
      <xdr:spPr>
        <a:xfrm>
          <a:off x="12680496" y="136071"/>
          <a:ext cx="7701643" cy="30480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340180</xdr:colOff>
      <xdr:row>0</xdr:row>
      <xdr:rowOff>180975</xdr:rowOff>
    </xdr:from>
    <xdr:to>
      <xdr:col>25</xdr:col>
      <xdr:colOff>190501</xdr:colOff>
      <xdr:row>2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8C0BF9F-6E87-4E9E-8519-BCB23AD330A1}"/>
            </a:ext>
          </a:extLst>
        </xdr:cNvPr>
        <xdr:cNvSpPr txBox="1"/>
      </xdr:nvSpPr>
      <xdr:spPr>
        <a:xfrm>
          <a:off x="12694105" y="180975"/>
          <a:ext cx="5422446" cy="2286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/>
            <a:t>Dashboard</a:t>
          </a:r>
          <a:r>
            <a:rPr lang="en-US" sz="2400" b="1" baseline="0"/>
            <a:t> for the month of </a:t>
          </a:r>
          <a:endParaRPr lang="en-US" sz="2400" b="1"/>
        </a:p>
      </xdr:txBody>
    </xdr:sp>
    <xdr:clientData/>
  </xdr:twoCellAnchor>
  <xdr:twoCellAnchor editAs="oneCell">
    <xdr:from>
      <xdr:col>27</xdr:col>
      <xdr:colOff>590340</xdr:colOff>
      <xdr:row>0</xdr:row>
      <xdr:rowOff>131884</xdr:rowOff>
    </xdr:from>
    <xdr:to>
      <xdr:col>29</xdr:col>
      <xdr:colOff>1231</xdr:colOff>
      <xdr:row>2</xdr:row>
      <xdr:rowOff>92319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42F9560B-BA0F-4979-92DC-BD3778CBB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9754640" y="131884"/>
          <a:ext cx="649141" cy="341435"/>
        </a:xfrm>
        <a:prstGeom prst="rect">
          <a:avLst/>
        </a:prstGeom>
      </xdr:spPr>
    </xdr:pic>
    <xdr:clientData/>
  </xdr:twoCellAnchor>
  <xdr:twoCellAnchor>
    <xdr:from>
      <xdr:col>23</xdr:col>
      <xdr:colOff>600075</xdr:colOff>
      <xdr:row>0</xdr:row>
      <xdr:rowOff>142875</xdr:rowOff>
    </xdr:from>
    <xdr:to>
      <xdr:col>26</xdr:col>
      <xdr:colOff>542925</xdr:colOff>
      <xdr:row>2</xdr:row>
      <xdr:rowOff>19050</xdr:rowOff>
    </xdr:to>
    <xdr:sp macro="" textlink="$J$6">
      <xdr:nvSpPr>
        <xdr:cNvPr id="24" name="TextBox 23">
          <a:extLst>
            <a:ext uri="{FF2B5EF4-FFF2-40B4-BE49-F238E27FC236}">
              <a16:creationId xmlns:a16="http://schemas.microsoft.com/office/drawing/2014/main" id="{78A9825C-607B-49B3-960B-8065F1E7673A}"/>
            </a:ext>
          </a:extLst>
        </xdr:cNvPr>
        <xdr:cNvSpPr txBox="1"/>
      </xdr:nvSpPr>
      <xdr:spPr>
        <a:xfrm>
          <a:off x="17287875" y="142875"/>
          <a:ext cx="1800225" cy="276225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C2C24BA-C070-4B66-A11F-4012E2591220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October</a:t>
          </a:fld>
          <a:endParaRPr lang="en-US" sz="1600" b="1"/>
        </a:p>
      </xdr:txBody>
    </xdr:sp>
    <xdr:clientData/>
  </xdr:twoCellAnchor>
  <xdr:twoCellAnchor>
    <xdr:from>
      <xdr:col>30</xdr:col>
      <xdr:colOff>59121</xdr:colOff>
      <xdr:row>0</xdr:row>
      <xdr:rowOff>111673</xdr:rowOff>
    </xdr:from>
    <xdr:to>
      <xdr:col>30</xdr:col>
      <xdr:colOff>407277</xdr:colOff>
      <xdr:row>2</xdr:row>
      <xdr:rowOff>39415</xdr:rowOff>
    </xdr:to>
    <xdr:sp macro="" textlink="">
      <xdr:nvSpPr>
        <xdr:cNvPr id="25" name="Flowchart: Or 24">
          <a:extLst>
            <a:ext uri="{FF2B5EF4-FFF2-40B4-BE49-F238E27FC236}">
              <a16:creationId xmlns:a16="http://schemas.microsoft.com/office/drawing/2014/main" id="{13BBB403-3F4E-4613-A136-BE8849E46C39}"/>
            </a:ext>
          </a:extLst>
        </xdr:cNvPr>
        <xdr:cNvSpPr/>
      </xdr:nvSpPr>
      <xdr:spPr>
        <a:xfrm>
          <a:off x="21080796" y="111673"/>
          <a:ext cx="348156" cy="327792"/>
        </a:xfrm>
        <a:prstGeom prst="flowChartOr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420413</xdr:colOff>
      <xdr:row>0</xdr:row>
      <xdr:rowOff>91966</xdr:rowOff>
    </xdr:from>
    <xdr:to>
      <xdr:col>32</xdr:col>
      <xdr:colOff>170793</xdr:colOff>
      <xdr:row>2</xdr:row>
      <xdr:rowOff>78827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DCC1E9E-4848-4E12-A633-90FD4B5FF559}"/>
            </a:ext>
          </a:extLst>
        </xdr:cNvPr>
        <xdr:cNvSpPr/>
      </xdr:nvSpPr>
      <xdr:spPr>
        <a:xfrm>
          <a:off x="21442088" y="91966"/>
          <a:ext cx="988630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Present</a:t>
          </a:r>
        </a:p>
      </xdr:txBody>
    </xdr:sp>
    <xdr:clientData/>
  </xdr:twoCellAnchor>
  <xdr:twoCellAnchor>
    <xdr:from>
      <xdr:col>32</xdr:col>
      <xdr:colOff>441436</xdr:colOff>
      <xdr:row>0</xdr:row>
      <xdr:rowOff>126124</xdr:rowOff>
    </xdr:from>
    <xdr:to>
      <xdr:col>33</xdr:col>
      <xdr:colOff>172109</xdr:colOff>
      <xdr:row>2</xdr:row>
      <xdr:rowOff>53866</xdr:rowOff>
    </xdr:to>
    <xdr:sp macro="" textlink="">
      <xdr:nvSpPr>
        <xdr:cNvPr id="27" name="Flowchart: Or 26">
          <a:extLst>
            <a:ext uri="{FF2B5EF4-FFF2-40B4-BE49-F238E27FC236}">
              <a16:creationId xmlns:a16="http://schemas.microsoft.com/office/drawing/2014/main" id="{77231095-8D08-47D1-9519-D4E84DF97AF5}"/>
            </a:ext>
          </a:extLst>
        </xdr:cNvPr>
        <xdr:cNvSpPr/>
      </xdr:nvSpPr>
      <xdr:spPr>
        <a:xfrm>
          <a:off x="22701361" y="126124"/>
          <a:ext cx="349798" cy="327792"/>
        </a:xfrm>
        <a:prstGeom prst="flowChar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185245</xdr:colOff>
      <xdr:row>0</xdr:row>
      <xdr:rowOff>106417</xdr:rowOff>
    </xdr:from>
    <xdr:to>
      <xdr:col>34</xdr:col>
      <xdr:colOff>553107</xdr:colOff>
      <xdr:row>2</xdr:row>
      <xdr:rowOff>93278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F91A4E4A-2126-49E4-8179-ABF5DF8F48AC}"/>
            </a:ext>
          </a:extLst>
        </xdr:cNvPr>
        <xdr:cNvSpPr/>
      </xdr:nvSpPr>
      <xdr:spPr>
        <a:xfrm>
          <a:off x="23064295" y="106417"/>
          <a:ext cx="986987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Absent</a:t>
          </a:r>
        </a:p>
      </xdr:txBody>
    </xdr:sp>
    <xdr:clientData/>
  </xdr:twoCellAnchor>
  <xdr:twoCellAnchor>
    <xdr:from>
      <xdr:col>35</xdr:col>
      <xdr:colOff>173421</xdr:colOff>
      <xdr:row>0</xdr:row>
      <xdr:rowOff>114299</xdr:rowOff>
    </xdr:from>
    <xdr:to>
      <xdr:col>35</xdr:col>
      <xdr:colOff>521577</xdr:colOff>
      <xdr:row>2</xdr:row>
      <xdr:rowOff>42041</xdr:rowOff>
    </xdr:to>
    <xdr:sp macro="" textlink="">
      <xdr:nvSpPr>
        <xdr:cNvPr id="29" name="Flowchart: Or 28">
          <a:extLst>
            <a:ext uri="{FF2B5EF4-FFF2-40B4-BE49-F238E27FC236}">
              <a16:creationId xmlns:a16="http://schemas.microsoft.com/office/drawing/2014/main" id="{B946D4DD-79AE-4FF8-A94E-42E4E807D5AD}"/>
            </a:ext>
          </a:extLst>
        </xdr:cNvPr>
        <xdr:cNvSpPr/>
      </xdr:nvSpPr>
      <xdr:spPr>
        <a:xfrm>
          <a:off x="24290721" y="114299"/>
          <a:ext cx="348156" cy="327792"/>
        </a:xfrm>
        <a:prstGeom prst="flowChartOr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534713</xdr:colOff>
      <xdr:row>0</xdr:row>
      <xdr:rowOff>94592</xdr:rowOff>
    </xdr:from>
    <xdr:to>
      <xdr:col>37</xdr:col>
      <xdr:colOff>285093</xdr:colOff>
      <xdr:row>2</xdr:row>
      <xdr:rowOff>81453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8936EF4-FB14-4952-BCE8-7FE713BDBAF5}"/>
            </a:ext>
          </a:extLst>
        </xdr:cNvPr>
        <xdr:cNvSpPr/>
      </xdr:nvSpPr>
      <xdr:spPr>
        <a:xfrm>
          <a:off x="24652013" y="94592"/>
          <a:ext cx="988630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Leave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51636</xdr:colOff>
      <xdr:row>0</xdr:row>
      <xdr:rowOff>0</xdr:rowOff>
    </xdr:from>
    <xdr:to>
      <xdr:col>42</xdr:col>
      <xdr:colOff>0</xdr:colOff>
      <xdr:row>2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663115B-3441-4DDD-A799-F461A5DB5820}"/>
            </a:ext>
          </a:extLst>
        </xdr:cNvPr>
        <xdr:cNvSpPr/>
      </xdr:nvSpPr>
      <xdr:spPr>
        <a:xfrm>
          <a:off x="1270836" y="0"/>
          <a:ext cx="27170814" cy="581025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</xdr:colOff>
      <xdr:row>0</xdr:row>
      <xdr:rowOff>9524</xdr:rowOff>
    </xdr:from>
    <xdr:to>
      <xdr:col>3</xdr:col>
      <xdr:colOff>588818</xdr:colOff>
      <xdr:row>67</xdr:row>
      <xdr:rowOff>190500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F92F817-F8E7-4B3E-9E72-2D55EA1F4C71}"/>
            </a:ext>
          </a:extLst>
        </xdr:cNvPr>
        <xdr:cNvSpPr/>
      </xdr:nvSpPr>
      <xdr:spPr>
        <a:xfrm>
          <a:off x="9525" y="9524"/>
          <a:ext cx="2397702" cy="1410479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noFill/>
            </a:ln>
          </a:endParaRPr>
        </a:p>
      </xdr:txBody>
    </xdr:sp>
    <xdr:clientData/>
  </xdr:twoCellAnchor>
  <xdr:twoCellAnchor>
    <xdr:from>
      <xdr:col>0</xdr:col>
      <xdr:colOff>0</xdr:colOff>
      <xdr:row>1</xdr:row>
      <xdr:rowOff>167987</xdr:rowOff>
    </xdr:from>
    <xdr:to>
      <xdr:col>4</xdr:col>
      <xdr:colOff>142876</xdr:colOff>
      <xdr:row>4</xdr:row>
      <xdr:rowOff>82262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D4F8B6-BD6E-466D-9C9F-D06EDE116242}"/>
            </a:ext>
          </a:extLst>
        </xdr:cNvPr>
        <xdr:cNvSpPr/>
      </xdr:nvSpPr>
      <xdr:spPr>
        <a:xfrm>
          <a:off x="0" y="375805"/>
          <a:ext cx="2567421" cy="53773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January</a:t>
          </a:r>
        </a:p>
      </xdr:txBody>
    </xdr:sp>
    <xdr:clientData/>
  </xdr:twoCellAnchor>
  <xdr:twoCellAnchor>
    <xdr:from>
      <xdr:col>0</xdr:col>
      <xdr:colOff>0</xdr:colOff>
      <xdr:row>4</xdr:row>
      <xdr:rowOff>180415</xdr:rowOff>
    </xdr:from>
    <xdr:to>
      <xdr:col>4</xdr:col>
      <xdr:colOff>138392</xdr:colOff>
      <xdr:row>7</xdr:row>
      <xdr:rowOff>94690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C37894-6311-41E4-9CDC-2CF16EEF17AB}"/>
            </a:ext>
          </a:extLst>
        </xdr:cNvPr>
        <xdr:cNvSpPr/>
      </xdr:nvSpPr>
      <xdr:spPr>
        <a:xfrm>
          <a:off x="0" y="980515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Feb</a:t>
          </a:r>
        </a:p>
      </xdr:txBody>
    </xdr:sp>
    <xdr:clientData/>
  </xdr:twoCellAnchor>
  <xdr:twoCellAnchor>
    <xdr:from>
      <xdr:col>0</xdr:col>
      <xdr:colOff>0</xdr:colOff>
      <xdr:row>8</xdr:row>
      <xdr:rowOff>8965</xdr:rowOff>
    </xdr:from>
    <xdr:to>
      <xdr:col>4</xdr:col>
      <xdr:colOff>142874</xdr:colOff>
      <xdr:row>10</xdr:row>
      <xdr:rowOff>113740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0006F40-37BF-4547-823B-93092839A7DF}"/>
            </a:ext>
          </a:extLst>
        </xdr:cNvPr>
        <xdr:cNvSpPr/>
      </xdr:nvSpPr>
      <xdr:spPr>
        <a:xfrm>
          <a:off x="0" y="1609165"/>
          <a:ext cx="2581274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March</a:t>
          </a:r>
        </a:p>
      </xdr:txBody>
    </xdr:sp>
    <xdr:clientData/>
  </xdr:twoCellAnchor>
  <xdr:twoCellAnchor>
    <xdr:from>
      <xdr:col>0</xdr:col>
      <xdr:colOff>0</xdr:colOff>
      <xdr:row>11</xdr:row>
      <xdr:rowOff>75640</xdr:rowOff>
    </xdr:from>
    <xdr:to>
      <xdr:col>4</xdr:col>
      <xdr:colOff>138392</xdr:colOff>
      <xdr:row>13</xdr:row>
      <xdr:rowOff>180415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84299E-2992-46DC-B386-D90FB37FCB12}"/>
            </a:ext>
          </a:extLst>
        </xdr:cNvPr>
        <xdr:cNvSpPr/>
      </xdr:nvSpPr>
      <xdr:spPr>
        <a:xfrm>
          <a:off x="0" y="228544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April</a:t>
          </a:r>
        </a:p>
      </xdr:txBody>
    </xdr:sp>
    <xdr:clientData/>
  </xdr:twoCellAnchor>
  <xdr:twoCellAnchor>
    <xdr:from>
      <xdr:col>0</xdr:col>
      <xdr:colOff>0</xdr:colOff>
      <xdr:row>14</xdr:row>
      <xdr:rowOff>123265</xdr:rowOff>
    </xdr:from>
    <xdr:to>
      <xdr:col>4</xdr:col>
      <xdr:colOff>138392</xdr:colOff>
      <xdr:row>17</xdr:row>
      <xdr:rowOff>37540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B3267BC-5217-44B0-83A6-6560467C06B8}"/>
            </a:ext>
          </a:extLst>
        </xdr:cNvPr>
        <xdr:cNvSpPr/>
      </xdr:nvSpPr>
      <xdr:spPr>
        <a:xfrm>
          <a:off x="0" y="29331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151840</xdr:rowOff>
    </xdr:from>
    <xdr:to>
      <xdr:col>4</xdr:col>
      <xdr:colOff>157442</xdr:colOff>
      <xdr:row>20</xdr:row>
      <xdr:rowOff>66115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7F702A9-2425-4F9E-8756-EFB246511E08}"/>
            </a:ext>
          </a:extLst>
        </xdr:cNvPr>
        <xdr:cNvSpPr/>
      </xdr:nvSpPr>
      <xdr:spPr>
        <a:xfrm>
          <a:off x="19050" y="356179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June</a:t>
          </a:r>
        </a:p>
      </xdr:txBody>
    </xdr:sp>
    <xdr:clientData/>
  </xdr:twoCellAnchor>
  <xdr:twoCellAnchor>
    <xdr:from>
      <xdr:col>0</xdr:col>
      <xdr:colOff>9525</xdr:colOff>
      <xdr:row>20</xdr:row>
      <xdr:rowOff>189940</xdr:rowOff>
    </xdr:from>
    <xdr:to>
      <xdr:col>4</xdr:col>
      <xdr:colOff>147917</xdr:colOff>
      <xdr:row>23</xdr:row>
      <xdr:rowOff>104215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156882B-7DB6-430F-8F4C-D9DE6C398395}"/>
            </a:ext>
          </a:extLst>
        </xdr:cNvPr>
        <xdr:cNvSpPr/>
      </xdr:nvSpPr>
      <xdr:spPr>
        <a:xfrm>
          <a:off x="9525" y="4199965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July</a:t>
          </a:r>
        </a:p>
      </xdr:txBody>
    </xdr:sp>
    <xdr:clientData/>
  </xdr:twoCellAnchor>
  <xdr:twoCellAnchor>
    <xdr:from>
      <xdr:col>0</xdr:col>
      <xdr:colOff>9525</xdr:colOff>
      <xdr:row>24</xdr:row>
      <xdr:rowOff>47065</xdr:rowOff>
    </xdr:from>
    <xdr:to>
      <xdr:col>4</xdr:col>
      <xdr:colOff>147917</xdr:colOff>
      <xdr:row>26</xdr:row>
      <xdr:rowOff>151840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D9F948D-BAE8-4B18-9C0E-56FA335D3CAD}"/>
            </a:ext>
          </a:extLst>
        </xdr:cNvPr>
        <xdr:cNvSpPr/>
      </xdr:nvSpPr>
      <xdr:spPr>
        <a:xfrm>
          <a:off x="9525" y="485719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August</a:t>
          </a:r>
        </a:p>
      </xdr:txBody>
    </xdr:sp>
    <xdr:clientData/>
  </xdr:twoCellAnchor>
  <xdr:twoCellAnchor>
    <xdr:from>
      <xdr:col>0</xdr:col>
      <xdr:colOff>9525</xdr:colOff>
      <xdr:row>27</xdr:row>
      <xdr:rowOff>94690</xdr:rowOff>
    </xdr:from>
    <xdr:to>
      <xdr:col>4</xdr:col>
      <xdr:colOff>147917</xdr:colOff>
      <xdr:row>30</xdr:row>
      <xdr:rowOff>8965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6308360-5D5D-4B44-87A2-AD08E10DB595}"/>
            </a:ext>
          </a:extLst>
        </xdr:cNvPr>
        <xdr:cNvSpPr/>
      </xdr:nvSpPr>
      <xdr:spPr>
        <a:xfrm>
          <a:off x="9525" y="5504890"/>
          <a:ext cx="2576792" cy="5238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September</a:t>
          </a:r>
        </a:p>
      </xdr:txBody>
    </xdr:sp>
    <xdr:clientData/>
  </xdr:twoCellAnchor>
  <xdr:twoCellAnchor>
    <xdr:from>
      <xdr:col>0</xdr:col>
      <xdr:colOff>19050</xdr:colOff>
      <xdr:row>30</xdr:row>
      <xdr:rowOff>113740</xdr:rowOff>
    </xdr:from>
    <xdr:to>
      <xdr:col>4</xdr:col>
      <xdr:colOff>157442</xdr:colOff>
      <xdr:row>33</xdr:row>
      <xdr:rowOff>28015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047F8BC-1AAA-41C2-AADF-1EA7293BE77C}"/>
            </a:ext>
          </a:extLst>
        </xdr:cNvPr>
        <xdr:cNvSpPr/>
      </xdr:nvSpPr>
      <xdr:spPr>
        <a:xfrm>
          <a:off x="19050" y="61335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October</a:t>
          </a:r>
        </a:p>
      </xdr:txBody>
    </xdr:sp>
    <xdr:clientData/>
  </xdr:twoCellAnchor>
  <xdr:twoCellAnchor>
    <xdr:from>
      <xdr:col>1</xdr:col>
      <xdr:colOff>494435</xdr:colOff>
      <xdr:row>33</xdr:row>
      <xdr:rowOff>178683</xdr:rowOff>
    </xdr:from>
    <xdr:to>
      <xdr:col>6</xdr:col>
      <xdr:colOff>26690</xdr:colOff>
      <xdr:row>36</xdr:row>
      <xdr:rowOff>92958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3201341-84D8-42A6-BA0F-04AB78E9D7DE}"/>
            </a:ext>
          </a:extLst>
        </xdr:cNvPr>
        <xdr:cNvSpPr/>
      </xdr:nvSpPr>
      <xdr:spPr>
        <a:xfrm>
          <a:off x="1100571" y="7036683"/>
          <a:ext cx="2562937" cy="537730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November</a:t>
          </a:r>
        </a:p>
      </xdr:txBody>
    </xdr:sp>
    <xdr:clientData/>
  </xdr:twoCellAnchor>
  <xdr:twoCellAnchor>
    <xdr:from>
      <xdr:col>0</xdr:col>
      <xdr:colOff>0</xdr:colOff>
      <xdr:row>37</xdr:row>
      <xdr:rowOff>47065</xdr:rowOff>
    </xdr:from>
    <xdr:to>
      <xdr:col>4</xdr:col>
      <xdr:colOff>138392</xdr:colOff>
      <xdr:row>39</xdr:row>
      <xdr:rowOff>151840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D9C65C-0CFF-425B-946B-40657193F8BD}"/>
            </a:ext>
          </a:extLst>
        </xdr:cNvPr>
        <xdr:cNvSpPr/>
      </xdr:nvSpPr>
      <xdr:spPr>
        <a:xfrm>
          <a:off x="0" y="746704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December</a:t>
          </a:r>
        </a:p>
      </xdr:txBody>
    </xdr:sp>
    <xdr:clientData/>
  </xdr:twoCellAnchor>
  <xdr:twoCellAnchor>
    <xdr:from>
      <xdr:col>43</xdr:col>
      <xdr:colOff>0</xdr:colOff>
      <xdr:row>0</xdr:row>
      <xdr:rowOff>0</xdr:rowOff>
    </xdr:from>
    <xdr:to>
      <xdr:col>58</xdr:col>
      <xdr:colOff>22412</xdr:colOff>
      <xdr:row>3</xdr:row>
      <xdr:rowOff>11205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3B7E05C-364A-4E98-8ECA-C7660A362CB5}"/>
            </a:ext>
          </a:extLst>
        </xdr:cNvPr>
        <xdr:cNvSpPr/>
      </xdr:nvSpPr>
      <xdr:spPr>
        <a:xfrm>
          <a:off x="29051250" y="0"/>
          <a:ext cx="14014637" cy="61128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ln>
                <a:noFill/>
              </a:ln>
              <a:solidFill>
                <a:schemeClr val="tx1"/>
              </a:solidFill>
            </a:rPr>
            <a:t>Monthly Report </a:t>
          </a:r>
        </a:p>
      </xdr:txBody>
    </xdr:sp>
    <xdr:clientData/>
  </xdr:twoCellAnchor>
  <xdr:twoCellAnchor>
    <xdr:from>
      <xdr:col>5</xdr:col>
      <xdr:colOff>571500</xdr:colOff>
      <xdr:row>0</xdr:row>
      <xdr:rowOff>145676</xdr:rowOff>
    </xdr:from>
    <xdr:to>
      <xdr:col>7</xdr:col>
      <xdr:colOff>874059</xdr:colOff>
      <xdr:row>2</xdr:row>
      <xdr:rowOff>56029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5FAEAA3-9FB8-4FB7-ACF3-04EFFAB69CB2}"/>
            </a:ext>
          </a:extLst>
        </xdr:cNvPr>
        <xdr:cNvSpPr txBox="1"/>
      </xdr:nvSpPr>
      <xdr:spPr>
        <a:xfrm>
          <a:off x="3619500" y="145676"/>
          <a:ext cx="1531284" cy="31040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From</a:t>
          </a:r>
        </a:p>
      </xdr:txBody>
    </xdr:sp>
    <xdr:clientData/>
  </xdr:twoCellAnchor>
  <xdr:twoCellAnchor>
    <xdr:from>
      <xdr:col>7</xdr:col>
      <xdr:colOff>885265</xdr:colOff>
      <xdr:row>0</xdr:row>
      <xdr:rowOff>145676</xdr:rowOff>
    </xdr:from>
    <xdr:to>
      <xdr:col>8</xdr:col>
      <xdr:colOff>593911</xdr:colOff>
      <xdr:row>2</xdr:row>
      <xdr:rowOff>56029</xdr:rowOff>
    </xdr:to>
    <xdr:sp macro="" textlink="$H$6">
      <xdr:nvSpPr>
        <xdr:cNvPr id="18" name="TextBox 17">
          <a:extLst>
            <a:ext uri="{FF2B5EF4-FFF2-40B4-BE49-F238E27FC236}">
              <a16:creationId xmlns:a16="http://schemas.microsoft.com/office/drawing/2014/main" id="{EC2185B3-4489-4A58-8A0A-DD64FEBA6605}"/>
            </a:ext>
          </a:extLst>
        </xdr:cNvPr>
        <xdr:cNvSpPr txBox="1"/>
      </xdr:nvSpPr>
      <xdr:spPr>
        <a:xfrm>
          <a:off x="5161990" y="145676"/>
          <a:ext cx="1499346" cy="310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4FAE0827-8A19-483B-A3A8-823BC530720B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1-Nov-25</a:t>
          </a:fld>
          <a:endParaRPr lang="en-US" sz="1600" b="1"/>
        </a:p>
      </xdr:txBody>
    </xdr:sp>
    <xdr:clientData/>
  </xdr:twoCellAnchor>
  <xdr:twoCellAnchor>
    <xdr:from>
      <xdr:col>13</xdr:col>
      <xdr:colOff>410135</xdr:colOff>
      <xdr:row>0</xdr:row>
      <xdr:rowOff>118782</xdr:rowOff>
    </xdr:from>
    <xdr:to>
      <xdr:col>16</xdr:col>
      <xdr:colOff>85165</xdr:colOff>
      <xdr:row>2</xdr:row>
      <xdr:rowOff>29135</xdr:rowOff>
    </xdr:to>
    <xdr:sp macro="" textlink="$M$6">
      <xdr:nvSpPr>
        <xdr:cNvPr id="19" name="TextBox 18">
          <a:extLst>
            <a:ext uri="{FF2B5EF4-FFF2-40B4-BE49-F238E27FC236}">
              <a16:creationId xmlns:a16="http://schemas.microsoft.com/office/drawing/2014/main" id="{060191D2-0F5C-46DF-9E2B-B58785FFFAB0}"/>
            </a:ext>
          </a:extLst>
        </xdr:cNvPr>
        <xdr:cNvSpPr txBox="1"/>
      </xdr:nvSpPr>
      <xdr:spPr>
        <a:xfrm>
          <a:off x="10906685" y="118782"/>
          <a:ext cx="1532405" cy="310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CF0DC84-B8FC-49E0-B45A-C37B36E5F7EF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30-Nov-25</a:t>
          </a:fld>
          <a:endParaRPr lang="en-US" sz="1600" b="1"/>
        </a:p>
      </xdr:txBody>
    </xdr:sp>
    <xdr:clientData/>
  </xdr:twoCellAnchor>
  <xdr:twoCellAnchor>
    <xdr:from>
      <xdr:col>11</xdr:col>
      <xdr:colOff>392206</xdr:colOff>
      <xdr:row>0</xdr:row>
      <xdr:rowOff>118782</xdr:rowOff>
    </xdr:from>
    <xdr:to>
      <xdr:col>13</xdr:col>
      <xdr:colOff>403410</xdr:colOff>
      <xdr:row>2</xdr:row>
      <xdr:rowOff>29135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056187F-1BB2-4D18-9B14-6608BA027FF7}"/>
            </a:ext>
          </a:extLst>
        </xdr:cNvPr>
        <xdr:cNvSpPr txBox="1"/>
      </xdr:nvSpPr>
      <xdr:spPr>
        <a:xfrm>
          <a:off x="9355231" y="118782"/>
          <a:ext cx="1544729" cy="31040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To</a:t>
          </a:r>
        </a:p>
      </xdr:txBody>
    </xdr:sp>
    <xdr:clientData/>
  </xdr:twoCellAnchor>
  <xdr:twoCellAnchor>
    <xdr:from>
      <xdr:col>16</xdr:col>
      <xdr:colOff>326571</xdr:colOff>
      <xdr:row>0</xdr:row>
      <xdr:rowOff>136071</xdr:rowOff>
    </xdr:from>
    <xdr:to>
      <xdr:col>28</xdr:col>
      <xdr:colOff>598714</xdr:colOff>
      <xdr:row>2</xdr:row>
      <xdr:rowOff>40822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CDD5563-E9D3-45B6-BCD8-D1C79A9C73DE}"/>
            </a:ext>
          </a:extLst>
        </xdr:cNvPr>
        <xdr:cNvSpPr/>
      </xdr:nvSpPr>
      <xdr:spPr>
        <a:xfrm>
          <a:off x="12680496" y="136071"/>
          <a:ext cx="7701643" cy="30480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340180</xdr:colOff>
      <xdr:row>0</xdr:row>
      <xdr:rowOff>180975</xdr:rowOff>
    </xdr:from>
    <xdr:to>
      <xdr:col>25</xdr:col>
      <xdr:colOff>190501</xdr:colOff>
      <xdr:row>2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88E84DA-AF44-4DE6-B1F2-0CC3C5C4BCD2}"/>
            </a:ext>
          </a:extLst>
        </xdr:cNvPr>
        <xdr:cNvSpPr txBox="1"/>
      </xdr:nvSpPr>
      <xdr:spPr>
        <a:xfrm>
          <a:off x="12694105" y="180975"/>
          <a:ext cx="5422446" cy="2286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/>
            <a:t>Dashboard</a:t>
          </a:r>
          <a:r>
            <a:rPr lang="en-US" sz="2400" b="1" baseline="0"/>
            <a:t> for the month of </a:t>
          </a:r>
          <a:endParaRPr lang="en-US" sz="2400" b="1"/>
        </a:p>
      </xdr:txBody>
    </xdr:sp>
    <xdr:clientData/>
  </xdr:twoCellAnchor>
  <xdr:twoCellAnchor editAs="oneCell">
    <xdr:from>
      <xdr:col>27</xdr:col>
      <xdr:colOff>590340</xdr:colOff>
      <xdr:row>0</xdr:row>
      <xdr:rowOff>131884</xdr:rowOff>
    </xdr:from>
    <xdr:to>
      <xdr:col>29</xdr:col>
      <xdr:colOff>1231</xdr:colOff>
      <xdr:row>2</xdr:row>
      <xdr:rowOff>92319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9D4DD1AB-2EA5-4BC6-804F-54B1D331F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9754640" y="131884"/>
          <a:ext cx="649141" cy="341435"/>
        </a:xfrm>
        <a:prstGeom prst="rect">
          <a:avLst/>
        </a:prstGeom>
      </xdr:spPr>
    </xdr:pic>
    <xdr:clientData/>
  </xdr:twoCellAnchor>
  <xdr:twoCellAnchor>
    <xdr:from>
      <xdr:col>23</xdr:col>
      <xdr:colOff>600075</xdr:colOff>
      <xdr:row>0</xdr:row>
      <xdr:rowOff>142875</xdr:rowOff>
    </xdr:from>
    <xdr:to>
      <xdr:col>26</xdr:col>
      <xdr:colOff>542925</xdr:colOff>
      <xdr:row>2</xdr:row>
      <xdr:rowOff>19050</xdr:rowOff>
    </xdr:to>
    <xdr:sp macro="" textlink="$J$6">
      <xdr:nvSpPr>
        <xdr:cNvPr id="24" name="TextBox 23">
          <a:extLst>
            <a:ext uri="{FF2B5EF4-FFF2-40B4-BE49-F238E27FC236}">
              <a16:creationId xmlns:a16="http://schemas.microsoft.com/office/drawing/2014/main" id="{5AD7056B-D88C-4B25-9064-431467D11087}"/>
            </a:ext>
          </a:extLst>
        </xdr:cNvPr>
        <xdr:cNvSpPr txBox="1"/>
      </xdr:nvSpPr>
      <xdr:spPr>
        <a:xfrm>
          <a:off x="17287875" y="142875"/>
          <a:ext cx="1800225" cy="276225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C2C24BA-C070-4B66-A11F-4012E2591220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November</a:t>
          </a:fld>
          <a:endParaRPr lang="en-US" sz="1600" b="1"/>
        </a:p>
      </xdr:txBody>
    </xdr:sp>
    <xdr:clientData/>
  </xdr:twoCellAnchor>
  <xdr:twoCellAnchor>
    <xdr:from>
      <xdr:col>30</xdr:col>
      <xdr:colOff>59121</xdr:colOff>
      <xdr:row>0</xdr:row>
      <xdr:rowOff>111673</xdr:rowOff>
    </xdr:from>
    <xdr:to>
      <xdr:col>30</xdr:col>
      <xdr:colOff>407277</xdr:colOff>
      <xdr:row>2</xdr:row>
      <xdr:rowOff>39415</xdr:rowOff>
    </xdr:to>
    <xdr:sp macro="" textlink="">
      <xdr:nvSpPr>
        <xdr:cNvPr id="25" name="Flowchart: Or 24">
          <a:extLst>
            <a:ext uri="{FF2B5EF4-FFF2-40B4-BE49-F238E27FC236}">
              <a16:creationId xmlns:a16="http://schemas.microsoft.com/office/drawing/2014/main" id="{2F23D88D-43A4-4F87-851D-4B6B017A6C1D}"/>
            </a:ext>
          </a:extLst>
        </xdr:cNvPr>
        <xdr:cNvSpPr/>
      </xdr:nvSpPr>
      <xdr:spPr>
        <a:xfrm>
          <a:off x="21080796" y="111673"/>
          <a:ext cx="348156" cy="327792"/>
        </a:xfrm>
        <a:prstGeom prst="flowChartOr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420413</xdr:colOff>
      <xdr:row>0</xdr:row>
      <xdr:rowOff>91966</xdr:rowOff>
    </xdr:from>
    <xdr:to>
      <xdr:col>32</xdr:col>
      <xdr:colOff>170793</xdr:colOff>
      <xdr:row>2</xdr:row>
      <xdr:rowOff>78827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0C48C1C-BB85-4C12-AE73-F815BD7AF9DE}"/>
            </a:ext>
          </a:extLst>
        </xdr:cNvPr>
        <xdr:cNvSpPr/>
      </xdr:nvSpPr>
      <xdr:spPr>
        <a:xfrm>
          <a:off x="21442088" y="91966"/>
          <a:ext cx="988630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Present</a:t>
          </a:r>
        </a:p>
      </xdr:txBody>
    </xdr:sp>
    <xdr:clientData/>
  </xdr:twoCellAnchor>
  <xdr:twoCellAnchor>
    <xdr:from>
      <xdr:col>32</xdr:col>
      <xdr:colOff>441436</xdr:colOff>
      <xdr:row>0</xdr:row>
      <xdr:rowOff>126124</xdr:rowOff>
    </xdr:from>
    <xdr:to>
      <xdr:col>33</xdr:col>
      <xdr:colOff>172109</xdr:colOff>
      <xdr:row>2</xdr:row>
      <xdr:rowOff>53866</xdr:rowOff>
    </xdr:to>
    <xdr:sp macro="" textlink="">
      <xdr:nvSpPr>
        <xdr:cNvPr id="27" name="Flowchart: Or 26">
          <a:extLst>
            <a:ext uri="{FF2B5EF4-FFF2-40B4-BE49-F238E27FC236}">
              <a16:creationId xmlns:a16="http://schemas.microsoft.com/office/drawing/2014/main" id="{09C01651-2573-47F4-AE40-10CF740ED9F4}"/>
            </a:ext>
          </a:extLst>
        </xdr:cNvPr>
        <xdr:cNvSpPr/>
      </xdr:nvSpPr>
      <xdr:spPr>
        <a:xfrm>
          <a:off x="22701361" y="126124"/>
          <a:ext cx="349798" cy="327792"/>
        </a:xfrm>
        <a:prstGeom prst="flowChar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185245</xdr:colOff>
      <xdr:row>0</xdr:row>
      <xdr:rowOff>106417</xdr:rowOff>
    </xdr:from>
    <xdr:to>
      <xdr:col>34</xdr:col>
      <xdr:colOff>553107</xdr:colOff>
      <xdr:row>2</xdr:row>
      <xdr:rowOff>93278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81CDBCD-58DF-4E9B-8F93-04C70D127CD6}"/>
            </a:ext>
          </a:extLst>
        </xdr:cNvPr>
        <xdr:cNvSpPr/>
      </xdr:nvSpPr>
      <xdr:spPr>
        <a:xfrm>
          <a:off x="23064295" y="106417"/>
          <a:ext cx="986987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Absent</a:t>
          </a:r>
        </a:p>
      </xdr:txBody>
    </xdr:sp>
    <xdr:clientData/>
  </xdr:twoCellAnchor>
  <xdr:twoCellAnchor>
    <xdr:from>
      <xdr:col>35</xdr:col>
      <xdr:colOff>173421</xdr:colOff>
      <xdr:row>0</xdr:row>
      <xdr:rowOff>114299</xdr:rowOff>
    </xdr:from>
    <xdr:to>
      <xdr:col>35</xdr:col>
      <xdr:colOff>521577</xdr:colOff>
      <xdr:row>2</xdr:row>
      <xdr:rowOff>42041</xdr:rowOff>
    </xdr:to>
    <xdr:sp macro="" textlink="">
      <xdr:nvSpPr>
        <xdr:cNvPr id="29" name="Flowchart: Or 28">
          <a:extLst>
            <a:ext uri="{FF2B5EF4-FFF2-40B4-BE49-F238E27FC236}">
              <a16:creationId xmlns:a16="http://schemas.microsoft.com/office/drawing/2014/main" id="{6B748363-A5A7-4500-B57F-25AD8EEA2EB5}"/>
            </a:ext>
          </a:extLst>
        </xdr:cNvPr>
        <xdr:cNvSpPr/>
      </xdr:nvSpPr>
      <xdr:spPr>
        <a:xfrm>
          <a:off x="24290721" y="114299"/>
          <a:ext cx="348156" cy="327792"/>
        </a:xfrm>
        <a:prstGeom prst="flowChartOr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534713</xdr:colOff>
      <xdr:row>0</xdr:row>
      <xdr:rowOff>94592</xdr:rowOff>
    </xdr:from>
    <xdr:to>
      <xdr:col>37</xdr:col>
      <xdr:colOff>285093</xdr:colOff>
      <xdr:row>2</xdr:row>
      <xdr:rowOff>81453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38646A7E-1040-4785-A973-3157B54406F4}"/>
            </a:ext>
          </a:extLst>
        </xdr:cNvPr>
        <xdr:cNvSpPr/>
      </xdr:nvSpPr>
      <xdr:spPr>
        <a:xfrm>
          <a:off x="24652013" y="94592"/>
          <a:ext cx="988630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Leave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51636</xdr:colOff>
      <xdr:row>0</xdr:row>
      <xdr:rowOff>0</xdr:rowOff>
    </xdr:from>
    <xdr:to>
      <xdr:col>42</xdr:col>
      <xdr:colOff>0</xdr:colOff>
      <xdr:row>2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636FA65-D3E8-41E0-BAB6-01B1E4113B29}"/>
            </a:ext>
          </a:extLst>
        </xdr:cNvPr>
        <xdr:cNvSpPr/>
      </xdr:nvSpPr>
      <xdr:spPr>
        <a:xfrm>
          <a:off x="1270836" y="0"/>
          <a:ext cx="27170814" cy="581025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</xdr:colOff>
      <xdr:row>0</xdr:row>
      <xdr:rowOff>9524</xdr:rowOff>
    </xdr:from>
    <xdr:to>
      <xdr:col>3</xdr:col>
      <xdr:colOff>571500</xdr:colOff>
      <xdr:row>75</xdr:row>
      <xdr:rowOff>103909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0B506BC-FE77-4DEA-8BCE-CA26AF334DA2}"/>
            </a:ext>
          </a:extLst>
        </xdr:cNvPr>
        <xdr:cNvSpPr/>
      </xdr:nvSpPr>
      <xdr:spPr>
        <a:xfrm>
          <a:off x="9525" y="9524"/>
          <a:ext cx="2380384" cy="15680749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noFill/>
            </a:ln>
          </a:endParaRPr>
        </a:p>
      </xdr:txBody>
    </xdr:sp>
    <xdr:clientData/>
  </xdr:twoCellAnchor>
  <xdr:twoCellAnchor>
    <xdr:from>
      <xdr:col>0</xdr:col>
      <xdr:colOff>0</xdr:colOff>
      <xdr:row>1</xdr:row>
      <xdr:rowOff>98714</xdr:rowOff>
    </xdr:from>
    <xdr:to>
      <xdr:col>4</xdr:col>
      <xdr:colOff>142876</xdr:colOff>
      <xdr:row>4</xdr:row>
      <xdr:rowOff>12989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E074D5-9E79-4819-A9EE-425ADCC375C6}"/>
            </a:ext>
          </a:extLst>
        </xdr:cNvPr>
        <xdr:cNvSpPr/>
      </xdr:nvSpPr>
      <xdr:spPr>
        <a:xfrm>
          <a:off x="0" y="306532"/>
          <a:ext cx="2567421" cy="53773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January</a:t>
          </a:r>
        </a:p>
      </xdr:txBody>
    </xdr:sp>
    <xdr:clientData/>
  </xdr:twoCellAnchor>
  <xdr:twoCellAnchor>
    <xdr:from>
      <xdr:col>0</xdr:col>
      <xdr:colOff>0</xdr:colOff>
      <xdr:row>4</xdr:row>
      <xdr:rowOff>180415</xdr:rowOff>
    </xdr:from>
    <xdr:to>
      <xdr:col>4</xdr:col>
      <xdr:colOff>138392</xdr:colOff>
      <xdr:row>7</xdr:row>
      <xdr:rowOff>94690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C0921E-4209-45B6-A711-127A79D76675}"/>
            </a:ext>
          </a:extLst>
        </xdr:cNvPr>
        <xdr:cNvSpPr/>
      </xdr:nvSpPr>
      <xdr:spPr>
        <a:xfrm>
          <a:off x="0" y="980515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Feb</a:t>
          </a:r>
        </a:p>
      </xdr:txBody>
    </xdr:sp>
    <xdr:clientData/>
  </xdr:twoCellAnchor>
  <xdr:twoCellAnchor>
    <xdr:from>
      <xdr:col>0</xdr:col>
      <xdr:colOff>0</xdr:colOff>
      <xdr:row>8</xdr:row>
      <xdr:rowOff>8965</xdr:rowOff>
    </xdr:from>
    <xdr:to>
      <xdr:col>4</xdr:col>
      <xdr:colOff>142874</xdr:colOff>
      <xdr:row>10</xdr:row>
      <xdr:rowOff>113740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B60B8D-35CB-4A5C-B946-A19F740CD8DF}"/>
            </a:ext>
          </a:extLst>
        </xdr:cNvPr>
        <xdr:cNvSpPr/>
      </xdr:nvSpPr>
      <xdr:spPr>
        <a:xfrm>
          <a:off x="0" y="1609165"/>
          <a:ext cx="2581274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March</a:t>
          </a:r>
        </a:p>
      </xdr:txBody>
    </xdr:sp>
    <xdr:clientData/>
  </xdr:twoCellAnchor>
  <xdr:twoCellAnchor>
    <xdr:from>
      <xdr:col>0</xdr:col>
      <xdr:colOff>0</xdr:colOff>
      <xdr:row>11</xdr:row>
      <xdr:rowOff>75640</xdr:rowOff>
    </xdr:from>
    <xdr:to>
      <xdr:col>4</xdr:col>
      <xdr:colOff>138392</xdr:colOff>
      <xdr:row>13</xdr:row>
      <xdr:rowOff>180415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E21A94F-ACEB-4218-8EEF-E05C86121454}"/>
            </a:ext>
          </a:extLst>
        </xdr:cNvPr>
        <xdr:cNvSpPr/>
      </xdr:nvSpPr>
      <xdr:spPr>
        <a:xfrm>
          <a:off x="0" y="228544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April</a:t>
          </a:r>
        </a:p>
      </xdr:txBody>
    </xdr:sp>
    <xdr:clientData/>
  </xdr:twoCellAnchor>
  <xdr:twoCellAnchor>
    <xdr:from>
      <xdr:col>0</xdr:col>
      <xdr:colOff>0</xdr:colOff>
      <xdr:row>14</xdr:row>
      <xdr:rowOff>123265</xdr:rowOff>
    </xdr:from>
    <xdr:to>
      <xdr:col>4</xdr:col>
      <xdr:colOff>138392</xdr:colOff>
      <xdr:row>17</xdr:row>
      <xdr:rowOff>37540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7A35C5A-5DC4-438D-843F-81424E7D6498}"/>
            </a:ext>
          </a:extLst>
        </xdr:cNvPr>
        <xdr:cNvSpPr/>
      </xdr:nvSpPr>
      <xdr:spPr>
        <a:xfrm>
          <a:off x="0" y="29331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151840</xdr:rowOff>
    </xdr:from>
    <xdr:to>
      <xdr:col>4</xdr:col>
      <xdr:colOff>157442</xdr:colOff>
      <xdr:row>20</xdr:row>
      <xdr:rowOff>66115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14D27CB-3127-498F-9E85-F188551853D1}"/>
            </a:ext>
          </a:extLst>
        </xdr:cNvPr>
        <xdr:cNvSpPr/>
      </xdr:nvSpPr>
      <xdr:spPr>
        <a:xfrm>
          <a:off x="19050" y="356179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June</a:t>
          </a:r>
        </a:p>
      </xdr:txBody>
    </xdr:sp>
    <xdr:clientData/>
  </xdr:twoCellAnchor>
  <xdr:twoCellAnchor>
    <xdr:from>
      <xdr:col>0</xdr:col>
      <xdr:colOff>9525</xdr:colOff>
      <xdr:row>20</xdr:row>
      <xdr:rowOff>189940</xdr:rowOff>
    </xdr:from>
    <xdr:to>
      <xdr:col>4</xdr:col>
      <xdr:colOff>147917</xdr:colOff>
      <xdr:row>23</xdr:row>
      <xdr:rowOff>104215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55A678C-26AA-4AB3-8F44-4B44991F68BC}"/>
            </a:ext>
          </a:extLst>
        </xdr:cNvPr>
        <xdr:cNvSpPr/>
      </xdr:nvSpPr>
      <xdr:spPr>
        <a:xfrm>
          <a:off x="9525" y="4199965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July</a:t>
          </a:r>
        </a:p>
      </xdr:txBody>
    </xdr:sp>
    <xdr:clientData/>
  </xdr:twoCellAnchor>
  <xdr:twoCellAnchor>
    <xdr:from>
      <xdr:col>0</xdr:col>
      <xdr:colOff>9525</xdr:colOff>
      <xdr:row>24</xdr:row>
      <xdr:rowOff>47065</xdr:rowOff>
    </xdr:from>
    <xdr:to>
      <xdr:col>4</xdr:col>
      <xdr:colOff>147917</xdr:colOff>
      <xdr:row>26</xdr:row>
      <xdr:rowOff>151840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C68F034-CF43-4269-AD95-FCC87BBE6766}"/>
            </a:ext>
          </a:extLst>
        </xdr:cNvPr>
        <xdr:cNvSpPr/>
      </xdr:nvSpPr>
      <xdr:spPr>
        <a:xfrm>
          <a:off x="9525" y="4857190"/>
          <a:ext cx="2576792" cy="5048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August</a:t>
          </a:r>
        </a:p>
      </xdr:txBody>
    </xdr:sp>
    <xdr:clientData/>
  </xdr:twoCellAnchor>
  <xdr:twoCellAnchor>
    <xdr:from>
      <xdr:col>0</xdr:col>
      <xdr:colOff>9525</xdr:colOff>
      <xdr:row>27</xdr:row>
      <xdr:rowOff>94690</xdr:rowOff>
    </xdr:from>
    <xdr:to>
      <xdr:col>4</xdr:col>
      <xdr:colOff>147917</xdr:colOff>
      <xdr:row>30</xdr:row>
      <xdr:rowOff>8965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B6947AC-DE54-4299-90C3-5D14C0BCF83D}"/>
            </a:ext>
          </a:extLst>
        </xdr:cNvPr>
        <xdr:cNvSpPr/>
      </xdr:nvSpPr>
      <xdr:spPr>
        <a:xfrm>
          <a:off x="9525" y="5504890"/>
          <a:ext cx="2576792" cy="5238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September</a:t>
          </a:r>
        </a:p>
      </xdr:txBody>
    </xdr:sp>
    <xdr:clientData/>
  </xdr:twoCellAnchor>
  <xdr:twoCellAnchor>
    <xdr:from>
      <xdr:col>0</xdr:col>
      <xdr:colOff>19050</xdr:colOff>
      <xdr:row>30</xdr:row>
      <xdr:rowOff>113740</xdr:rowOff>
    </xdr:from>
    <xdr:to>
      <xdr:col>4</xdr:col>
      <xdr:colOff>157442</xdr:colOff>
      <xdr:row>33</xdr:row>
      <xdr:rowOff>28015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644A0A2-CEF6-48CC-AAD6-964F14AF00C9}"/>
            </a:ext>
          </a:extLst>
        </xdr:cNvPr>
        <xdr:cNvSpPr/>
      </xdr:nvSpPr>
      <xdr:spPr>
        <a:xfrm>
          <a:off x="19050" y="61335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October</a:t>
          </a:r>
        </a:p>
      </xdr:txBody>
    </xdr:sp>
    <xdr:clientData/>
  </xdr:twoCellAnchor>
  <xdr:twoCellAnchor>
    <xdr:from>
      <xdr:col>0</xdr:col>
      <xdr:colOff>9525</xdr:colOff>
      <xdr:row>33</xdr:row>
      <xdr:rowOff>161365</xdr:rowOff>
    </xdr:from>
    <xdr:to>
      <xdr:col>4</xdr:col>
      <xdr:colOff>147917</xdr:colOff>
      <xdr:row>36</xdr:row>
      <xdr:rowOff>75640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55C4FC4-B33C-42E9-9122-21AAFC00AF70}"/>
            </a:ext>
          </a:extLst>
        </xdr:cNvPr>
        <xdr:cNvSpPr/>
      </xdr:nvSpPr>
      <xdr:spPr>
        <a:xfrm>
          <a:off x="9525" y="6781240"/>
          <a:ext cx="2576792" cy="51435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November</a:t>
          </a:r>
        </a:p>
      </xdr:txBody>
    </xdr:sp>
    <xdr:clientData/>
  </xdr:twoCellAnchor>
  <xdr:twoCellAnchor>
    <xdr:from>
      <xdr:col>1</xdr:col>
      <xdr:colOff>588818</xdr:colOff>
      <xdr:row>37</xdr:row>
      <xdr:rowOff>47065</xdr:rowOff>
    </xdr:from>
    <xdr:to>
      <xdr:col>6</xdr:col>
      <xdr:colOff>121073</xdr:colOff>
      <xdr:row>39</xdr:row>
      <xdr:rowOff>151840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D6F64AB-57D8-46AD-BC9F-00750B88DA4E}"/>
            </a:ext>
          </a:extLst>
        </xdr:cNvPr>
        <xdr:cNvSpPr/>
      </xdr:nvSpPr>
      <xdr:spPr>
        <a:xfrm>
          <a:off x="1194954" y="7736338"/>
          <a:ext cx="2562937" cy="520411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2800"/>
            <a:t>December</a:t>
          </a:r>
        </a:p>
      </xdr:txBody>
    </xdr:sp>
    <xdr:clientData/>
  </xdr:twoCellAnchor>
  <xdr:twoCellAnchor>
    <xdr:from>
      <xdr:col>43</xdr:col>
      <xdr:colOff>0</xdr:colOff>
      <xdr:row>0</xdr:row>
      <xdr:rowOff>0</xdr:rowOff>
    </xdr:from>
    <xdr:to>
      <xdr:col>58</xdr:col>
      <xdr:colOff>22412</xdr:colOff>
      <xdr:row>3</xdr:row>
      <xdr:rowOff>11205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F8AB24A-22FC-4698-B95B-70F241B65234}"/>
            </a:ext>
          </a:extLst>
        </xdr:cNvPr>
        <xdr:cNvSpPr/>
      </xdr:nvSpPr>
      <xdr:spPr>
        <a:xfrm>
          <a:off x="29051250" y="0"/>
          <a:ext cx="14014637" cy="61128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ln>
                <a:noFill/>
              </a:ln>
              <a:solidFill>
                <a:schemeClr val="tx1"/>
              </a:solidFill>
            </a:rPr>
            <a:t>Monthly Report </a:t>
          </a:r>
        </a:p>
      </xdr:txBody>
    </xdr:sp>
    <xdr:clientData/>
  </xdr:twoCellAnchor>
  <xdr:twoCellAnchor>
    <xdr:from>
      <xdr:col>5</xdr:col>
      <xdr:colOff>571500</xdr:colOff>
      <xdr:row>0</xdr:row>
      <xdr:rowOff>145676</xdr:rowOff>
    </xdr:from>
    <xdr:to>
      <xdr:col>7</xdr:col>
      <xdr:colOff>874059</xdr:colOff>
      <xdr:row>2</xdr:row>
      <xdr:rowOff>56029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24343AD-F495-47AE-BECD-AE024AAE0C2B}"/>
            </a:ext>
          </a:extLst>
        </xdr:cNvPr>
        <xdr:cNvSpPr txBox="1"/>
      </xdr:nvSpPr>
      <xdr:spPr>
        <a:xfrm>
          <a:off x="3619500" y="145676"/>
          <a:ext cx="1531284" cy="31040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From</a:t>
          </a:r>
        </a:p>
      </xdr:txBody>
    </xdr:sp>
    <xdr:clientData/>
  </xdr:twoCellAnchor>
  <xdr:twoCellAnchor>
    <xdr:from>
      <xdr:col>7</xdr:col>
      <xdr:colOff>885265</xdr:colOff>
      <xdr:row>0</xdr:row>
      <xdr:rowOff>145676</xdr:rowOff>
    </xdr:from>
    <xdr:to>
      <xdr:col>8</xdr:col>
      <xdr:colOff>593911</xdr:colOff>
      <xdr:row>2</xdr:row>
      <xdr:rowOff>56029</xdr:rowOff>
    </xdr:to>
    <xdr:sp macro="" textlink="$H$6">
      <xdr:nvSpPr>
        <xdr:cNvPr id="18" name="TextBox 17">
          <a:extLst>
            <a:ext uri="{FF2B5EF4-FFF2-40B4-BE49-F238E27FC236}">
              <a16:creationId xmlns:a16="http://schemas.microsoft.com/office/drawing/2014/main" id="{CC9AB7AC-449F-41D6-8862-2DEB3D075A8E}"/>
            </a:ext>
          </a:extLst>
        </xdr:cNvPr>
        <xdr:cNvSpPr txBox="1"/>
      </xdr:nvSpPr>
      <xdr:spPr>
        <a:xfrm>
          <a:off x="5161990" y="145676"/>
          <a:ext cx="1499346" cy="310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4FAE0827-8A19-483B-A3A8-823BC530720B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1-Dec-25</a:t>
          </a:fld>
          <a:endParaRPr lang="en-US" sz="1600" b="1"/>
        </a:p>
      </xdr:txBody>
    </xdr:sp>
    <xdr:clientData/>
  </xdr:twoCellAnchor>
  <xdr:twoCellAnchor>
    <xdr:from>
      <xdr:col>13</xdr:col>
      <xdr:colOff>410135</xdr:colOff>
      <xdr:row>0</xdr:row>
      <xdr:rowOff>118782</xdr:rowOff>
    </xdr:from>
    <xdr:to>
      <xdr:col>16</xdr:col>
      <xdr:colOff>85165</xdr:colOff>
      <xdr:row>2</xdr:row>
      <xdr:rowOff>29135</xdr:rowOff>
    </xdr:to>
    <xdr:sp macro="" textlink="$M$6">
      <xdr:nvSpPr>
        <xdr:cNvPr id="19" name="TextBox 18">
          <a:extLst>
            <a:ext uri="{FF2B5EF4-FFF2-40B4-BE49-F238E27FC236}">
              <a16:creationId xmlns:a16="http://schemas.microsoft.com/office/drawing/2014/main" id="{A7417CB2-5A92-4971-B8DB-18F752897D35}"/>
            </a:ext>
          </a:extLst>
        </xdr:cNvPr>
        <xdr:cNvSpPr txBox="1"/>
      </xdr:nvSpPr>
      <xdr:spPr>
        <a:xfrm>
          <a:off x="10906685" y="118782"/>
          <a:ext cx="1532405" cy="310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CF0DC84-B8FC-49E0-B45A-C37B36E5F7EF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31-Dec-25</a:t>
          </a:fld>
          <a:endParaRPr lang="en-US" sz="1600" b="1"/>
        </a:p>
      </xdr:txBody>
    </xdr:sp>
    <xdr:clientData/>
  </xdr:twoCellAnchor>
  <xdr:twoCellAnchor>
    <xdr:from>
      <xdr:col>11</xdr:col>
      <xdr:colOff>392206</xdr:colOff>
      <xdr:row>0</xdr:row>
      <xdr:rowOff>118782</xdr:rowOff>
    </xdr:from>
    <xdr:to>
      <xdr:col>13</xdr:col>
      <xdr:colOff>403410</xdr:colOff>
      <xdr:row>2</xdr:row>
      <xdr:rowOff>29135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C60D0E3-8520-4DCE-A2CF-BE9BF1410562}"/>
            </a:ext>
          </a:extLst>
        </xdr:cNvPr>
        <xdr:cNvSpPr txBox="1"/>
      </xdr:nvSpPr>
      <xdr:spPr>
        <a:xfrm>
          <a:off x="9355231" y="118782"/>
          <a:ext cx="1544729" cy="31040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/>
            <a:t>To</a:t>
          </a:r>
        </a:p>
      </xdr:txBody>
    </xdr:sp>
    <xdr:clientData/>
  </xdr:twoCellAnchor>
  <xdr:twoCellAnchor>
    <xdr:from>
      <xdr:col>16</xdr:col>
      <xdr:colOff>326571</xdr:colOff>
      <xdr:row>0</xdr:row>
      <xdr:rowOff>136071</xdr:rowOff>
    </xdr:from>
    <xdr:to>
      <xdr:col>28</xdr:col>
      <xdr:colOff>598714</xdr:colOff>
      <xdr:row>2</xdr:row>
      <xdr:rowOff>40822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27A32BF7-51C7-4856-B815-B9CE9FB520FE}"/>
            </a:ext>
          </a:extLst>
        </xdr:cNvPr>
        <xdr:cNvSpPr/>
      </xdr:nvSpPr>
      <xdr:spPr>
        <a:xfrm>
          <a:off x="12680496" y="136071"/>
          <a:ext cx="7701643" cy="30480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340180</xdr:colOff>
      <xdr:row>0</xdr:row>
      <xdr:rowOff>180975</xdr:rowOff>
    </xdr:from>
    <xdr:to>
      <xdr:col>25</xdr:col>
      <xdr:colOff>190501</xdr:colOff>
      <xdr:row>2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ACF491-D93F-4645-8439-EE1A84491336}"/>
            </a:ext>
          </a:extLst>
        </xdr:cNvPr>
        <xdr:cNvSpPr txBox="1"/>
      </xdr:nvSpPr>
      <xdr:spPr>
        <a:xfrm>
          <a:off x="12694105" y="180975"/>
          <a:ext cx="5422446" cy="2286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/>
            <a:t>Dashboard</a:t>
          </a:r>
          <a:r>
            <a:rPr lang="en-US" sz="2400" b="1" baseline="0"/>
            <a:t> for the month of </a:t>
          </a:r>
          <a:endParaRPr lang="en-US" sz="2400" b="1"/>
        </a:p>
      </xdr:txBody>
    </xdr:sp>
    <xdr:clientData/>
  </xdr:twoCellAnchor>
  <xdr:twoCellAnchor editAs="oneCell">
    <xdr:from>
      <xdr:col>27</xdr:col>
      <xdr:colOff>590340</xdr:colOff>
      <xdr:row>0</xdr:row>
      <xdr:rowOff>131884</xdr:rowOff>
    </xdr:from>
    <xdr:to>
      <xdr:col>29</xdr:col>
      <xdr:colOff>1231</xdr:colOff>
      <xdr:row>2</xdr:row>
      <xdr:rowOff>92319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E7A14D37-BCDA-4AA1-9287-201678EA5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9754640" y="131884"/>
          <a:ext cx="649141" cy="341435"/>
        </a:xfrm>
        <a:prstGeom prst="rect">
          <a:avLst/>
        </a:prstGeom>
      </xdr:spPr>
    </xdr:pic>
    <xdr:clientData/>
  </xdr:twoCellAnchor>
  <xdr:twoCellAnchor>
    <xdr:from>
      <xdr:col>23</xdr:col>
      <xdr:colOff>600075</xdr:colOff>
      <xdr:row>0</xdr:row>
      <xdr:rowOff>142875</xdr:rowOff>
    </xdr:from>
    <xdr:to>
      <xdr:col>26</xdr:col>
      <xdr:colOff>542925</xdr:colOff>
      <xdr:row>2</xdr:row>
      <xdr:rowOff>19050</xdr:rowOff>
    </xdr:to>
    <xdr:sp macro="" textlink="$J$6">
      <xdr:nvSpPr>
        <xdr:cNvPr id="24" name="TextBox 23">
          <a:extLst>
            <a:ext uri="{FF2B5EF4-FFF2-40B4-BE49-F238E27FC236}">
              <a16:creationId xmlns:a16="http://schemas.microsoft.com/office/drawing/2014/main" id="{EC3FA779-63D7-4AA7-A141-0085BC7E167E}"/>
            </a:ext>
          </a:extLst>
        </xdr:cNvPr>
        <xdr:cNvSpPr txBox="1"/>
      </xdr:nvSpPr>
      <xdr:spPr>
        <a:xfrm>
          <a:off x="17287875" y="142875"/>
          <a:ext cx="1800225" cy="276225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C2C24BA-C070-4B66-A11F-4012E2591220}" type="TxLink">
            <a:rPr lang="en-US" sz="1600" b="1" i="0" u="none" strike="noStrike">
              <a:solidFill>
                <a:srgbClr val="000000"/>
              </a:solidFill>
              <a:latin typeface="Amasis MT Pro"/>
              <a:ea typeface="Calibri"/>
              <a:cs typeface="Calibri"/>
            </a:rPr>
            <a:pPr algn="ctr"/>
            <a:t>December</a:t>
          </a:fld>
          <a:endParaRPr lang="en-US" sz="1600" b="1"/>
        </a:p>
      </xdr:txBody>
    </xdr:sp>
    <xdr:clientData/>
  </xdr:twoCellAnchor>
  <xdr:twoCellAnchor>
    <xdr:from>
      <xdr:col>30</xdr:col>
      <xdr:colOff>59121</xdr:colOff>
      <xdr:row>0</xdr:row>
      <xdr:rowOff>111673</xdr:rowOff>
    </xdr:from>
    <xdr:to>
      <xdr:col>30</xdr:col>
      <xdr:colOff>407277</xdr:colOff>
      <xdr:row>2</xdr:row>
      <xdr:rowOff>39415</xdr:rowOff>
    </xdr:to>
    <xdr:sp macro="" textlink="">
      <xdr:nvSpPr>
        <xdr:cNvPr id="25" name="Flowchart: Or 24">
          <a:extLst>
            <a:ext uri="{FF2B5EF4-FFF2-40B4-BE49-F238E27FC236}">
              <a16:creationId xmlns:a16="http://schemas.microsoft.com/office/drawing/2014/main" id="{57BEB4FE-2A0E-4106-866B-15EEDC0BA096}"/>
            </a:ext>
          </a:extLst>
        </xdr:cNvPr>
        <xdr:cNvSpPr/>
      </xdr:nvSpPr>
      <xdr:spPr>
        <a:xfrm>
          <a:off x="21080796" y="111673"/>
          <a:ext cx="348156" cy="327792"/>
        </a:xfrm>
        <a:prstGeom prst="flowChartOr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420413</xdr:colOff>
      <xdr:row>0</xdr:row>
      <xdr:rowOff>91966</xdr:rowOff>
    </xdr:from>
    <xdr:to>
      <xdr:col>32</xdr:col>
      <xdr:colOff>170793</xdr:colOff>
      <xdr:row>2</xdr:row>
      <xdr:rowOff>78827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CEC77D7A-40A3-4DAB-B4A8-453D016E3D96}"/>
            </a:ext>
          </a:extLst>
        </xdr:cNvPr>
        <xdr:cNvSpPr/>
      </xdr:nvSpPr>
      <xdr:spPr>
        <a:xfrm>
          <a:off x="21442088" y="91966"/>
          <a:ext cx="988630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Present</a:t>
          </a:r>
        </a:p>
      </xdr:txBody>
    </xdr:sp>
    <xdr:clientData/>
  </xdr:twoCellAnchor>
  <xdr:twoCellAnchor>
    <xdr:from>
      <xdr:col>32</xdr:col>
      <xdr:colOff>441436</xdr:colOff>
      <xdr:row>0</xdr:row>
      <xdr:rowOff>126124</xdr:rowOff>
    </xdr:from>
    <xdr:to>
      <xdr:col>33</xdr:col>
      <xdr:colOff>172109</xdr:colOff>
      <xdr:row>2</xdr:row>
      <xdr:rowOff>53866</xdr:rowOff>
    </xdr:to>
    <xdr:sp macro="" textlink="">
      <xdr:nvSpPr>
        <xdr:cNvPr id="27" name="Flowchart: Or 26">
          <a:extLst>
            <a:ext uri="{FF2B5EF4-FFF2-40B4-BE49-F238E27FC236}">
              <a16:creationId xmlns:a16="http://schemas.microsoft.com/office/drawing/2014/main" id="{364AA01D-2175-4F38-8641-0AB884E0AACC}"/>
            </a:ext>
          </a:extLst>
        </xdr:cNvPr>
        <xdr:cNvSpPr/>
      </xdr:nvSpPr>
      <xdr:spPr>
        <a:xfrm>
          <a:off x="22701361" y="126124"/>
          <a:ext cx="349798" cy="327792"/>
        </a:xfrm>
        <a:prstGeom prst="flowChar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185245</xdr:colOff>
      <xdr:row>0</xdr:row>
      <xdr:rowOff>106417</xdr:rowOff>
    </xdr:from>
    <xdr:to>
      <xdr:col>34</xdr:col>
      <xdr:colOff>553107</xdr:colOff>
      <xdr:row>2</xdr:row>
      <xdr:rowOff>93278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352DDC6-6B2B-4926-9B47-2D22ED16C73F}"/>
            </a:ext>
          </a:extLst>
        </xdr:cNvPr>
        <xdr:cNvSpPr/>
      </xdr:nvSpPr>
      <xdr:spPr>
        <a:xfrm>
          <a:off x="23064295" y="106417"/>
          <a:ext cx="986987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Absent</a:t>
          </a:r>
        </a:p>
      </xdr:txBody>
    </xdr:sp>
    <xdr:clientData/>
  </xdr:twoCellAnchor>
  <xdr:twoCellAnchor>
    <xdr:from>
      <xdr:col>35</xdr:col>
      <xdr:colOff>173421</xdr:colOff>
      <xdr:row>0</xdr:row>
      <xdr:rowOff>114299</xdr:rowOff>
    </xdr:from>
    <xdr:to>
      <xdr:col>35</xdr:col>
      <xdr:colOff>521577</xdr:colOff>
      <xdr:row>2</xdr:row>
      <xdr:rowOff>42041</xdr:rowOff>
    </xdr:to>
    <xdr:sp macro="" textlink="">
      <xdr:nvSpPr>
        <xdr:cNvPr id="29" name="Flowchart: Or 28">
          <a:extLst>
            <a:ext uri="{FF2B5EF4-FFF2-40B4-BE49-F238E27FC236}">
              <a16:creationId xmlns:a16="http://schemas.microsoft.com/office/drawing/2014/main" id="{9B405FFF-85BB-4856-8775-0543C8830CD5}"/>
            </a:ext>
          </a:extLst>
        </xdr:cNvPr>
        <xdr:cNvSpPr/>
      </xdr:nvSpPr>
      <xdr:spPr>
        <a:xfrm>
          <a:off x="24290721" y="114299"/>
          <a:ext cx="348156" cy="327792"/>
        </a:xfrm>
        <a:prstGeom prst="flowChartOr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534713</xdr:colOff>
      <xdr:row>0</xdr:row>
      <xdr:rowOff>94592</xdr:rowOff>
    </xdr:from>
    <xdr:to>
      <xdr:col>37</xdr:col>
      <xdr:colOff>285093</xdr:colOff>
      <xdr:row>2</xdr:row>
      <xdr:rowOff>81453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CEF7B5C-0733-41AA-B801-4C7D10491A1F}"/>
            </a:ext>
          </a:extLst>
        </xdr:cNvPr>
        <xdr:cNvSpPr/>
      </xdr:nvSpPr>
      <xdr:spPr>
        <a:xfrm>
          <a:off x="24652013" y="94592"/>
          <a:ext cx="988630" cy="38691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Leave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E5B919-3199-493D-BFA9-3E7A619069B8}" name="Janreport" displayName="Janreport" ref="AR9:BF29" totalsRowShown="0" headerRowDxfId="383" dataDxfId="382" tableBorderDxfId="381">
  <autoFilter ref="AR9:BF29" xr:uid="{19E5B919-3199-493D-BFA9-3E7A619069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BF889715-0B37-4EF4-AAD8-501293A48C86}" name="S No" dataDxfId="380"/>
    <tableColumn id="2" xr3:uid="{0AA43010-2F0C-4992-84D4-479DAD554C24}" name="Name" dataDxfId="379"/>
    <tableColumn id="15" xr3:uid="{CA8A5E0A-CE30-4ACA-B554-F0DF77302663}" name="Month" dataDxfId="378">
      <calculatedColumnFormula>$J$6</calculatedColumnFormula>
    </tableColumn>
    <tableColumn id="3" xr3:uid="{EA589D9E-A4D7-4E48-8C14-A1AB74C15847}" name="Employee ID" dataDxfId="377"/>
    <tableColumn id="4" xr3:uid="{FEAFF6CC-0C3E-47F3-8B9A-488E27F0D214}" name="Present" dataDxfId="376">
      <calculatedColumnFormula>COUNTIF($K10:$AO10,"P")</calculatedColumnFormula>
    </tableColumn>
    <tableColumn id="5" xr3:uid="{D782D3CD-E47E-44FD-8179-D9EDEFE9B634}" name="Absent" dataDxfId="375">
      <calculatedColumnFormula>COUNTIF($K10:$AO10,"A")</calculatedColumnFormula>
    </tableColumn>
    <tableColumn id="6" xr3:uid="{11682AEE-2ADE-434D-B71A-3534E5339130}" name="Leave" dataDxfId="374">
      <calculatedColumnFormula>COUNTIF($K10:$AO10,"L")</calculatedColumnFormula>
    </tableColumn>
    <tableColumn id="7" xr3:uid="{4855AB17-8B2A-4B02-A897-625A64DA19C0}" name="Weekoff" dataDxfId="373">
      <calculatedColumnFormula>$J$10</calculatedColumnFormula>
    </tableColumn>
    <tableColumn id="8" xr3:uid="{D6CFAE4F-D8A4-442B-9191-2BC33E8D4500}" name="Days" dataDxfId="372">
      <calculatedColumnFormula>$I$6</calculatedColumnFormula>
    </tableColumn>
    <tableColumn id="9" xr3:uid="{3509F34C-4F4B-4B18-A8A3-8200926EE6FA}" name="Paid days" dataDxfId="371">
      <calculatedColumnFormula>Janreport[[#This Row],[Days]]-Janreport[[#This Row],[Absent]]</calculatedColumnFormula>
    </tableColumn>
    <tableColumn id="10" xr3:uid="{8403C91E-BBD7-42FF-880D-41BAC0E07713}" name="Salary " dataDxfId="370"/>
    <tableColumn id="11" xr3:uid="{E4DE463A-558E-479E-A4EB-2629E2489CDA}" name="Per Day Salary " dataDxfId="369">
      <calculatedColumnFormula>Janreport[[#This Row],[Salary ]]/Janreport[[#This Row],[Days]]</calculatedColumnFormula>
    </tableColumn>
    <tableColumn id="12" xr3:uid="{95D6D88E-45E0-4E37-A4B4-3D45CBE80ECC}" name="Deduction" dataDxfId="368">
      <calculatedColumnFormula>Janreport[[#This Row],[Per Day Salary ]]*Janreport[[#This Row],[Absent]]</calculatedColumnFormula>
    </tableColumn>
    <tableColumn id="13" xr3:uid="{7A4FF1FF-114B-4FB9-927B-D105DA4CA85C}" name="Total Salary" dataDxfId="367">
      <calculatedColumnFormula>Janreport[[#This Row],[Salary ]]-Janreport[[#This Row],[Deduction]]</calculatedColumnFormula>
    </tableColumn>
    <tableColumn id="14" xr3:uid="{A14C05AC-4A24-49BF-94D7-92CD0045C414}" name="Sparkline" dataDxfId="366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1D3AE6-817A-481F-9530-7E6220B93AB2}" name="FebReport" displayName="FebReport" ref="AR9:BF29" totalsRowShown="0" headerRowDxfId="365" dataDxfId="364" tableBorderDxfId="363">
  <autoFilter ref="AR9:BF29" xr:uid="{001D3AE6-817A-481F-9530-7E6220B93AB2}"/>
  <tableColumns count="15">
    <tableColumn id="1" xr3:uid="{2AE177BA-12A4-4F04-9506-71F057740AE3}" name="S No" dataDxfId="362"/>
    <tableColumn id="2" xr3:uid="{348B2089-E491-49DE-881A-A1BEC5D48591}" name="Name" dataDxfId="361"/>
    <tableColumn id="15" xr3:uid="{A3B37552-6203-43F3-83F7-2592DFF25BDC}" name="Month" dataDxfId="360">
      <calculatedColumnFormula>$J$6</calculatedColumnFormula>
    </tableColumn>
    <tableColumn id="3" xr3:uid="{7BAFA93B-67D5-4FAE-B036-FA38B3218809}" name="Employee ID" dataDxfId="359"/>
    <tableColumn id="4" xr3:uid="{EB6146CE-B01D-459F-835C-75E10F7DEC0D}" name="Present" dataDxfId="358">
      <calculatedColumnFormula>COUNTIF($K10:$AO10,"P")</calculatedColumnFormula>
    </tableColumn>
    <tableColumn id="5" xr3:uid="{D70134A0-CC26-4232-9A2A-045A20080FF1}" name="Absent" dataDxfId="357">
      <calculatedColumnFormula>COUNTIF($K10:$AO10,"A")</calculatedColumnFormula>
    </tableColumn>
    <tableColumn id="6" xr3:uid="{003B1AC5-8D9C-4421-A5CC-D98CB6CC7D6A}" name="Leave" dataDxfId="356">
      <calculatedColumnFormula>COUNTIF($K10:$AO10,"L")</calculatedColumnFormula>
    </tableColumn>
    <tableColumn id="7" xr3:uid="{660A27AF-7B7B-4504-B5D0-9EF769AD46DF}" name="Weekoff" dataDxfId="355">
      <calculatedColumnFormula>$J$10</calculatedColumnFormula>
    </tableColumn>
    <tableColumn id="8" xr3:uid="{31406834-90AD-447E-A1E3-ACC1CFD16837}" name="Days" dataDxfId="354">
      <calculatedColumnFormula>$I$6</calculatedColumnFormula>
    </tableColumn>
    <tableColumn id="9" xr3:uid="{49C2888F-330D-41D1-8602-468819CE9DE3}" name="Paid days" dataDxfId="353">
      <calculatedColumnFormula>FebReport[[#This Row],[Days]]-FebReport[[#This Row],[Absent]]</calculatedColumnFormula>
    </tableColumn>
    <tableColumn id="10" xr3:uid="{A96866F6-25A0-46C4-B367-3BA46DE76611}" name="Salary " dataDxfId="352"/>
    <tableColumn id="11" xr3:uid="{55118DD3-45E9-4EFC-B6BB-C3FC6D1D41F0}" name="Per Day Salary " dataDxfId="351">
      <calculatedColumnFormula>FebReport[[#This Row],[Salary ]]/FebReport[[#This Row],[Days]]</calculatedColumnFormula>
    </tableColumn>
    <tableColumn id="12" xr3:uid="{73A60651-CE74-48B2-8902-BB7E79B2ED2C}" name="Deduction" dataDxfId="350">
      <calculatedColumnFormula>FebReport[[#This Row],[Per Day Salary ]]*FebReport[[#This Row],[Absent]]</calculatedColumnFormula>
    </tableColumn>
    <tableColumn id="13" xr3:uid="{E3238459-CB32-484E-93E5-BAA060EBFF9A}" name="Total Salary" dataDxfId="349">
      <calculatedColumnFormula>FebReport[[#This Row],[Salary ]]-FebReport[[#This Row],[Deduction]]</calculatedColumnFormula>
    </tableColumn>
    <tableColumn id="14" xr3:uid="{BF38B2EE-2374-4E9A-9C66-2DF120A281D1}" name="Sparkline" dataDxfId="348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E4D45A-7ADF-46FA-BB10-71B06CDF314C}" name="MarchReport" displayName="MarchReport" ref="AR9:BF29" totalsRowShown="0" headerRowDxfId="347" dataDxfId="346" tableBorderDxfId="345">
  <tableColumns count="15">
    <tableColumn id="1" xr3:uid="{1767B1E4-4D17-4C97-8064-8C1BA91346A4}" name="S No" dataDxfId="344"/>
    <tableColumn id="2" xr3:uid="{5F23B5FE-5865-4A90-9BFD-A61696EE428B}" name="Name" dataDxfId="343"/>
    <tableColumn id="15" xr3:uid="{BFE508D4-AEE6-48B1-886C-3E4368E0B54D}" name="Month" dataDxfId="342">
      <calculatedColumnFormula>$J$6</calculatedColumnFormula>
    </tableColumn>
    <tableColumn id="3" xr3:uid="{5D6C8E02-6B67-40AF-B2D1-67BE0FFC2B05}" name="Employee ID" dataDxfId="341"/>
    <tableColumn id="4" xr3:uid="{D9D34458-7DF3-4F0E-A7FB-92A2411331ED}" name="Present" dataDxfId="340">
      <calculatedColumnFormula>COUNTIF($K10:$AO10,"P")</calculatedColumnFormula>
    </tableColumn>
    <tableColumn id="5" xr3:uid="{EA9ADA4D-F44A-41EF-A9B7-D63E08CBC63B}" name="Absent" dataDxfId="339">
      <calculatedColumnFormula>COUNTIF($K10:$AO10,"A")</calculatedColumnFormula>
    </tableColumn>
    <tableColumn id="6" xr3:uid="{63152830-8167-4155-A0EB-5A4B29D5DA63}" name="Leave" dataDxfId="338">
      <calculatedColumnFormula>COUNTIF($K10:$AO10,"L")</calculatedColumnFormula>
    </tableColumn>
    <tableColumn id="7" xr3:uid="{FAF69025-CED1-4304-A26E-5FB6CB44AAD9}" name="Weekoff" dataDxfId="337">
      <calculatedColumnFormula>$J$10</calculatedColumnFormula>
    </tableColumn>
    <tableColumn id="8" xr3:uid="{B6D2F212-5E2C-4225-9829-6DFFA383387F}" name="Days" dataDxfId="336">
      <calculatedColumnFormula>$I$6</calculatedColumnFormula>
    </tableColumn>
    <tableColumn id="9" xr3:uid="{10BBC188-C11C-4828-91F7-42608859FC92}" name="Paid days" dataDxfId="335">
      <calculatedColumnFormula>MarchReport[[#This Row],[Days]]-MarchReport[[#This Row],[Absent]]</calculatedColumnFormula>
    </tableColumn>
    <tableColumn id="10" xr3:uid="{4445474C-F850-476A-A7F0-AEC724C25234}" name="Salary " dataDxfId="334"/>
    <tableColumn id="11" xr3:uid="{B5371DB8-7812-444E-A665-94397D706E7C}" name="Per Day Salary " dataDxfId="333">
      <calculatedColumnFormula>MarchReport[[#This Row],[Salary ]]/MarchReport[[#This Row],[Days]]</calculatedColumnFormula>
    </tableColumn>
    <tableColumn id="12" xr3:uid="{7820AB21-2288-4EFD-A295-774703096F95}" name="Deduction" dataDxfId="332">
      <calculatedColumnFormula>MarchReport[[#This Row],[Per Day Salary ]]*MarchReport[[#This Row],[Absent]]</calculatedColumnFormula>
    </tableColumn>
    <tableColumn id="13" xr3:uid="{DD35DCCE-EFD7-4A28-9AF0-D08E2F009D47}" name="Total Salary" dataDxfId="331">
      <calculatedColumnFormula>MarchReport[[#This Row],[Salary ]]-MarchReport[[#This Row],[Deduction]]</calculatedColumnFormula>
    </tableColumn>
    <tableColumn id="14" xr3:uid="{B79591C2-75C4-4476-86C1-8BB7B7E95A9D}" name="Sparkline" dataDxfId="330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EDE2E4-169A-4485-A087-D31C7138F2C8}" name="AprReport" displayName="AprReport" ref="AR9:BF29" totalsRowShown="0" headerRowDxfId="329" dataDxfId="328" tableBorderDxfId="327">
  <autoFilter ref="AR9:BF29" xr:uid="{05EDE2E4-169A-4485-A087-D31C7138F2C8}"/>
  <tableColumns count="15">
    <tableColumn id="1" xr3:uid="{91B123E0-7151-4B06-A336-C717BD656BC1}" name="S No" dataDxfId="326"/>
    <tableColumn id="2" xr3:uid="{71518F30-9C06-4E88-996F-FE5399E9F0FC}" name="Name" dataDxfId="325"/>
    <tableColumn id="15" xr3:uid="{94B2CE09-D381-47EF-807F-945C8028DDBB}" name="Month" dataDxfId="324">
      <calculatedColumnFormula>$J$6</calculatedColumnFormula>
    </tableColumn>
    <tableColumn id="3" xr3:uid="{46A84CD2-EFBE-4283-9796-15011461FC32}" name="Employee ID" dataDxfId="323"/>
    <tableColumn id="4" xr3:uid="{9D9B6862-CF5A-42EF-BC48-2240B1B4778E}" name="Present" dataDxfId="322">
      <calculatedColumnFormula>COUNTIF($K10:$AO10,"P")</calculatedColumnFormula>
    </tableColumn>
    <tableColumn id="5" xr3:uid="{99D52BBF-751D-4C95-B184-5C429945BDA5}" name="Absent" dataDxfId="321">
      <calculatedColumnFormula>COUNTIF($K10:$AO10,"A")</calculatedColumnFormula>
    </tableColumn>
    <tableColumn id="6" xr3:uid="{94F72B35-654C-42A0-B0F4-7165B323C658}" name="Leave" dataDxfId="320">
      <calculatedColumnFormula>COUNTIF($K10:$AO10,"L")</calculatedColumnFormula>
    </tableColumn>
    <tableColumn id="7" xr3:uid="{8234CE23-645F-403E-841E-487DE7441FCE}" name="Weekoff" dataDxfId="319">
      <calculatedColumnFormula>$J$10</calculatedColumnFormula>
    </tableColumn>
    <tableColumn id="8" xr3:uid="{F7C071C3-A6F1-46CF-8851-7AEADC823FA4}" name="Days" dataDxfId="318">
      <calculatedColumnFormula>$I$6</calculatedColumnFormula>
    </tableColumn>
    <tableColumn id="9" xr3:uid="{4896BD23-B419-49DB-B894-F987C82C0956}" name="Paid days" dataDxfId="317">
      <calculatedColumnFormula>AprReport[[#This Row],[Days]]-AprReport[[#This Row],[Absent]]</calculatedColumnFormula>
    </tableColumn>
    <tableColumn id="10" xr3:uid="{8AE126EA-3C66-46C8-8C65-A02C41246960}" name="Salary " dataDxfId="316"/>
    <tableColumn id="11" xr3:uid="{91C5B8D7-F459-4638-8662-7BF9CC0D10A7}" name="Per Day Salary " dataDxfId="315">
      <calculatedColumnFormula>AprReport[[#This Row],[Salary ]]/AprReport[[#This Row],[Days]]</calculatedColumnFormula>
    </tableColumn>
    <tableColumn id="12" xr3:uid="{67FC29FC-6360-42E4-82BB-E99E5F616126}" name="Deduction" dataDxfId="314">
      <calculatedColumnFormula>AprReport[[#This Row],[Per Day Salary ]]*AprReport[[#This Row],[Absent]]</calculatedColumnFormula>
    </tableColumn>
    <tableColumn id="13" xr3:uid="{63953876-BFE8-4AA9-863F-169787F7B738}" name="Total Salary" dataDxfId="313">
      <calculatedColumnFormula>AprReport[[#This Row],[Salary ]]-AprReport[[#This Row],[Deduction]]</calculatedColumnFormula>
    </tableColumn>
    <tableColumn id="14" xr3:uid="{9EA2D9FA-EE52-4F87-9D94-3F5D15FE5C50}" name="Sparkline" dataDxfId="312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668CA9-F6E9-48EC-8A87-28BAEF989A12}" name="MayReport" displayName="MayReport" ref="AR9:BF29" totalsRowShown="0" headerRowDxfId="311" dataDxfId="310" tableBorderDxfId="309">
  <tableColumns count="15">
    <tableColumn id="1" xr3:uid="{00675667-7AEE-4C62-89B8-EAA4C54D0C83}" name="S No" dataDxfId="308"/>
    <tableColumn id="2" xr3:uid="{EF72B3E9-AA63-46BE-A7AA-F4EE545ABC30}" name="Name" dataDxfId="307"/>
    <tableColumn id="15" xr3:uid="{B0A8EB22-E7F6-467E-B658-70EDEC35ABBC}" name="Month" dataDxfId="306">
      <calculatedColumnFormula>$J$6</calculatedColumnFormula>
    </tableColumn>
    <tableColumn id="3" xr3:uid="{FDFABEE0-4A75-4F5D-A8F6-443C0095DBC5}" name="Employee ID" dataDxfId="305"/>
    <tableColumn id="4" xr3:uid="{C7A74C91-3060-4BB3-960C-81AE6CD7C850}" name="Present" dataDxfId="304">
      <calculatedColumnFormula>COUNTIF($K10:$AO10,"P")</calculatedColumnFormula>
    </tableColumn>
    <tableColumn id="5" xr3:uid="{7E4BE73A-22C6-496B-A8CA-01FB056BD3A2}" name="Absent" dataDxfId="303">
      <calculatedColumnFormula>COUNTIF($K10:$AO10,"A")</calculatedColumnFormula>
    </tableColumn>
    <tableColumn id="6" xr3:uid="{842AC0DF-CE07-4FA7-9151-4C36844CA484}" name="Leave" dataDxfId="302">
      <calculatedColumnFormula>COUNTIF($K10:$AO10,"L")</calculatedColumnFormula>
    </tableColumn>
    <tableColumn id="7" xr3:uid="{DE3AF273-8B42-4155-8F43-A74EFDA392B9}" name="Weekoff" dataDxfId="301">
      <calculatedColumnFormula>$J$10</calculatedColumnFormula>
    </tableColumn>
    <tableColumn id="8" xr3:uid="{FE377A64-60B7-498B-99D8-E4FF6AF31ACD}" name="Days" dataDxfId="300">
      <calculatedColumnFormula>$I$6</calculatedColumnFormula>
    </tableColumn>
    <tableColumn id="9" xr3:uid="{AFB158F4-B53E-4EDA-BE44-44F3D9798A1B}" name="Paid days" dataDxfId="299">
      <calculatedColumnFormula>MayReport[[#This Row],[Days]]-MayReport[[#This Row],[Absent]]</calculatedColumnFormula>
    </tableColumn>
    <tableColumn id="10" xr3:uid="{DC5AA633-3A01-42BA-B48B-7BC38FD2847E}" name="Salary " dataDxfId="298"/>
    <tableColumn id="11" xr3:uid="{4DBAEBE3-7689-4D27-B5CA-AADC2F23DF4C}" name="Per Day Salary " dataDxfId="297">
      <calculatedColumnFormula>MayReport[[#This Row],[Salary ]]/MayReport[[#This Row],[Days]]</calculatedColumnFormula>
    </tableColumn>
    <tableColumn id="12" xr3:uid="{A6B54C22-C67D-46D3-A6A0-DBBE1130996A}" name="Deduction" dataDxfId="296">
      <calculatedColumnFormula>MayReport[[#This Row],[Per Day Salary ]]*MayReport[[#This Row],[Absent]]</calculatedColumnFormula>
    </tableColumn>
    <tableColumn id="13" xr3:uid="{834615C0-B442-4E40-A178-D58BBD1AAF05}" name="Total Salary" dataDxfId="295">
      <calculatedColumnFormula>MayReport[[#This Row],[Salary ]]-MayReport[[#This Row],[Deduction]]</calculatedColumnFormula>
    </tableColumn>
    <tableColumn id="14" xr3:uid="{33A6651D-69B5-4B61-93E6-BBC7F5148BD2}" name="Sparkline" dataDxfId="294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92C9AC-4522-4C58-A2A8-3C392561783F}" name="JunReport" displayName="JunReport" ref="AR9:BF29" totalsRowShown="0" headerRowDxfId="293" dataDxfId="292" tableBorderDxfId="291">
  <autoFilter ref="AR9:BF29" xr:uid="{5492C9AC-4522-4C58-A2A8-3C392561783F}"/>
  <tableColumns count="15">
    <tableColumn id="1" xr3:uid="{4CD93828-818A-4BB8-972F-9A7453D32AE1}" name="S No" dataDxfId="290"/>
    <tableColumn id="2" xr3:uid="{772AAE8A-B743-44F7-A451-CBD12A011744}" name="Name" dataDxfId="289"/>
    <tableColumn id="15" xr3:uid="{26125994-5BD2-4BAC-8AC9-C5728E3992DA}" name="Month" dataDxfId="288">
      <calculatedColumnFormula>$J$6</calculatedColumnFormula>
    </tableColumn>
    <tableColumn id="3" xr3:uid="{9F4CE56C-EA00-499C-AAAA-16F16B0120B4}" name="Employee ID" dataDxfId="287"/>
    <tableColumn id="4" xr3:uid="{5D82DBEC-7225-4A57-AE78-D1AECEE81A26}" name="Present" dataDxfId="286">
      <calculatedColumnFormula>COUNTIF($K10:$AO10,"P")</calculatedColumnFormula>
    </tableColumn>
    <tableColumn id="5" xr3:uid="{7432C9F1-B118-44E3-AD4F-16E44E6E716E}" name="Absent" dataDxfId="285">
      <calculatedColumnFormula>COUNTIF($K10:$AO10,"A")</calculatedColumnFormula>
    </tableColumn>
    <tableColumn id="6" xr3:uid="{18E62D54-71B9-4562-B9C0-5B1E1E73832D}" name="Leave" dataDxfId="284">
      <calculatedColumnFormula>COUNTIF($K10:$AO10,"L")</calculatedColumnFormula>
    </tableColumn>
    <tableColumn id="7" xr3:uid="{954D4224-C9F6-49E7-A02C-0CDA0C4AEE84}" name="Weekoff" dataDxfId="283">
      <calculatedColumnFormula>$J$10</calculatedColumnFormula>
    </tableColumn>
    <tableColumn id="8" xr3:uid="{B4A55886-1CFF-42B3-95DC-476AA3AAE61E}" name="Days" dataDxfId="282">
      <calculatedColumnFormula>$I$6</calculatedColumnFormula>
    </tableColumn>
    <tableColumn id="9" xr3:uid="{4A015B70-7BC2-4324-80DF-CE54081D8EE8}" name="Paid days" dataDxfId="281">
      <calculatedColumnFormula>JunReport[[#This Row],[Days]]-JunReport[[#This Row],[Absent]]</calculatedColumnFormula>
    </tableColumn>
    <tableColumn id="10" xr3:uid="{109D589C-72A8-44CD-924F-FE45FDA40D4B}" name="Salary " dataDxfId="280"/>
    <tableColumn id="11" xr3:uid="{5FFAC508-326A-4962-A06E-BDAD0814769D}" name="Per Day Salary " dataDxfId="279">
      <calculatedColumnFormula>JunReport[[#This Row],[Salary ]]/JunReport[[#This Row],[Days]]</calculatedColumnFormula>
    </tableColumn>
    <tableColumn id="12" xr3:uid="{FB21AF38-8559-4397-BC95-495502961215}" name="Deduction" dataDxfId="278">
      <calculatedColumnFormula>JunReport[[#This Row],[Per Day Salary ]]*JunReport[[#This Row],[Absent]]</calculatedColumnFormula>
    </tableColumn>
    <tableColumn id="13" xr3:uid="{3DC29A6A-9F01-4F19-9A9F-F650C1671AD0}" name="Total Salary" dataDxfId="277">
      <calculatedColumnFormula>JunReport[[#This Row],[Salary ]]-JunReport[[#This Row],[Deduction]]</calculatedColumnFormula>
    </tableColumn>
    <tableColumn id="14" xr3:uid="{C69E58C0-5AAC-4F57-B874-89F0F5F5F875}" name="Sparkline" dataDxfId="276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06CE28-8F4D-42E8-BFD3-13E99BD9DCE4}" name="JulReport" displayName="JulReport" ref="AR9:BF29" totalsRowShown="0" headerRowDxfId="275" dataDxfId="274" tableBorderDxfId="273">
  <autoFilter ref="AR9:BF29" xr:uid="{7606CE28-8F4D-42E8-BFD3-13E99BD9DCE4}"/>
  <tableColumns count="15">
    <tableColumn id="1" xr3:uid="{59F26B4C-BC3D-4EE8-95B2-E0B1F2369FA9}" name="S No" dataDxfId="272"/>
    <tableColumn id="2" xr3:uid="{6A0AB3B4-5D56-4C12-9D7C-F9B9F5E8EEBD}" name="Name" dataDxfId="271"/>
    <tableColumn id="15" xr3:uid="{DE6C5333-CB87-45D8-8659-8153453700E9}" name="Month" dataDxfId="270">
      <calculatedColumnFormula>$J$6</calculatedColumnFormula>
    </tableColumn>
    <tableColumn id="3" xr3:uid="{06BB9186-5F22-4A46-A6F8-639F4639F1EC}" name="Employee ID" dataDxfId="269"/>
    <tableColumn id="4" xr3:uid="{C6D95C17-3D9C-424F-BCC3-58DC827FC8D6}" name="Present" dataDxfId="268">
      <calculatedColumnFormula>COUNTIF($K10:$AO10,"P")</calculatedColumnFormula>
    </tableColumn>
    <tableColumn id="5" xr3:uid="{10A20098-4905-4B41-A459-9A3F8B84EE9D}" name="Absent" dataDxfId="267">
      <calculatedColumnFormula>COUNTIF($K10:$AO10,"A")</calculatedColumnFormula>
    </tableColumn>
    <tableColumn id="6" xr3:uid="{74117CE3-C23C-4169-B580-DDA6A0AE4E9F}" name="Leave" dataDxfId="266">
      <calculatedColumnFormula>COUNTIF($K10:$AO10,"L")</calculatedColumnFormula>
    </tableColumn>
    <tableColumn id="7" xr3:uid="{443D38D9-19D8-487A-9676-1EEAB3423DF3}" name="Weekoff" dataDxfId="265">
      <calculatedColumnFormula>$J$10</calculatedColumnFormula>
    </tableColumn>
    <tableColumn id="8" xr3:uid="{BCC4C1B5-6D5D-4033-B36D-7B4CBD3510DA}" name="Days" dataDxfId="264">
      <calculatedColumnFormula>$I$6</calculatedColumnFormula>
    </tableColumn>
    <tableColumn id="9" xr3:uid="{A16798AE-5175-4D16-A27B-5E714D80E301}" name="Paid days" dataDxfId="263">
      <calculatedColumnFormula>JulReport[[#This Row],[Days]]-JulReport[[#This Row],[Absent]]</calculatedColumnFormula>
    </tableColumn>
    <tableColumn id="10" xr3:uid="{B5568F85-9D15-4BB1-95F5-B85A6B82B684}" name="Salary " dataDxfId="262"/>
    <tableColumn id="11" xr3:uid="{F9526CBF-877B-4DE9-AA7D-E2E3AEF19073}" name="Per Day Salary " dataDxfId="261">
      <calculatedColumnFormula>JulReport[[#This Row],[Salary ]]/JulReport[[#This Row],[Days]]</calculatedColumnFormula>
    </tableColumn>
    <tableColumn id="12" xr3:uid="{20BEE401-3837-4006-892E-6C43297AD620}" name="Deduction" dataDxfId="260">
      <calculatedColumnFormula>JulReport[[#This Row],[Per Day Salary ]]*JulReport[[#This Row],[Absent]]</calculatedColumnFormula>
    </tableColumn>
    <tableColumn id="13" xr3:uid="{61D319D1-B4D8-498A-84E6-F926213E7E96}" name="Total Salary" dataDxfId="259">
      <calculatedColumnFormula>JulReport[[#This Row],[Salary ]]-JulReport[[#This Row],[Deduction]]</calculatedColumnFormula>
    </tableColumn>
    <tableColumn id="14" xr3:uid="{BF9C6614-C8E9-4341-A78D-767B766F1DF4}" name="Sparkline" dataDxfId="258"/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C1BDFA9-68FA-4348-847E-D9A888F9C9EA}" name="AugReport" displayName="AugReport" ref="AR9:BF29" totalsRowShown="0" headerRowDxfId="257" dataDxfId="256" tableBorderDxfId="255">
  <autoFilter ref="AR9:BF29" xr:uid="{0C1BDFA9-68FA-4348-847E-D9A888F9C9EA}"/>
  <tableColumns count="15">
    <tableColumn id="1" xr3:uid="{012F582B-7A74-4D42-A017-E8FF6BA4BFCD}" name="S No" dataDxfId="254"/>
    <tableColumn id="2" xr3:uid="{A7A80CEC-3278-4F3C-BDA4-90AC9BCF1C3F}" name="Name" dataDxfId="253"/>
    <tableColumn id="15" xr3:uid="{2074AE1B-249A-4E7E-B611-5E3DA7CD94F0}" name="Month" dataDxfId="252">
      <calculatedColumnFormula>$J$6</calculatedColumnFormula>
    </tableColumn>
    <tableColumn id="3" xr3:uid="{95E6F728-2705-40B0-8C22-E7C374E419A5}" name="Employee ID" dataDxfId="251"/>
    <tableColumn id="4" xr3:uid="{6154BAF2-D15E-41CC-8192-3D3C7EB2E83C}" name="Present" dataDxfId="250">
      <calculatedColumnFormula>COUNTIF($K10:$AO10,"P")</calculatedColumnFormula>
    </tableColumn>
    <tableColumn id="5" xr3:uid="{CF0A5983-CE1A-4CE4-BD04-CF458F3072E3}" name="Absent" dataDxfId="249">
      <calculatedColumnFormula>COUNTIF($K10:$AO10,"A")</calculatedColumnFormula>
    </tableColumn>
    <tableColumn id="6" xr3:uid="{79D605FD-237B-4C35-B10A-37E68E9C826D}" name="Leave" dataDxfId="248">
      <calculatedColumnFormula>COUNTIF($K10:$AO10,"L")</calculatedColumnFormula>
    </tableColumn>
    <tableColumn id="7" xr3:uid="{36DCCB98-79A9-4216-9220-67B21AE38241}" name="Weekoff" dataDxfId="247">
      <calculatedColumnFormula>$J$10</calculatedColumnFormula>
    </tableColumn>
    <tableColumn id="8" xr3:uid="{2076311C-40A4-428A-9F63-BF1F5A5080B0}" name="Days" dataDxfId="246">
      <calculatedColumnFormula>$I$6</calculatedColumnFormula>
    </tableColumn>
    <tableColumn id="9" xr3:uid="{518DC220-D1C7-48BD-8965-3E0E4BD2007C}" name="Paid days" dataDxfId="245">
      <calculatedColumnFormula>AugReport[[#This Row],[Days]]-AugReport[[#This Row],[Absent]]</calculatedColumnFormula>
    </tableColumn>
    <tableColumn id="10" xr3:uid="{A5506BE6-09D1-4601-B0DC-791460E4E783}" name="Salary " dataDxfId="244"/>
    <tableColumn id="11" xr3:uid="{EB52C846-8EC8-4BC5-8ECE-16B1412511E0}" name="Per Day Salary " dataDxfId="243">
      <calculatedColumnFormula>AugReport[[#This Row],[Salary ]]/AugReport[[#This Row],[Days]]</calculatedColumnFormula>
    </tableColumn>
    <tableColumn id="12" xr3:uid="{B3A1551F-4567-4894-8602-16AD68DC3252}" name="Deduction" dataDxfId="242">
      <calculatedColumnFormula>AugReport[[#This Row],[Per Day Salary ]]*AugReport[[#This Row],[Absent]]</calculatedColumnFormula>
    </tableColumn>
    <tableColumn id="13" xr3:uid="{866470F3-A817-45E8-B731-76F8C30A0E51}" name="Total Salary" dataDxfId="241">
      <calculatedColumnFormula>AugReport[[#This Row],[Salary ]]-AugReport[[#This Row],[Deduction]]</calculatedColumnFormula>
    </tableColumn>
    <tableColumn id="14" xr3:uid="{0C4F874B-445D-46B0-879C-A5EC783B6931}" name="Sparkline" dataDxfId="240"/>
  </tableColumns>
  <tableStyleInfo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63D1F27-F98A-4E92-B2A3-DF360FE5A328}" name="SepReport" displayName="SepReport" ref="AR9:BF29" totalsRowShown="0" headerRowDxfId="239" dataDxfId="238" tableBorderDxfId="237">
  <autoFilter ref="AR9:BF29" xr:uid="{D63D1F27-F98A-4E92-B2A3-DF360FE5A328}"/>
  <tableColumns count="15">
    <tableColumn id="1" xr3:uid="{901985EB-7907-469C-9802-27FCA4956D80}" name="S No" dataDxfId="236"/>
    <tableColumn id="2" xr3:uid="{62E04ECB-8FB4-4C75-8D1F-D9777D8DF210}" name="Name" dataDxfId="235"/>
    <tableColumn id="15" xr3:uid="{12FB7E0F-D2A5-440E-B22E-714C564EF08B}" name="Month" dataDxfId="234">
      <calculatedColumnFormula>$J$6</calculatedColumnFormula>
    </tableColumn>
    <tableColumn id="3" xr3:uid="{FBF74CB1-A587-4E2D-9DED-49B850CC5A8B}" name="Employee ID" dataDxfId="233"/>
    <tableColumn id="4" xr3:uid="{F0E0BE89-58CA-477B-9538-B4DF1C15013F}" name="Present" dataDxfId="232">
      <calculatedColumnFormula>COUNTIF($K10:$AO10,"P")</calculatedColumnFormula>
    </tableColumn>
    <tableColumn id="5" xr3:uid="{4873F6A4-F95B-424C-B461-CF65B6DBE3B2}" name="Absent" dataDxfId="231">
      <calculatedColumnFormula>COUNTIF($K10:$AO10,"A")</calculatedColumnFormula>
    </tableColumn>
    <tableColumn id="6" xr3:uid="{961D8588-FEF8-4A1F-86BA-205F01595EC1}" name="Leave" dataDxfId="230">
      <calculatedColumnFormula>COUNTIF($K10:$AO10,"L")</calculatedColumnFormula>
    </tableColumn>
    <tableColumn id="7" xr3:uid="{FE2EBD20-223C-443A-9BAC-52D7B5FFD6AD}" name="Weekoff" dataDxfId="229">
      <calculatedColumnFormula>$J$10</calculatedColumnFormula>
    </tableColumn>
    <tableColumn id="8" xr3:uid="{CA631377-3138-4C21-84B4-EAA54F10AF78}" name="Days" dataDxfId="228">
      <calculatedColumnFormula>$I$6</calculatedColumnFormula>
    </tableColumn>
    <tableColumn id="9" xr3:uid="{0D010E64-2F26-4EEE-8481-DDFDA5F2F407}" name="Paid days" dataDxfId="227">
      <calculatedColumnFormula>SepReport[[#This Row],[Days]]-SepReport[[#This Row],[Absent]]</calculatedColumnFormula>
    </tableColumn>
    <tableColumn id="10" xr3:uid="{B48E4212-C469-49F9-8B3D-51D374AA11EB}" name="Salary " dataDxfId="226"/>
    <tableColumn id="11" xr3:uid="{91EE45E1-2C34-49B8-A6B4-FF8D155C8C40}" name="Per Day Salary " dataDxfId="225">
      <calculatedColumnFormula>SepReport[[#This Row],[Salary ]]/SepReport[[#This Row],[Days]]</calculatedColumnFormula>
    </tableColumn>
    <tableColumn id="12" xr3:uid="{B76BE5AE-8A5B-463C-BA96-EFBF786C32B1}" name="Deduction" dataDxfId="224">
      <calculatedColumnFormula>SepReport[[#This Row],[Per Day Salary ]]*SepReport[[#This Row],[Absent]]</calculatedColumnFormula>
    </tableColumn>
    <tableColumn id="13" xr3:uid="{ACA59CED-6954-4BBE-9B98-8A260735087C}" name="Total Salary" dataDxfId="223">
      <calculatedColumnFormula>SepReport[[#This Row],[Salary ]]-SepReport[[#This Row],[Deduction]]</calculatedColumnFormula>
    </tableColumn>
    <tableColumn id="14" xr3:uid="{25E04707-81DF-4DED-95C0-2130FFF53792}" name="Sparkline" dataDxfId="222"/>
  </tableColumns>
  <tableStyleInfo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0DA6E5C-0A1D-447C-AFDC-6F3BFB3847B3}" name="OctReport" displayName="OctReport" ref="AR9:BF29" totalsRowShown="0" headerRowDxfId="221" dataDxfId="220" tableBorderDxfId="219">
  <autoFilter ref="AR9:BF29" xr:uid="{40DA6E5C-0A1D-447C-AFDC-6F3BFB3847B3}"/>
  <tableColumns count="15">
    <tableColumn id="1" xr3:uid="{0921DE4B-9BD4-49AB-8888-678F32F93D0C}" name="S No" dataDxfId="218"/>
    <tableColumn id="2" xr3:uid="{7B11923B-4F65-41A3-8CC2-76ED53826848}" name="Name" dataDxfId="217"/>
    <tableColumn id="15" xr3:uid="{EC45C169-3C72-4FCB-A2D8-2D01E38F2BC5}" name="Month" dataDxfId="216">
      <calculatedColumnFormula>$J$6</calculatedColumnFormula>
    </tableColumn>
    <tableColumn id="3" xr3:uid="{0C78CF71-B61E-440F-8194-2ABE619DA957}" name="Employee ID" dataDxfId="215"/>
    <tableColumn id="4" xr3:uid="{DBB5FC32-7AA6-491F-993C-CBBDA1EC6E78}" name="Present" dataDxfId="214">
      <calculatedColumnFormula>COUNTIF($K10:$AO10,"P")</calculatedColumnFormula>
    </tableColumn>
    <tableColumn id="5" xr3:uid="{3C180060-DAA6-4D6C-B018-27F3677EBFDD}" name="Absent" dataDxfId="213">
      <calculatedColumnFormula>COUNTIF($K10:$AO10,"A")</calculatedColumnFormula>
    </tableColumn>
    <tableColumn id="6" xr3:uid="{3952C937-3902-4331-85BF-D2B4EFFBCAA6}" name="Leave" dataDxfId="212">
      <calculatedColumnFormula>COUNTIF($K10:$AO10,"L")</calculatedColumnFormula>
    </tableColumn>
    <tableColumn id="7" xr3:uid="{AB7EAD24-748E-4BB4-8E3F-FE9AC8E95C6F}" name="Weekoff" dataDxfId="211">
      <calculatedColumnFormula>$J$10</calculatedColumnFormula>
    </tableColumn>
    <tableColumn id="8" xr3:uid="{528C5B89-A784-44D9-8F91-60DF5F85944B}" name="Days" dataDxfId="210">
      <calculatedColumnFormula>$I$6</calculatedColumnFormula>
    </tableColumn>
    <tableColumn id="9" xr3:uid="{9A1FE2A3-8D15-4B14-807B-DB8C559E25CD}" name="Paid days" dataDxfId="209">
      <calculatedColumnFormula>OctReport[[#This Row],[Days]]-OctReport[[#This Row],[Absent]]</calculatedColumnFormula>
    </tableColumn>
    <tableColumn id="10" xr3:uid="{286E4543-1CA4-4265-BCA8-08091E2BC9E8}" name="Salary " dataDxfId="208"/>
    <tableColumn id="11" xr3:uid="{9F97AA5F-9A04-4FBD-A81C-B918D91DD812}" name="Per Day Salary " dataDxfId="207">
      <calculatedColumnFormula>OctReport[[#This Row],[Salary ]]/OctReport[[#This Row],[Days]]</calculatedColumnFormula>
    </tableColumn>
    <tableColumn id="12" xr3:uid="{44082B44-966A-49B9-BBF9-DBCA090D2EDB}" name="Deduction" dataDxfId="206">
      <calculatedColumnFormula>OctReport[[#This Row],[Per Day Salary ]]*OctReport[[#This Row],[Absent]]</calculatedColumnFormula>
    </tableColumn>
    <tableColumn id="13" xr3:uid="{F35B32A5-BB87-4147-A6A9-A733C4B83929}" name="Total Salary" dataDxfId="205">
      <calculatedColumnFormula>OctReport[[#This Row],[Salary ]]-OctReport[[#This Row],[Deduction]]</calculatedColumnFormula>
    </tableColumn>
    <tableColumn id="14" xr3:uid="{AF5D3B45-34BA-49EA-863D-1B1FD2FBC5E7}" name="Sparkline" dataDxfId="204"/>
  </tableColumns>
  <tableStyleInfo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4813B92-97E0-4146-9F83-F2A8FA0C06BB}" name="NovReport" displayName="NovReport" ref="AR9:BF29" totalsRowShown="0" headerRowDxfId="203" dataDxfId="202" tableBorderDxfId="201">
  <autoFilter ref="AR9:BF29" xr:uid="{04813B92-97E0-4146-9F83-F2A8FA0C06BB}"/>
  <tableColumns count="15">
    <tableColumn id="1" xr3:uid="{04F2B299-746D-47F8-9A3F-419BF8D477CB}" name="S No" dataDxfId="200"/>
    <tableColumn id="2" xr3:uid="{80B76CA5-3F91-49EC-9F4E-F2773FF690BC}" name="Name" dataDxfId="199"/>
    <tableColumn id="15" xr3:uid="{3356170C-AEED-4386-AD6F-438F25118B47}" name="Month" dataDxfId="198">
      <calculatedColumnFormula>$J$6</calculatedColumnFormula>
    </tableColumn>
    <tableColumn id="3" xr3:uid="{05BEDC65-171C-4F58-8B94-A187CD258A43}" name="Employee ID" dataDxfId="197"/>
    <tableColumn id="4" xr3:uid="{EC839D96-DEB2-44C4-BB4A-E4974FA30D25}" name="Present" dataDxfId="196">
      <calculatedColumnFormula>COUNTIF($K10:$AO10,"P")</calculatedColumnFormula>
    </tableColumn>
    <tableColumn id="5" xr3:uid="{6B39FECD-CE00-4851-987A-B3AB1C8E8F34}" name="Absent" dataDxfId="195">
      <calculatedColumnFormula>COUNTIF($K10:$AO10,"A")</calculatedColumnFormula>
    </tableColumn>
    <tableColumn id="6" xr3:uid="{C945EDDB-CBA0-4C7F-A10D-BC882540F405}" name="Leave" dataDxfId="194">
      <calculatedColumnFormula>COUNTIF($K10:$AO10,"L")</calculatedColumnFormula>
    </tableColumn>
    <tableColumn id="7" xr3:uid="{32AA37DB-FE10-4321-ABDD-6D648F4277B9}" name="Weekoff" dataDxfId="193">
      <calculatedColumnFormula>$J$10</calculatedColumnFormula>
    </tableColumn>
    <tableColumn id="8" xr3:uid="{04CD8E6D-D6EF-4FC8-A71E-F333851FB728}" name="Days" dataDxfId="192">
      <calculatedColumnFormula>$I$6</calculatedColumnFormula>
    </tableColumn>
    <tableColumn id="9" xr3:uid="{BB66CDC5-0D6D-4CB9-BAC0-3CD502BFC39E}" name="Paid days" dataDxfId="191">
      <calculatedColumnFormula>NovReport[[#This Row],[Days]]-NovReport[[#This Row],[Absent]]</calculatedColumnFormula>
    </tableColumn>
    <tableColumn id="10" xr3:uid="{1516C51B-C639-46AB-8B98-52BD9017DB10}" name="Salary " dataDxfId="190"/>
    <tableColumn id="11" xr3:uid="{532E7BB4-C0E0-4B7F-9593-C6DEC3275D7F}" name="Per Day Salary " dataDxfId="189">
      <calculatedColumnFormula>NovReport[[#This Row],[Salary ]]/NovReport[[#This Row],[Days]]</calculatedColumnFormula>
    </tableColumn>
    <tableColumn id="12" xr3:uid="{0045EFCE-A410-42C9-909F-06AF033D8E90}" name="Deduction" dataDxfId="188">
      <calculatedColumnFormula>NovReport[[#This Row],[Per Day Salary ]]*NovReport[[#This Row],[Absent]]</calculatedColumnFormula>
    </tableColumn>
    <tableColumn id="13" xr3:uid="{E8FDE0FE-C96A-47AB-B268-5D3E870CD28B}" name="Total Salary" dataDxfId="187">
      <calculatedColumnFormula>NovReport[[#This Row],[Salary ]]-NovReport[[#This Row],[Deduction]]</calculatedColumnFormula>
    </tableColumn>
    <tableColumn id="14" xr3:uid="{C18DC97C-5ECB-47E6-B057-BFBA55FBB348}" name="Sparkline" dataDxfId="186"/>
  </tableColumns>
  <tableStyleInfo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EC51764-6F1F-4557-8073-7355847F7C40}" name="DecReport" displayName="DecReport" ref="AR9:BF29" totalsRowShown="0" headerRowDxfId="185" dataDxfId="184" tableBorderDxfId="183">
  <autoFilter ref="AR9:BF29" xr:uid="{5EC51764-6F1F-4557-8073-7355847F7C40}"/>
  <tableColumns count="15">
    <tableColumn id="1" xr3:uid="{1BF92E93-8B54-48D8-B261-A0E5C8A41774}" name="S No" dataDxfId="182"/>
    <tableColumn id="2" xr3:uid="{3555E770-A1E8-48AB-AA65-5A8C6D7936D5}" name="Name" dataDxfId="181"/>
    <tableColumn id="15" xr3:uid="{F91EC198-FA0A-4D71-A2FB-40367AF51D06}" name="Month" dataDxfId="180">
      <calculatedColumnFormula>$J$6</calculatedColumnFormula>
    </tableColumn>
    <tableColumn id="3" xr3:uid="{B2F32611-D043-4D10-8D83-CA96856BBF0F}" name="Employee ID" dataDxfId="179"/>
    <tableColumn id="4" xr3:uid="{F2470274-E3DF-4B0D-94DE-9D3070102924}" name="Present" dataDxfId="178">
      <calculatedColumnFormula>COUNTIF($K10:$AO10,"P")</calculatedColumnFormula>
    </tableColumn>
    <tableColumn id="5" xr3:uid="{20F7B413-5752-45C7-BB15-A028E07717CF}" name="Absent" dataDxfId="177">
      <calculatedColumnFormula>COUNTIF($K10:$AO10,"A")</calculatedColumnFormula>
    </tableColumn>
    <tableColumn id="6" xr3:uid="{A970084E-33B8-4485-ACCC-4FC87810A61F}" name="Leave" dataDxfId="176">
      <calculatedColumnFormula>COUNTIF($K10:$AO10,"L")</calculatedColumnFormula>
    </tableColumn>
    <tableColumn id="7" xr3:uid="{DDEFC2F4-940E-4490-8671-C4B9E9CDDCE9}" name="Weekoff" dataDxfId="175">
      <calculatedColumnFormula>$J$10</calculatedColumnFormula>
    </tableColumn>
    <tableColumn id="8" xr3:uid="{A78CA11B-A1F8-42FB-A930-E540547961F9}" name="Days" dataDxfId="174">
      <calculatedColumnFormula>$I$6</calculatedColumnFormula>
    </tableColumn>
    <tableColumn id="9" xr3:uid="{4499A51C-820D-4DDF-81C8-6C569DC016F3}" name="Paid days" dataDxfId="173">
      <calculatedColumnFormula>DecReport[[#This Row],[Days]]-DecReport[[#This Row],[Absent]]</calculatedColumnFormula>
    </tableColumn>
    <tableColumn id="10" xr3:uid="{5CC2376F-4A0E-44FA-A56B-C9CA9437F127}" name="Salary " dataDxfId="172"/>
    <tableColumn id="11" xr3:uid="{9B7035BC-D889-4498-8C53-888AF52B3322}" name="Per Day Salary " dataDxfId="171">
      <calculatedColumnFormula>DecReport[[#This Row],[Salary ]]/DecReport[[#This Row],[Days]]</calculatedColumnFormula>
    </tableColumn>
    <tableColumn id="12" xr3:uid="{E5FAF04F-09C1-4FA0-A6C3-D8E7C0A346AA}" name="Deduction" dataDxfId="170">
      <calculatedColumnFormula>DecReport[[#This Row],[Per Day Salary ]]*DecReport[[#This Row],[Absent]]</calculatedColumnFormula>
    </tableColumn>
    <tableColumn id="13" xr3:uid="{AA53FE46-A9E0-4E15-8666-85B8D53855F9}" name="Total Salary" dataDxfId="169">
      <calculatedColumnFormula>DecReport[[#This Row],[Salary ]]-DecReport[[#This Row],[Deduction]]</calculatedColumnFormula>
    </tableColumn>
    <tableColumn id="14" xr3:uid="{5C4C90EB-184A-45AE-9097-69A1F7A8639D}" name="Sparkline" dataDxfId="168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C20" sqref="A1:C20"/>
    </sheetView>
  </sheetViews>
  <sheetFormatPr defaultRowHeight="15" x14ac:dyDescent="0.25"/>
  <cols>
    <col min="2" max="2" width="14.7109375" customWidth="1"/>
    <col min="3" max="3" width="12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1001</v>
      </c>
    </row>
    <row r="3" spans="1:3" x14ac:dyDescent="0.25">
      <c r="A3">
        <v>2</v>
      </c>
      <c r="B3" s="1" t="s">
        <v>4</v>
      </c>
      <c r="C3">
        <v>1002</v>
      </c>
    </row>
    <row r="4" spans="1:3" x14ac:dyDescent="0.25">
      <c r="A4">
        <v>3</v>
      </c>
      <c r="B4" t="s">
        <v>5</v>
      </c>
      <c r="C4">
        <v>1003</v>
      </c>
    </row>
    <row r="5" spans="1:3" x14ac:dyDescent="0.25">
      <c r="A5">
        <v>4</v>
      </c>
      <c r="B5" t="s">
        <v>6</v>
      </c>
      <c r="C5">
        <v>1004</v>
      </c>
    </row>
    <row r="6" spans="1:3" x14ac:dyDescent="0.25">
      <c r="A6">
        <v>5</v>
      </c>
      <c r="B6" t="s">
        <v>7</v>
      </c>
      <c r="C6">
        <v>1005</v>
      </c>
    </row>
    <row r="7" spans="1:3" x14ac:dyDescent="0.25">
      <c r="A7">
        <v>6</v>
      </c>
      <c r="B7" t="s">
        <v>8</v>
      </c>
      <c r="C7">
        <v>1006</v>
      </c>
    </row>
    <row r="8" spans="1:3" x14ac:dyDescent="0.25">
      <c r="A8">
        <v>7</v>
      </c>
      <c r="B8" t="s">
        <v>9</v>
      </c>
      <c r="C8">
        <v>1007</v>
      </c>
    </row>
    <row r="9" spans="1:3" x14ac:dyDescent="0.25">
      <c r="A9">
        <v>8</v>
      </c>
      <c r="B9" t="s">
        <v>10</v>
      </c>
      <c r="C9">
        <v>1008</v>
      </c>
    </row>
    <row r="10" spans="1:3" x14ac:dyDescent="0.25">
      <c r="A10">
        <v>9</v>
      </c>
      <c r="B10" t="s">
        <v>11</v>
      </c>
      <c r="C10">
        <v>1009</v>
      </c>
    </row>
    <row r="11" spans="1:3" x14ac:dyDescent="0.25">
      <c r="A11">
        <v>10</v>
      </c>
      <c r="B11" t="s">
        <v>3</v>
      </c>
      <c r="C11">
        <v>1010</v>
      </c>
    </row>
    <row r="12" spans="1:3" x14ac:dyDescent="0.25">
      <c r="A12">
        <v>11</v>
      </c>
      <c r="B12" s="1" t="s">
        <v>12</v>
      </c>
      <c r="C12">
        <v>1011</v>
      </c>
    </row>
    <row r="13" spans="1:3" x14ac:dyDescent="0.25">
      <c r="A13">
        <v>12</v>
      </c>
      <c r="B13" t="s">
        <v>13</v>
      </c>
      <c r="C13">
        <v>1012</v>
      </c>
    </row>
    <row r="14" spans="1:3" x14ac:dyDescent="0.25">
      <c r="A14">
        <v>13</v>
      </c>
      <c r="B14" t="s">
        <v>14</v>
      </c>
      <c r="C14">
        <v>1013</v>
      </c>
    </row>
    <row r="15" spans="1:3" x14ac:dyDescent="0.25">
      <c r="A15">
        <v>14</v>
      </c>
      <c r="B15" t="s">
        <v>15</v>
      </c>
      <c r="C15">
        <v>1014</v>
      </c>
    </row>
    <row r="16" spans="1:3" x14ac:dyDescent="0.25">
      <c r="A16">
        <v>15</v>
      </c>
      <c r="B16" t="s">
        <v>16</v>
      </c>
      <c r="C16">
        <v>1015</v>
      </c>
    </row>
    <row r="17" spans="1:3" x14ac:dyDescent="0.25">
      <c r="A17">
        <v>16</v>
      </c>
      <c r="B17" t="s">
        <v>17</v>
      </c>
      <c r="C17">
        <v>1016</v>
      </c>
    </row>
    <row r="18" spans="1:3" x14ac:dyDescent="0.25">
      <c r="A18">
        <v>17</v>
      </c>
      <c r="B18" t="s">
        <v>18</v>
      </c>
      <c r="C18">
        <v>1017</v>
      </c>
    </row>
    <row r="19" spans="1:3" x14ac:dyDescent="0.25">
      <c r="A19">
        <v>18</v>
      </c>
      <c r="B19" t="s">
        <v>41</v>
      </c>
      <c r="C19">
        <v>1018</v>
      </c>
    </row>
    <row r="20" spans="1:3" x14ac:dyDescent="0.25">
      <c r="A20">
        <v>19</v>
      </c>
      <c r="B20" t="s">
        <v>19</v>
      </c>
      <c r="C20">
        <v>1019</v>
      </c>
    </row>
    <row r="21" spans="1:3" x14ac:dyDescent="0.25">
      <c r="A21">
        <v>20</v>
      </c>
      <c r="B21" s="1" t="s">
        <v>20</v>
      </c>
      <c r="C21">
        <v>1020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F5DC5-7D6F-490D-9EA8-992C9707AFC2}">
  <dimension ref="A1:BT247"/>
  <sheetViews>
    <sheetView zoomScale="85" zoomScaleNormal="85" workbookViewId="0"/>
  </sheetViews>
  <sheetFormatPr defaultRowHeight="15.75" x14ac:dyDescent="0.25"/>
  <cols>
    <col min="1" max="4" width="9.140625" style="3"/>
    <col min="5" max="5" width="9.140625" style="22"/>
    <col min="6" max="6" width="9.140625" style="3"/>
    <col min="7" max="7" width="9.28515625" style="3" bestFit="1" customWidth="1"/>
    <col min="8" max="8" width="26.85546875" style="3" customWidth="1"/>
    <col min="9" max="9" width="15" style="3" customWidth="1"/>
    <col min="10" max="10" width="19.28515625" style="3" customWidth="1"/>
    <col min="11" max="11" width="9.140625" style="3" customWidth="1"/>
    <col min="12" max="12" width="9.28515625" style="3" bestFit="1" customWidth="1"/>
    <col min="13" max="13" width="13.7109375" style="3" customWidth="1"/>
    <col min="14" max="41" width="9.28515625" style="3" bestFit="1" customWidth="1"/>
    <col min="42" max="42" width="9.140625" style="3"/>
    <col min="43" max="43" width="9.140625" style="22"/>
    <col min="44" max="44" width="9.140625" style="3"/>
    <col min="45" max="46" width="15.42578125" style="3" customWidth="1"/>
    <col min="47" max="47" width="15.5703125" style="3" customWidth="1"/>
    <col min="48" max="48" width="10.7109375" style="3" customWidth="1"/>
    <col min="49" max="49" width="10.28515625" style="3" customWidth="1"/>
    <col min="50" max="50" width="9.140625" style="3"/>
    <col min="51" max="51" width="11.5703125" style="3" customWidth="1"/>
    <col min="52" max="52" width="9.140625" style="3"/>
    <col min="53" max="53" width="13.7109375" style="3" customWidth="1"/>
    <col min="54" max="54" width="13.5703125" style="3" customWidth="1"/>
    <col min="55" max="55" width="17.85546875" style="3" customWidth="1"/>
    <col min="56" max="56" width="15" style="3" customWidth="1"/>
    <col min="57" max="57" width="18.140625" style="3" customWidth="1"/>
    <col min="58" max="58" width="65.28515625" style="3" customWidth="1"/>
    <col min="59" max="59" width="9.140625" style="22"/>
    <col min="60" max="16384" width="9.140625" style="3"/>
  </cols>
  <sheetData>
    <row r="1" spans="1:72" x14ac:dyDescent="0.25">
      <c r="A1" s="33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</row>
    <row r="2" spans="1:72" x14ac:dyDescent="0.25"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</row>
    <row r="3" spans="1:72" x14ac:dyDescent="0.25"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</row>
    <row r="4" spans="1:72" s="22" customFormat="1" x14ac:dyDescent="0.25">
      <c r="BO4" s="30"/>
      <c r="BP4" s="30"/>
    </row>
    <row r="5" spans="1:72" s="22" customFormat="1" x14ac:dyDescent="0.25">
      <c r="BO5" s="30"/>
      <c r="BP5" s="30"/>
    </row>
    <row r="6" spans="1:72" s="22" customFormat="1" x14ac:dyDescent="0.25">
      <c r="G6" s="25" t="s">
        <v>22</v>
      </c>
      <c r="H6" s="26">
        <v>45658</v>
      </c>
      <c r="I6" s="27">
        <f>(DATEDIF($H$6,$M$6,"D"))+1</f>
        <v>31</v>
      </c>
      <c r="J6" s="25" t="str">
        <f>TEXT(H6,"MMMM")</f>
        <v>January</v>
      </c>
      <c r="K6" s="25"/>
      <c r="L6" s="25" t="s">
        <v>23</v>
      </c>
      <c r="M6" s="26">
        <f>EOMONTH(H6,0)</f>
        <v>45688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1:72" x14ac:dyDescent="0.25"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</row>
    <row r="8" spans="1:72" x14ac:dyDescent="0.25">
      <c r="F8" s="21"/>
      <c r="G8" s="5"/>
      <c r="H8" s="5" t="s">
        <v>25</v>
      </c>
      <c r="I8" s="5"/>
      <c r="J8" s="5" t="s">
        <v>26</v>
      </c>
      <c r="K8" s="5" t="str">
        <f>TEXT(K9,"DDD")</f>
        <v>Wed</v>
      </c>
      <c r="L8" s="5" t="str">
        <f t="shared" ref="L8:AO8" si="0">TEXT(L9,"DDD")</f>
        <v>Thu</v>
      </c>
      <c r="M8" s="5" t="str">
        <f t="shared" si="0"/>
        <v>Fri</v>
      </c>
      <c r="N8" s="5" t="str">
        <f t="shared" si="0"/>
        <v>Sat</v>
      </c>
      <c r="O8" s="5" t="str">
        <f t="shared" si="0"/>
        <v>Sun</v>
      </c>
      <c r="P8" s="5" t="str">
        <f t="shared" si="0"/>
        <v>Mon</v>
      </c>
      <c r="Q8" s="5" t="str">
        <f t="shared" si="0"/>
        <v>Tue</v>
      </c>
      <c r="R8" s="5" t="str">
        <f t="shared" si="0"/>
        <v>Wed</v>
      </c>
      <c r="S8" s="5" t="str">
        <f t="shared" si="0"/>
        <v>Thu</v>
      </c>
      <c r="T8" s="5" t="str">
        <f t="shared" si="0"/>
        <v>Fri</v>
      </c>
      <c r="U8" s="5" t="str">
        <f t="shared" si="0"/>
        <v>Sat</v>
      </c>
      <c r="V8" s="5" t="str">
        <f t="shared" si="0"/>
        <v>Sun</v>
      </c>
      <c r="W8" s="5" t="str">
        <f t="shared" si="0"/>
        <v>Mon</v>
      </c>
      <c r="X8" s="5" t="str">
        <f t="shared" si="0"/>
        <v>Tue</v>
      </c>
      <c r="Y8" s="5" t="str">
        <f t="shared" si="0"/>
        <v>Wed</v>
      </c>
      <c r="Z8" s="5" t="str">
        <f t="shared" si="0"/>
        <v>Thu</v>
      </c>
      <c r="AA8" s="5" t="str">
        <f t="shared" si="0"/>
        <v>Fri</v>
      </c>
      <c r="AB8" s="5" t="str">
        <f t="shared" si="0"/>
        <v>Sat</v>
      </c>
      <c r="AC8" s="5" t="str">
        <f t="shared" si="0"/>
        <v>Sun</v>
      </c>
      <c r="AD8" s="5" t="str">
        <f t="shared" si="0"/>
        <v>Mon</v>
      </c>
      <c r="AE8" s="5" t="str">
        <f t="shared" si="0"/>
        <v>Tue</v>
      </c>
      <c r="AF8" s="5" t="str">
        <f t="shared" si="0"/>
        <v>Wed</v>
      </c>
      <c r="AG8" s="5" t="str">
        <f t="shared" si="0"/>
        <v>Thu</v>
      </c>
      <c r="AH8" s="5" t="str">
        <f t="shared" si="0"/>
        <v>Fri</v>
      </c>
      <c r="AI8" s="5" t="str">
        <f t="shared" si="0"/>
        <v>Sat</v>
      </c>
      <c r="AJ8" s="5" t="str">
        <f t="shared" si="0"/>
        <v>Sun</v>
      </c>
      <c r="AK8" s="5" t="str">
        <f t="shared" si="0"/>
        <v>Mon</v>
      </c>
      <c r="AL8" s="5" t="str">
        <f t="shared" si="0"/>
        <v>Tue</v>
      </c>
      <c r="AM8" s="5" t="str">
        <f t="shared" si="0"/>
        <v>Wed</v>
      </c>
      <c r="AN8" s="5" t="str">
        <f t="shared" si="0"/>
        <v>Thu</v>
      </c>
      <c r="AO8" s="5" t="str">
        <f t="shared" si="0"/>
        <v>Fri</v>
      </c>
      <c r="AP8" s="21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</row>
    <row r="9" spans="1:72" ht="16.5" thickBot="1" x14ac:dyDescent="0.3">
      <c r="F9" s="21"/>
      <c r="G9" s="13" t="s">
        <v>0</v>
      </c>
      <c r="H9" s="13" t="s">
        <v>1</v>
      </c>
      <c r="I9" s="13" t="s">
        <v>2</v>
      </c>
      <c r="J9" s="57" t="s">
        <v>21</v>
      </c>
      <c r="K9" s="15">
        <f>H6</f>
        <v>45658</v>
      </c>
      <c r="L9" s="15">
        <f>IF(K9&lt;$M$6,K9+1,"")</f>
        <v>45659</v>
      </c>
      <c r="M9" s="15">
        <f t="shared" ref="M9:AO9" si="1">IF(L9&lt;$M$6,L9+1,"")</f>
        <v>45660</v>
      </c>
      <c r="N9" s="15">
        <f t="shared" si="1"/>
        <v>45661</v>
      </c>
      <c r="O9" s="15">
        <f t="shared" si="1"/>
        <v>45662</v>
      </c>
      <c r="P9" s="15">
        <f t="shared" si="1"/>
        <v>45663</v>
      </c>
      <c r="Q9" s="15">
        <f t="shared" si="1"/>
        <v>45664</v>
      </c>
      <c r="R9" s="15">
        <f t="shared" si="1"/>
        <v>45665</v>
      </c>
      <c r="S9" s="15">
        <f t="shared" si="1"/>
        <v>45666</v>
      </c>
      <c r="T9" s="15">
        <f t="shared" si="1"/>
        <v>45667</v>
      </c>
      <c r="U9" s="15">
        <f t="shared" si="1"/>
        <v>45668</v>
      </c>
      <c r="V9" s="15">
        <f t="shared" si="1"/>
        <v>45669</v>
      </c>
      <c r="W9" s="15">
        <f t="shared" si="1"/>
        <v>45670</v>
      </c>
      <c r="X9" s="15">
        <f t="shared" si="1"/>
        <v>45671</v>
      </c>
      <c r="Y9" s="15">
        <f t="shared" si="1"/>
        <v>45672</v>
      </c>
      <c r="Z9" s="15">
        <f t="shared" si="1"/>
        <v>45673</v>
      </c>
      <c r="AA9" s="15">
        <f t="shared" si="1"/>
        <v>45674</v>
      </c>
      <c r="AB9" s="15">
        <f t="shared" si="1"/>
        <v>45675</v>
      </c>
      <c r="AC9" s="15">
        <f t="shared" si="1"/>
        <v>45676</v>
      </c>
      <c r="AD9" s="15">
        <f t="shared" si="1"/>
        <v>45677</v>
      </c>
      <c r="AE9" s="15">
        <f t="shared" si="1"/>
        <v>45678</v>
      </c>
      <c r="AF9" s="15">
        <f t="shared" si="1"/>
        <v>45679</v>
      </c>
      <c r="AG9" s="15">
        <f t="shared" si="1"/>
        <v>45680</v>
      </c>
      <c r="AH9" s="15">
        <f t="shared" si="1"/>
        <v>45681</v>
      </c>
      <c r="AI9" s="15">
        <f t="shared" si="1"/>
        <v>45682</v>
      </c>
      <c r="AJ9" s="15">
        <f t="shared" si="1"/>
        <v>45683</v>
      </c>
      <c r="AK9" s="15">
        <f t="shared" si="1"/>
        <v>45684</v>
      </c>
      <c r="AL9" s="15">
        <f t="shared" si="1"/>
        <v>45685</v>
      </c>
      <c r="AM9" s="15">
        <f t="shared" si="1"/>
        <v>45686</v>
      </c>
      <c r="AN9" s="15">
        <f t="shared" si="1"/>
        <v>45687</v>
      </c>
      <c r="AO9" s="15">
        <f t="shared" si="1"/>
        <v>45688</v>
      </c>
      <c r="AP9" s="21"/>
      <c r="AQ9" s="24"/>
      <c r="AR9" s="18" t="s">
        <v>0</v>
      </c>
      <c r="AS9" s="18" t="s">
        <v>1</v>
      </c>
      <c r="AT9" s="18" t="s">
        <v>37</v>
      </c>
      <c r="AU9" s="18" t="s">
        <v>2</v>
      </c>
      <c r="AV9" s="18" t="s">
        <v>27</v>
      </c>
      <c r="AW9" s="18" t="s">
        <v>28</v>
      </c>
      <c r="AX9" s="18" t="s">
        <v>29</v>
      </c>
      <c r="AY9" s="18" t="s">
        <v>30</v>
      </c>
      <c r="AZ9" s="18" t="s">
        <v>26</v>
      </c>
      <c r="BA9" s="18" t="s">
        <v>31</v>
      </c>
      <c r="BB9" s="18" t="s">
        <v>32</v>
      </c>
      <c r="BC9" s="18" t="s">
        <v>33</v>
      </c>
      <c r="BD9" s="18" t="s">
        <v>34</v>
      </c>
      <c r="BE9" s="18" t="s">
        <v>35</v>
      </c>
      <c r="BF9" s="18" t="s">
        <v>36</v>
      </c>
      <c r="BG9" s="24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</row>
    <row r="10" spans="1:72" x14ac:dyDescent="0.25">
      <c r="F10" s="21"/>
      <c r="G10" s="6">
        <v>1</v>
      </c>
      <c r="H10" s="7" t="s">
        <v>3</v>
      </c>
      <c r="I10" s="7">
        <v>1001</v>
      </c>
      <c r="J10" s="47">
        <f>COUNTIF($J$8:$AO$8,"SUN")</f>
        <v>4</v>
      </c>
      <c r="K10" s="50" t="s">
        <v>39</v>
      </c>
      <c r="L10" s="52" t="s">
        <v>39</v>
      </c>
      <c r="M10" s="52" t="s">
        <v>38</v>
      </c>
      <c r="N10" s="52" t="s">
        <v>39</v>
      </c>
      <c r="O10" s="43" t="str">
        <f t="shared" ref="O10:AJ20" si="2">IF(O$8="SUN","WO","")</f>
        <v>WO</v>
      </c>
      <c r="P10" s="52" t="s">
        <v>38</v>
      </c>
      <c r="Q10" s="52" t="s">
        <v>38</v>
      </c>
      <c r="R10" s="52" t="s">
        <v>38</v>
      </c>
      <c r="S10" s="52" t="s">
        <v>40</v>
      </c>
      <c r="T10" s="52" t="s">
        <v>38</v>
      </c>
      <c r="U10" s="52" t="s">
        <v>38</v>
      </c>
      <c r="V10" s="43" t="str">
        <f t="shared" si="2"/>
        <v>WO</v>
      </c>
      <c r="W10" s="52" t="s">
        <v>38</v>
      </c>
      <c r="X10" s="52" t="s">
        <v>38</v>
      </c>
      <c r="Y10" s="52" t="s">
        <v>38</v>
      </c>
      <c r="Z10" s="52" t="s">
        <v>38</v>
      </c>
      <c r="AA10" s="52" t="s">
        <v>40</v>
      </c>
      <c r="AB10" s="52" t="s">
        <v>38</v>
      </c>
      <c r="AC10" s="43" t="str">
        <f t="shared" si="2"/>
        <v>WO</v>
      </c>
      <c r="AD10" s="52" t="s">
        <v>38</v>
      </c>
      <c r="AE10" s="52" t="s">
        <v>38</v>
      </c>
      <c r="AF10" s="52" t="s">
        <v>38</v>
      </c>
      <c r="AG10" s="52" t="s">
        <v>38</v>
      </c>
      <c r="AH10" s="52" t="s">
        <v>38</v>
      </c>
      <c r="AI10" s="52" t="s">
        <v>38</v>
      </c>
      <c r="AJ10" s="43" t="str">
        <f t="shared" si="2"/>
        <v>WO</v>
      </c>
      <c r="AK10" s="52" t="s">
        <v>38</v>
      </c>
      <c r="AL10" s="52" t="s">
        <v>38</v>
      </c>
      <c r="AM10" s="52" t="s">
        <v>38</v>
      </c>
      <c r="AN10" s="52" t="s">
        <v>38</v>
      </c>
      <c r="AO10" s="62" t="s">
        <v>38</v>
      </c>
      <c r="AP10" s="21"/>
      <c r="AQ10" s="24"/>
      <c r="AR10" s="10">
        <v>1</v>
      </c>
      <c r="AS10" s="9" t="s">
        <v>3</v>
      </c>
      <c r="AT10" s="9" t="str">
        <f t="shared" ref="AT10:AT29" si="3">$J$6</f>
        <v>January</v>
      </c>
      <c r="AU10" s="9">
        <v>1001</v>
      </c>
      <c r="AV10" s="9">
        <f t="shared" ref="AV10:AV29" si="4">COUNTIF($K10:$AO10,"P")</f>
        <v>22</v>
      </c>
      <c r="AW10" s="9">
        <f t="shared" ref="AW10:AW29" si="5">COUNTIF($K10:$AO10,"A")</f>
        <v>3</v>
      </c>
      <c r="AX10" s="9">
        <f t="shared" ref="AX10:AX29" si="6">COUNTIF($K10:$AO10,"L")</f>
        <v>2</v>
      </c>
      <c r="AY10" s="16">
        <f t="shared" ref="AY10:AY29" si="7">$J$10</f>
        <v>4</v>
      </c>
      <c r="AZ10" s="16">
        <f t="shared" ref="AZ10:AZ29" si="8">$I$6</f>
        <v>31</v>
      </c>
      <c r="BA10" s="16">
        <f>Janreport[[#This Row],[Days]]-Janreport[[#This Row],[Absent]]</f>
        <v>28</v>
      </c>
      <c r="BB10" s="19">
        <v>10000</v>
      </c>
      <c r="BC10" s="20">
        <f>Janreport[[#This Row],[Salary ]]/Janreport[[#This Row],[Days]]</f>
        <v>322.58064516129031</v>
      </c>
      <c r="BD10" s="20">
        <f>Janreport[[#This Row],[Per Day Salary ]]*Janreport[[#This Row],[Absent]]</f>
        <v>967.74193548387098</v>
      </c>
      <c r="BE10" s="20">
        <f>Janreport[[#This Row],[Salary ]]-Janreport[[#This Row],[Deduction]]</f>
        <v>9032.2580645161288</v>
      </c>
      <c r="BF10" s="20"/>
      <c r="BG10" s="24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</row>
    <row r="11" spans="1:72" x14ac:dyDescent="0.25">
      <c r="F11" s="21"/>
      <c r="G11" s="8">
        <v>2</v>
      </c>
      <c r="H11" s="9" t="s">
        <v>4</v>
      </c>
      <c r="I11" s="10">
        <v>1002</v>
      </c>
      <c r="J11" s="47">
        <f t="shared" ref="J11:J29" si="9">COUNTIF($J$8:$AO$8,"SUN")</f>
        <v>4</v>
      </c>
      <c r="K11" s="16" t="s">
        <v>38</v>
      </c>
      <c r="L11" s="16" t="s">
        <v>38</v>
      </c>
      <c r="M11" s="16" t="s">
        <v>40</v>
      </c>
      <c r="N11" s="16" t="s">
        <v>38</v>
      </c>
      <c r="O11" s="44" t="str">
        <f t="shared" ref="O11:V29" si="10">IF(O$8="SUN","WO","")</f>
        <v>WO</v>
      </c>
      <c r="P11" s="16" t="s">
        <v>38</v>
      </c>
      <c r="Q11" s="16" t="s">
        <v>38</v>
      </c>
      <c r="R11" s="16" t="s">
        <v>38</v>
      </c>
      <c r="S11" s="16" t="s">
        <v>38</v>
      </c>
      <c r="T11" s="16" t="s">
        <v>38</v>
      </c>
      <c r="U11" s="16" t="s">
        <v>38</v>
      </c>
      <c r="V11" s="44" t="str">
        <f t="shared" si="10"/>
        <v>WO</v>
      </c>
      <c r="W11" s="16" t="s">
        <v>38</v>
      </c>
      <c r="X11" s="16" t="s">
        <v>38</v>
      </c>
      <c r="Y11" s="16" t="s">
        <v>38</v>
      </c>
      <c r="Z11" s="16" t="s">
        <v>38</v>
      </c>
      <c r="AA11" s="16" t="s">
        <v>38</v>
      </c>
      <c r="AB11" s="16" t="s">
        <v>38</v>
      </c>
      <c r="AC11" s="44" t="str">
        <f t="shared" si="2"/>
        <v>WO</v>
      </c>
      <c r="AD11" s="16" t="s">
        <v>38</v>
      </c>
      <c r="AE11" s="16" t="s">
        <v>38</v>
      </c>
      <c r="AF11" s="16" t="s">
        <v>38</v>
      </c>
      <c r="AG11" s="16" t="s">
        <v>38</v>
      </c>
      <c r="AH11" s="16" t="s">
        <v>38</v>
      </c>
      <c r="AI11" s="16" t="s">
        <v>38</v>
      </c>
      <c r="AJ11" s="44" t="str">
        <f t="shared" si="2"/>
        <v>WO</v>
      </c>
      <c r="AK11" s="16" t="s">
        <v>39</v>
      </c>
      <c r="AL11" s="16" t="s">
        <v>38</v>
      </c>
      <c r="AM11" s="16" t="s">
        <v>38</v>
      </c>
      <c r="AN11" s="16" t="s">
        <v>38</v>
      </c>
      <c r="AO11" s="60" t="s">
        <v>38</v>
      </c>
      <c r="AP11" s="21"/>
      <c r="AQ11" s="24"/>
      <c r="AR11" s="10">
        <v>2</v>
      </c>
      <c r="AS11" s="9" t="s">
        <v>4</v>
      </c>
      <c r="AT11" s="9" t="str">
        <f t="shared" si="3"/>
        <v>January</v>
      </c>
      <c r="AU11" s="9">
        <v>1002</v>
      </c>
      <c r="AV11" s="9">
        <f t="shared" si="4"/>
        <v>25</v>
      </c>
      <c r="AW11" s="16">
        <f t="shared" si="5"/>
        <v>1</v>
      </c>
      <c r="AX11" s="16">
        <f t="shared" si="6"/>
        <v>1</v>
      </c>
      <c r="AY11" s="16">
        <f t="shared" si="7"/>
        <v>4</v>
      </c>
      <c r="AZ11" s="16">
        <f t="shared" si="8"/>
        <v>31</v>
      </c>
      <c r="BA11" s="16">
        <f>Janreport[[#This Row],[Days]]-Janreport[[#This Row],[Absent]]</f>
        <v>30</v>
      </c>
      <c r="BB11" s="19">
        <v>20000</v>
      </c>
      <c r="BC11" s="20">
        <f>Janreport[[#This Row],[Salary ]]/Janreport[[#This Row],[Days]]</f>
        <v>645.16129032258061</v>
      </c>
      <c r="BD11" s="20">
        <f>Janreport[[#This Row],[Per Day Salary ]]*Janreport[[#This Row],[Absent]]</f>
        <v>645.16129032258061</v>
      </c>
      <c r="BE11" s="20">
        <f>Janreport[[#This Row],[Salary ]]-Janreport[[#This Row],[Deduction]]</f>
        <v>19354.83870967742</v>
      </c>
      <c r="BF11" s="20"/>
      <c r="BG11" s="24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</row>
    <row r="12" spans="1:72" x14ac:dyDescent="0.25">
      <c r="F12" s="21"/>
      <c r="G12" s="8">
        <v>3</v>
      </c>
      <c r="H12" s="10" t="s">
        <v>5</v>
      </c>
      <c r="I12" s="10">
        <v>1003</v>
      </c>
      <c r="J12" s="47">
        <f t="shared" si="9"/>
        <v>4</v>
      </c>
      <c r="K12" s="16" t="s">
        <v>38</v>
      </c>
      <c r="L12" s="16" t="s">
        <v>38</v>
      </c>
      <c r="M12" s="16" t="s">
        <v>38</v>
      </c>
      <c r="N12" s="16" t="s">
        <v>38</v>
      </c>
      <c r="O12" s="44" t="str">
        <f t="shared" si="2"/>
        <v>WO</v>
      </c>
      <c r="P12" s="16" t="s">
        <v>38</v>
      </c>
      <c r="Q12" s="16" t="s">
        <v>38</v>
      </c>
      <c r="R12" s="16" t="s">
        <v>38</v>
      </c>
      <c r="S12" s="16" t="s">
        <v>38</v>
      </c>
      <c r="T12" s="16" t="s">
        <v>40</v>
      </c>
      <c r="U12" s="16" t="s">
        <v>38</v>
      </c>
      <c r="V12" s="44" t="str">
        <f t="shared" si="2"/>
        <v>WO</v>
      </c>
      <c r="W12" s="16" t="s">
        <v>38</v>
      </c>
      <c r="X12" s="16" t="s">
        <v>38</v>
      </c>
      <c r="Y12" s="16" t="s">
        <v>38</v>
      </c>
      <c r="Z12" s="16" t="s">
        <v>38</v>
      </c>
      <c r="AA12" s="16" t="s">
        <v>38</v>
      </c>
      <c r="AB12" s="16" t="s">
        <v>38</v>
      </c>
      <c r="AC12" s="44" t="str">
        <f t="shared" si="2"/>
        <v>WO</v>
      </c>
      <c r="AD12" s="16" t="s">
        <v>38</v>
      </c>
      <c r="AE12" s="16" t="s">
        <v>38</v>
      </c>
      <c r="AF12" s="16" t="s">
        <v>38</v>
      </c>
      <c r="AG12" s="16" t="s">
        <v>38</v>
      </c>
      <c r="AH12" s="16" t="s">
        <v>38</v>
      </c>
      <c r="AI12" s="16" t="s">
        <v>38</v>
      </c>
      <c r="AJ12" s="44" t="str">
        <f t="shared" si="2"/>
        <v>WO</v>
      </c>
      <c r="AK12" s="16" t="s">
        <v>38</v>
      </c>
      <c r="AL12" s="16" t="s">
        <v>38</v>
      </c>
      <c r="AM12" s="16" t="s">
        <v>38</v>
      </c>
      <c r="AN12" s="16" t="s">
        <v>38</v>
      </c>
      <c r="AO12" s="60" t="s">
        <v>38</v>
      </c>
      <c r="AP12" s="21"/>
      <c r="AQ12" s="24"/>
      <c r="AR12" s="10">
        <v>3</v>
      </c>
      <c r="AS12" s="10" t="s">
        <v>5</v>
      </c>
      <c r="AT12" s="10" t="str">
        <f t="shared" si="3"/>
        <v>January</v>
      </c>
      <c r="AU12" s="10">
        <v>1003</v>
      </c>
      <c r="AV12" s="9">
        <f t="shared" si="4"/>
        <v>26</v>
      </c>
      <c r="AW12" s="16">
        <f t="shared" si="5"/>
        <v>0</v>
      </c>
      <c r="AX12" s="16">
        <f t="shared" si="6"/>
        <v>1</v>
      </c>
      <c r="AY12" s="16">
        <f t="shared" si="7"/>
        <v>4</v>
      </c>
      <c r="AZ12" s="16">
        <f t="shared" si="8"/>
        <v>31</v>
      </c>
      <c r="BA12" s="16">
        <f>Janreport[[#This Row],[Days]]-Janreport[[#This Row],[Absent]]</f>
        <v>31</v>
      </c>
      <c r="BB12" s="19">
        <v>30000</v>
      </c>
      <c r="BC12" s="20">
        <f>Janreport[[#This Row],[Salary ]]/Janreport[[#This Row],[Days]]</f>
        <v>967.74193548387098</v>
      </c>
      <c r="BD12" s="20">
        <f>Janreport[[#This Row],[Per Day Salary ]]*Janreport[[#This Row],[Absent]]</f>
        <v>0</v>
      </c>
      <c r="BE12" s="20">
        <f>Janreport[[#This Row],[Salary ]]-Janreport[[#This Row],[Deduction]]</f>
        <v>30000</v>
      </c>
      <c r="BF12" s="20"/>
      <c r="BG12" s="24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</row>
    <row r="13" spans="1:72" x14ac:dyDescent="0.25">
      <c r="F13" s="21"/>
      <c r="G13" s="8">
        <v>4</v>
      </c>
      <c r="H13" s="10" t="s">
        <v>6</v>
      </c>
      <c r="I13" s="10">
        <v>1004</v>
      </c>
      <c r="J13" s="47">
        <f t="shared" si="9"/>
        <v>4</v>
      </c>
      <c r="K13" s="16" t="s">
        <v>38</v>
      </c>
      <c r="L13" s="16" t="s">
        <v>38</v>
      </c>
      <c r="M13" s="16" t="s">
        <v>40</v>
      </c>
      <c r="N13" s="16" t="s">
        <v>38</v>
      </c>
      <c r="O13" s="44" t="str">
        <f t="shared" si="2"/>
        <v>WO</v>
      </c>
      <c r="P13" s="16" t="s">
        <v>38</v>
      </c>
      <c r="Q13" s="16" t="s">
        <v>38</v>
      </c>
      <c r="R13" s="16" t="s">
        <v>38</v>
      </c>
      <c r="S13" s="16" t="s">
        <v>38</v>
      </c>
      <c r="T13" s="16" t="s">
        <v>38</v>
      </c>
      <c r="U13" s="16" t="s">
        <v>38</v>
      </c>
      <c r="V13" s="44" t="str">
        <f t="shared" si="2"/>
        <v>WO</v>
      </c>
      <c r="W13" s="16" t="s">
        <v>38</v>
      </c>
      <c r="X13" s="16" t="s">
        <v>39</v>
      </c>
      <c r="Y13" s="16" t="s">
        <v>38</v>
      </c>
      <c r="Z13" s="16" t="s">
        <v>38</v>
      </c>
      <c r="AA13" s="16" t="s">
        <v>38</v>
      </c>
      <c r="AB13" s="16" t="s">
        <v>38</v>
      </c>
      <c r="AC13" s="44" t="str">
        <f t="shared" si="2"/>
        <v>WO</v>
      </c>
      <c r="AD13" s="16" t="s">
        <v>38</v>
      </c>
      <c r="AE13" s="16" t="s">
        <v>38</v>
      </c>
      <c r="AF13" s="16" t="s">
        <v>39</v>
      </c>
      <c r="AG13" s="16" t="s">
        <v>38</v>
      </c>
      <c r="AH13" s="16" t="s">
        <v>38</v>
      </c>
      <c r="AI13" s="16" t="s">
        <v>38</v>
      </c>
      <c r="AJ13" s="44" t="str">
        <f t="shared" si="2"/>
        <v>WO</v>
      </c>
      <c r="AK13" s="16" t="s">
        <v>38</v>
      </c>
      <c r="AL13" s="16" t="s">
        <v>38</v>
      </c>
      <c r="AM13" s="16" t="s">
        <v>38</v>
      </c>
      <c r="AN13" s="16" t="s">
        <v>38</v>
      </c>
      <c r="AO13" s="60" t="s">
        <v>38</v>
      </c>
      <c r="AP13" s="21"/>
      <c r="AQ13" s="24"/>
      <c r="AR13" s="10">
        <v>4</v>
      </c>
      <c r="AS13" s="10" t="s">
        <v>6</v>
      </c>
      <c r="AT13" s="10" t="str">
        <f t="shared" si="3"/>
        <v>January</v>
      </c>
      <c r="AU13" s="10">
        <v>1004</v>
      </c>
      <c r="AV13" s="9">
        <f t="shared" si="4"/>
        <v>24</v>
      </c>
      <c r="AW13" s="16">
        <f t="shared" si="5"/>
        <v>2</v>
      </c>
      <c r="AX13" s="16">
        <f t="shared" si="6"/>
        <v>1</v>
      </c>
      <c r="AY13" s="16">
        <f t="shared" si="7"/>
        <v>4</v>
      </c>
      <c r="AZ13" s="16">
        <f t="shared" si="8"/>
        <v>31</v>
      </c>
      <c r="BA13" s="16">
        <f>Janreport[[#This Row],[Days]]-Janreport[[#This Row],[Absent]]</f>
        <v>29</v>
      </c>
      <c r="BB13" s="19">
        <v>45000</v>
      </c>
      <c r="BC13" s="20">
        <f>Janreport[[#This Row],[Salary ]]/Janreport[[#This Row],[Days]]</f>
        <v>1451.6129032258063</v>
      </c>
      <c r="BD13" s="20">
        <f>Janreport[[#This Row],[Per Day Salary ]]*Janreport[[#This Row],[Absent]]</f>
        <v>2903.2258064516127</v>
      </c>
      <c r="BE13" s="20">
        <f>Janreport[[#This Row],[Salary ]]-Janreport[[#This Row],[Deduction]]</f>
        <v>42096.774193548386</v>
      </c>
      <c r="BF13" s="20"/>
      <c r="BG13" s="24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</row>
    <row r="14" spans="1:72" x14ac:dyDescent="0.25">
      <c r="F14" s="21"/>
      <c r="G14" s="8">
        <v>5</v>
      </c>
      <c r="H14" s="10" t="s">
        <v>7</v>
      </c>
      <c r="I14" s="10">
        <v>1005</v>
      </c>
      <c r="J14" s="47">
        <f t="shared" si="9"/>
        <v>4</v>
      </c>
      <c r="K14" s="16" t="s">
        <v>38</v>
      </c>
      <c r="L14" s="16" t="s">
        <v>38</v>
      </c>
      <c r="M14" s="16" t="s">
        <v>38</v>
      </c>
      <c r="N14" s="16" t="s">
        <v>38</v>
      </c>
      <c r="O14" s="44" t="str">
        <f t="shared" si="2"/>
        <v>WO</v>
      </c>
      <c r="P14" s="16" t="s">
        <v>39</v>
      </c>
      <c r="Q14" s="16" t="s">
        <v>38</v>
      </c>
      <c r="R14" s="16" t="s">
        <v>38</v>
      </c>
      <c r="S14" s="16" t="s">
        <v>38</v>
      </c>
      <c r="T14" s="16" t="s">
        <v>38</v>
      </c>
      <c r="U14" s="16" t="s">
        <v>38</v>
      </c>
      <c r="V14" s="44" t="str">
        <f t="shared" si="2"/>
        <v>WO</v>
      </c>
      <c r="W14" s="16" t="s">
        <v>38</v>
      </c>
      <c r="X14" s="16" t="s">
        <v>38</v>
      </c>
      <c r="Y14" s="16" t="s">
        <v>38</v>
      </c>
      <c r="Z14" s="16" t="s">
        <v>38</v>
      </c>
      <c r="AA14" s="16" t="s">
        <v>38</v>
      </c>
      <c r="AB14" s="16" t="s">
        <v>38</v>
      </c>
      <c r="AC14" s="44" t="str">
        <f t="shared" si="2"/>
        <v>WO</v>
      </c>
      <c r="AD14" s="16" t="s">
        <v>38</v>
      </c>
      <c r="AE14" s="16" t="s">
        <v>38</v>
      </c>
      <c r="AF14" s="16" t="s">
        <v>38</v>
      </c>
      <c r="AG14" s="16" t="s">
        <v>38</v>
      </c>
      <c r="AH14" s="16" t="s">
        <v>38</v>
      </c>
      <c r="AI14" s="16" t="s">
        <v>38</v>
      </c>
      <c r="AJ14" s="44" t="str">
        <f t="shared" si="2"/>
        <v>WO</v>
      </c>
      <c r="AK14" s="16" t="s">
        <v>38</v>
      </c>
      <c r="AL14" s="16" t="s">
        <v>38</v>
      </c>
      <c r="AM14" s="16" t="s">
        <v>38</v>
      </c>
      <c r="AN14" s="16" t="s">
        <v>38</v>
      </c>
      <c r="AO14" s="60" t="s">
        <v>39</v>
      </c>
      <c r="AP14" s="21"/>
      <c r="AQ14" s="24"/>
      <c r="AR14" s="10">
        <v>5</v>
      </c>
      <c r="AS14" s="10" t="s">
        <v>7</v>
      </c>
      <c r="AT14" s="10" t="str">
        <f t="shared" si="3"/>
        <v>January</v>
      </c>
      <c r="AU14" s="10">
        <v>1005</v>
      </c>
      <c r="AV14" s="9">
        <f t="shared" si="4"/>
        <v>25</v>
      </c>
      <c r="AW14" s="16">
        <f t="shared" si="5"/>
        <v>2</v>
      </c>
      <c r="AX14" s="16">
        <f t="shared" si="6"/>
        <v>0</v>
      </c>
      <c r="AY14" s="16">
        <f t="shared" si="7"/>
        <v>4</v>
      </c>
      <c r="AZ14" s="16">
        <f t="shared" si="8"/>
        <v>31</v>
      </c>
      <c r="BA14" s="16">
        <f>Janreport[[#This Row],[Days]]-Janreport[[#This Row],[Absent]]</f>
        <v>29</v>
      </c>
      <c r="BB14" s="19">
        <v>62000</v>
      </c>
      <c r="BC14" s="20">
        <f>Janreport[[#This Row],[Salary ]]/Janreport[[#This Row],[Days]]</f>
        <v>2000</v>
      </c>
      <c r="BD14" s="20">
        <f>Janreport[[#This Row],[Per Day Salary ]]*Janreport[[#This Row],[Absent]]</f>
        <v>4000</v>
      </c>
      <c r="BE14" s="20">
        <f>Janreport[[#This Row],[Salary ]]-Janreport[[#This Row],[Deduction]]</f>
        <v>58000</v>
      </c>
      <c r="BF14" s="20"/>
      <c r="BG14" s="24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</row>
    <row r="15" spans="1:72" x14ac:dyDescent="0.25">
      <c r="F15" s="21"/>
      <c r="G15" s="8">
        <v>6</v>
      </c>
      <c r="H15" s="10" t="s">
        <v>8</v>
      </c>
      <c r="I15" s="10">
        <v>1006</v>
      </c>
      <c r="J15" s="47">
        <f t="shared" si="9"/>
        <v>4</v>
      </c>
      <c r="K15" s="16" t="s">
        <v>40</v>
      </c>
      <c r="L15" s="16" t="s">
        <v>38</v>
      </c>
      <c r="M15" s="16" t="s">
        <v>38</v>
      </c>
      <c r="N15" s="16" t="s">
        <v>38</v>
      </c>
      <c r="O15" s="44" t="str">
        <f t="shared" si="2"/>
        <v>WO</v>
      </c>
      <c r="P15" s="16" t="s">
        <v>38</v>
      </c>
      <c r="Q15" s="16" t="s">
        <v>38</v>
      </c>
      <c r="R15" s="16" t="s">
        <v>38</v>
      </c>
      <c r="S15" s="16" t="s">
        <v>38</v>
      </c>
      <c r="T15" s="16" t="s">
        <v>38</v>
      </c>
      <c r="U15" s="16" t="s">
        <v>38</v>
      </c>
      <c r="V15" s="44" t="str">
        <f t="shared" si="2"/>
        <v>WO</v>
      </c>
      <c r="W15" s="16" t="s">
        <v>38</v>
      </c>
      <c r="X15" s="16" t="s">
        <v>38</v>
      </c>
      <c r="Y15" s="16" t="s">
        <v>38</v>
      </c>
      <c r="Z15" s="16" t="s">
        <v>38</v>
      </c>
      <c r="AA15" s="16" t="s">
        <v>38</v>
      </c>
      <c r="AB15" s="16" t="s">
        <v>38</v>
      </c>
      <c r="AC15" s="44" t="str">
        <f t="shared" si="2"/>
        <v>WO</v>
      </c>
      <c r="AD15" s="16" t="s">
        <v>38</v>
      </c>
      <c r="AE15" s="16" t="s">
        <v>38</v>
      </c>
      <c r="AF15" s="16" t="s">
        <v>38</v>
      </c>
      <c r="AG15" s="16" t="s">
        <v>38</v>
      </c>
      <c r="AH15" s="16" t="s">
        <v>38</v>
      </c>
      <c r="AI15" s="16" t="s">
        <v>38</v>
      </c>
      <c r="AJ15" s="44" t="str">
        <f t="shared" si="2"/>
        <v>WO</v>
      </c>
      <c r="AK15" s="16" t="s">
        <v>38</v>
      </c>
      <c r="AL15" s="16" t="s">
        <v>38</v>
      </c>
      <c r="AM15" s="16" t="s">
        <v>38</v>
      </c>
      <c r="AN15" s="16" t="s">
        <v>38</v>
      </c>
      <c r="AO15" s="60" t="s">
        <v>38</v>
      </c>
      <c r="AP15" s="21"/>
      <c r="AQ15" s="24"/>
      <c r="AR15" s="10">
        <v>6</v>
      </c>
      <c r="AS15" s="10" t="s">
        <v>8</v>
      </c>
      <c r="AT15" s="10" t="str">
        <f t="shared" si="3"/>
        <v>January</v>
      </c>
      <c r="AU15" s="10">
        <v>1006</v>
      </c>
      <c r="AV15" s="9">
        <f t="shared" si="4"/>
        <v>26</v>
      </c>
      <c r="AW15" s="16">
        <f t="shared" si="5"/>
        <v>0</v>
      </c>
      <c r="AX15" s="16">
        <f t="shared" si="6"/>
        <v>1</v>
      </c>
      <c r="AY15" s="16">
        <f t="shared" si="7"/>
        <v>4</v>
      </c>
      <c r="AZ15" s="16">
        <f t="shared" si="8"/>
        <v>31</v>
      </c>
      <c r="BA15" s="16">
        <f>Janreport[[#This Row],[Days]]-Janreport[[#This Row],[Absent]]</f>
        <v>31</v>
      </c>
      <c r="BB15" s="19">
        <v>13000</v>
      </c>
      <c r="BC15" s="20">
        <f>Janreport[[#This Row],[Salary ]]/Janreport[[#This Row],[Days]]</f>
        <v>419.35483870967744</v>
      </c>
      <c r="BD15" s="20">
        <f>Janreport[[#This Row],[Per Day Salary ]]*Janreport[[#This Row],[Absent]]</f>
        <v>0</v>
      </c>
      <c r="BE15" s="20">
        <f>Janreport[[#This Row],[Salary ]]-Janreport[[#This Row],[Deduction]]</f>
        <v>13000</v>
      </c>
      <c r="BF15" s="20"/>
      <c r="BG15" s="24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</row>
    <row r="16" spans="1:72" x14ac:dyDescent="0.25">
      <c r="F16" s="21"/>
      <c r="G16" s="8">
        <v>7</v>
      </c>
      <c r="H16" s="10" t="s">
        <v>9</v>
      </c>
      <c r="I16" s="10">
        <v>1007</v>
      </c>
      <c r="J16" s="47">
        <f t="shared" si="9"/>
        <v>4</v>
      </c>
      <c r="K16" s="16" t="s">
        <v>38</v>
      </c>
      <c r="L16" s="16" t="s">
        <v>38</v>
      </c>
      <c r="M16" s="16" t="s">
        <v>38</v>
      </c>
      <c r="N16" s="16" t="s">
        <v>38</v>
      </c>
      <c r="O16" s="44" t="str">
        <f t="shared" si="2"/>
        <v>WO</v>
      </c>
      <c r="P16" s="16" t="s">
        <v>38</v>
      </c>
      <c r="Q16" s="16" t="s">
        <v>38</v>
      </c>
      <c r="R16" s="16" t="s">
        <v>38</v>
      </c>
      <c r="S16" s="16" t="s">
        <v>38</v>
      </c>
      <c r="T16" s="16" t="s">
        <v>38</v>
      </c>
      <c r="U16" s="16" t="s">
        <v>38</v>
      </c>
      <c r="V16" s="44" t="str">
        <f t="shared" si="2"/>
        <v>WO</v>
      </c>
      <c r="W16" s="16" t="s">
        <v>38</v>
      </c>
      <c r="X16" s="16" t="s">
        <v>38</v>
      </c>
      <c r="Y16" s="16" t="s">
        <v>38</v>
      </c>
      <c r="Z16" s="16" t="s">
        <v>38</v>
      </c>
      <c r="AA16" s="16" t="s">
        <v>38</v>
      </c>
      <c r="AB16" s="16" t="s">
        <v>38</v>
      </c>
      <c r="AC16" s="44" t="str">
        <f t="shared" si="2"/>
        <v>WO</v>
      </c>
      <c r="AD16" s="16" t="s">
        <v>38</v>
      </c>
      <c r="AE16" s="16" t="s">
        <v>38</v>
      </c>
      <c r="AF16" s="16" t="s">
        <v>38</v>
      </c>
      <c r="AG16" s="16" t="s">
        <v>38</v>
      </c>
      <c r="AH16" s="16" t="s">
        <v>38</v>
      </c>
      <c r="AI16" s="16" t="s">
        <v>38</v>
      </c>
      <c r="AJ16" s="44" t="str">
        <f t="shared" si="2"/>
        <v>WO</v>
      </c>
      <c r="AK16" s="16" t="s">
        <v>38</v>
      </c>
      <c r="AL16" s="16" t="s">
        <v>38</v>
      </c>
      <c r="AM16" s="16" t="s">
        <v>38</v>
      </c>
      <c r="AN16" s="16" t="s">
        <v>38</v>
      </c>
      <c r="AO16" s="60" t="s">
        <v>38</v>
      </c>
      <c r="AP16" s="21"/>
      <c r="AQ16" s="24"/>
      <c r="AR16" s="10">
        <v>7</v>
      </c>
      <c r="AS16" s="10" t="s">
        <v>9</v>
      </c>
      <c r="AT16" s="10" t="str">
        <f t="shared" si="3"/>
        <v>January</v>
      </c>
      <c r="AU16" s="10">
        <v>1007</v>
      </c>
      <c r="AV16" s="9">
        <f t="shared" si="4"/>
        <v>27</v>
      </c>
      <c r="AW16" s="16">
        <f t="shared" si="5"/>
        <v>0</v>
      </c>
      <c r="AX16" s="16">
        <f t="shared" si="6"/>
        <v>0</v>
      </c>
      <c r="AY16" s="16">
        <f t="shared" si="7"/>
        <v>4</v>
      </c>
      <c r="AZ16" s="16">
        <f t="shared" si="8"/>
        <v>31</v>
      </c>
      <c r="BA16" s="16">
        <f>Janreport[[#This Row],[Days]]-Janreport[[#This Row],[Absent]]</f>
        <v>31</v>
      </c>
      <c r="BB16" s="19">
        <v>48000</v>
      </c>
      <c r="BC16" s="20">
        <f>Janreport[[#This Row],[Salary ]]/Janreport[[#This Row],[Days]]</f>
        <v>1548.3870967741937</v>
      </c>
      <c r="BD16" s="20">
        <f>Janreport[[#This Row],[Per Day Salary ]]*Janreport[[#This Row],[Absent]]</f>
        <v>0</v>
      </c>
      <c r="BE16" s="20">
        <f>Janreport[[#This Row],[Salary ]]-Janreport[[#This Row],[Deduction]]</f>
        <v>48000</v>
      </c>
      <c r="BF16" s="20"/>
      <c r="BG16" s="24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</row>
    <row r="17" spans="6:72" x14ac:dyDescent="0.25">
      <c r="F17" s="21"/>
      <c r="G17" s="8">
        <v>8</v>
      </c>
      <c r="H17" s="10" t="s">
        <v>10</v>
      </c>
      <c r="I17" s="10">
        <v>1008</v>
      </c>
      <c r="J17" s="47">
        <f t="shared" si="9"/>
        <v>4</v>
      </c>
      <c r="K17" s="16" t="s">
        <v>38</v>
      </c>
      <c r="L17" s="16" t="s">
        <v>38</v>
      </c>
      <c r="M17" s="16" t="s">
        <v>38</v>
      </c>
      <c r="N17" s="16" t="s">
        <v>39</v>
      </c>
      <c r="O17" s="44" t="str">
        <f t="shared" si="2"/>
        <v>WO</v>
      </c>
      <c r="P17" s="16" t="s">
        <v>38</v>
      </c>
      <c r="Q17" s="16" t="s">
        <v>38</v>
      </c>
      <c r="R17" s="16" t="s">
        <v>40</v>
      </c>
      <c r="S17" s="16" t="s">
        <v>38</v>
      </c>
      <c r="T17" s="16" t="s">
        <v>38</v>
      </c>
      <c r="U17" s="16" t="s">
        <v>38</v>
      </c>
      <c r="V17" s="44" t="str">
        <f t="shared" si="2"/>
        <v>WO</v>
      </c>
      <c r="W17" s="16" t="s">
        <v>38</v>
      </c>
      <c r="X17" s="16" t="s">
        <v>38</v>
      </c>
      <c r="Y17" s="16" t="s">
        <v>38</v>
      </c>
      <c r="Z17" s="16" t="s">
        <v>38</v>
      </c>
      <c r="AA17" s="16" t="s">
        <v>38</v>
      </c>
      <c r="AB17" s="16" t="s">
        <v>38</v>
      </c>
      <c r="AC17" s="44" t="str">
        <f t="shared" si="2"/>
        <v>WO</v>
      </c>
      <c r="AD17" s="16" t="s">
        <v>38</v>
      </c>
      <c r="AE17" s="16" t="s">
        <v>38</v>
      </c>
      <c r="AF17" s="16" t="s">
        <v>38</v>
      </c>
      <c r="AG17" s="16" t="s">
        <v>38</v>
      </c>
      <c r="AH17" s="16" t="s">
        <v>38</v>
      </c>
      <c r="AI17" s="16" t="s">
        <v>38</v>
      </c>
      <c r="AJ17" s="44" t="str">
        <f t="shared" si="2"/>
        <v>WO</v>
      </c>
      <c r="AK17" s="16" t="s">
        <v>38</v>
      </c>
      <c r="AL17" s="16" t="s">
        <v>38</v>
      </c>
      <c r="AM17" s="16" t="s">
        <v>38</v>
      </c>
      <c r="AN17" s="16" t="s">
        <v>38</v>
      </c>
      <c r="AO17" s="60" t="s">
        <v>38</v>
      </c>
      <c r="AP17" s="21"/>
      <c r="AQ17" s="24"/>
      <c r="AR17" s="10">
        <v>8</v>
      </c>
      <c r="AS17" s="10" t="s">
        <v>10</v>
      </c>
      <c r="AT17" s="10" t="str">
        <f t="shared" si="3"/>
        <v>January</v>
      </c>
      <c r="AU17" s="10">
        <v>1008</v>
      </c>
      <c r="AV17" s="9">
        <f t="shared" si="4"/>
        <v>25</v>
      </c>
      <c r="AW17" s="16">
        <f t="shared" si="5"/>
        <v>1</v>
      </c>
      <c r="AX17" s="16">
        <f t="shared" si="6"/>
        <v>1</v>
      </c>
      <c r="AY17" s="16">
        <f t="shared" si="7"/>
        <v>4</v>
      </c>
      <c r="AZ17" s="16">
        <f t="shared" si="8"/>
        <v>31</v>
      </c>
      <c r="BA17" s="16">
        <f>Janreport[[#This Row],[Days]]-Janreport[[#This Row],[Absent]]</f>
        <v>30</v>
      </c>
      <c r="BB17" s="19">
        <v>17000</v>
      </c>
      <c r="BC17" s="20">
        <f>Janreport[[#This Row],[Salary ]]/Janreport[[#This Row],[Days]]</f>
        <v>548.38709677419354</v>
      </c>
      <c r="BD17" s="20">
        <f>Janreport[[#This Row],[Per Day Salary ]]*Janreport[[#This Row],[Absent]]</f>
        <v>548.38709677419354</v>
      </c>
      <c r="BE17" s="20">
        <f>Janreport[[#This Row],[Salary ]]-Janreport[[#This Row],[Deduction]]</f>
        <v>16451.612903225807</v>
      </c>
      <c r="BF17" s="20"/>
      <c r="BG17" s="24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</row>
    <row r="18" spans="6:72" x14ac:dyDescent="0.25">
      <c r="F18" s="21"/>
      <c r="G18" s="8">
        <v>9</v>
      </c>
      <c r="H18" s="10" t="s">
        <v>11</v>
      </c>
      <c r="I18" s="10">
        <v>1009</v>
      </c>
      <c r="J18" s="47">
        <f t="shared" si="9"/>
        <v>4</v>
      </c>
      <c r="K18" s="16" t="s">
        <v>38</v>
      </c>
      <c r="L18" s="16" t="s">
        <v>39</v>
      </c>
      <c r="M18" s="16" t="s">
        <v>38</v>
      </c>
      <c r="N18" s="16" t="s">
        <v>38</v>
      </c>
      <c r="O18" s="44" t="str">
        <f t="shared" si="2"/>
        <v>WO</v>
      </c>
      <c r="P18" s="16" t="s">
        <v>38</v>
      </c>
      <c r="Q18" s="16" t="s">
        <v>38</v>
      </c>
      <c r="R18" s="16" t="s">
        <v>38</v>
      </c>
      <c r="S18" s="16" t="s">
        <v>38</v>
      </c>
      <c r="T18" s="16" t="s">
        <v>39</v>
      </c>
      <c r="U18" s="16" t="s">
        <v>38</v>
      </c>
      <c r="V18" s="44" t="str">
        <f t="shared" si="2"/>
        <v>WO</v>
      </c>
      <c r="W18" s="16" t="s">
        <v>38</v>
      </c>
      <c r="X18" s="16" t="s">
        <v>38</v>
      </c>
      <c r="Y18" s="16" t="s">
        <v>38</v>
      </c>
      <c r="Z18" s="16" t="s">
        <v>38</v>
      </c>
      <c r="AA18" s="16" t="s">
        <v>38</v>
      </c>
      <c r="AB18" s="16" t="s">
        <v>38</v>
      </c>
      <c r="AC18" s="44" t="str">
        <f t="shared" si="2"/>
        <v>WO</v>
      </c>
      <c r="AD18" s="16" t="s">
        <v>38</v>
      </c>
      <c r="AE18" s="16" t="s">
        <v>38</v>
      </c>
      <c r="AF18" s="16" t="s">
        <v>38</v>
      </c>
      <c r="AG18" s="16" t="s">
        <v>39</v>
      </c>
      <c r="AH18" s="16" t="s">
        <v>38</v>
      </c>
      <c r="AI18" s="16" t="s">
        <v>38</v>
      </c>
      <c r="AJ18" s="44" t="str">
        <f t="shared" si="2"/>
        <v>WO</v>
      </c>
      <c r="AK18" s="16" t="s">
        <v>38</v>
      </c>
      <c r="AL18" s="16" t="s">
        <v>38</v>
      </c>
      <c r="AM18" s="16" t="s">
        <v>38</v>
      </c>
      <c r="AN18" s="16" t="s">
        <v>38</v>
      </c>
      <c r="AO18" s="60" t="s">
        <v>38</v>
      </c>
      <c r="AP18" s="21"/>
      <c r="AQ18" s="24"/>
      <c r="AR18" s="10">
        <v>9</v>
      </c>
      <c r="AS18" s="10" t="s">
        <v>11</v>
      </c>
      <c r="AT18" s="10" t="str">
        <f t="shared" si="3"/>
        <v>January</v>
      </c>
      <c r="AU18" s="10">
        <v>1009</v>
      </c>
      <c r="AV18" s="9">
        <f t="shared" si="4"/>
        <v>24</v>
      </c>
      <c r="AW18" s="16">
        <f t="shared" si="5"/>
        <v>3</v>
      </c>
      <c r="AX18" s="16">
        <f t="shared" si="6"/>
        <v>0</v>
      </c>
      <c r="AY18" s="16">
        <f t="shared" si="7"/>
        <v>4</v>
      </c>
      <c r="AZ18" s="16">
        <f t="shared" si="8"/>
        <v>31</v>
      </c>
      <c r="BA18" s="16">
        <f>Janreport[[#This Row],[Days]]-Janreport[[#This Row],[Absent]]</f>
        <v>28</v>
      </c>
      <c r="BB18" s="19">
        <v>39000</v>
      </c>
      <c r="BC18" s="20">
        <f>Janreport[[#This Row],[Salary ]]/Janreport[[#This Row],[Days]]</f>
        <v>1258.0645161290322</v>
      </c>
      <c r="BD18" s="20">
        <f>Janreport[[#This Row],[Per Day Salary ]]*Janreport[[#This Row],[Absent]]</f>
        <v>3774.1935483870966</v>
      </c>
      <c r="BE18" s="20">
        <f>Janreport[[#This Row],[Salary ]]-Janreport[[#This Row],[Deduction]]</f>
        <v>35225.806451612902</v>
      </c>
      <c r="BF18" s="20"/>
      <c r="BG18" s="24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</row>
    <row r="19" spans="6:72" x14ac:dyDescent="0.25">
      <c r="F19" s="21"/>
      <c r="G19" s="8">
        <v>10</v>
      </c>
      <c r="H19" s="10" t="s">
        <v>3</v>
      </c>
      <c r="I19" s="10">
        <v>1010</v>
      </c>
      <c r="J19" s="47">
        <f t="shared" si="9"/>
        <v>4</v>
      </c>
      <c r="K19" s="16" t="s">
        <v>38</v>
      </c>
      <c r="L19" s="16" t="s">
        <v>38</v>
      </c>
      <c r="M19" s="16" t="s">
        <v>38</v>
      </c>
      <c r="N19" s="16" t="s">
        <v>38</v>
      </c>
      <c r="O19" s="44" t="str">
        <f t="shared" si="2"/>
        <v>WO</v>
      </c>
      <c r="P19" s="16" t="s">
        <v>38</v>
      </c>
      <c r="Q19" s="16" t="s">
        <v>38</v>
      </c>
      <c r="R19" s="16" t="s">
        <v>38</v>
      </c>
      <c r="S19" s="16" t="s">
        <v>38</v>
      </c>
      <c r="T19" s="16" t="s">
        <v>38</v>
      </c>
      <c r="U19" s="16" t="s">
        <v>38</v>
      </c>
      <c r="V19" s="44" t="str">
        <f t="shared" si="2"/>
        <v>WO</v>
      </c>
      <c r="W19" s="16" t="s">
        <v>38</v>
      </c>
      <c r="X19" s="16" t="s">
        <v>38</v>
      </c>
      <c r="Y19" s="16" t="s">
        <v>38</v>
      </c>
      <c r="Z19" s="16" t="s">
        <v>39</v>
      </c>
      <c r="AA19" s="16" t="s">
        <v>38</v>
      </c>
      <c r="AB19" s="16" t="s">
        <v>38</v>
      </c>
      <c r="AC19" s="44" t="str">
        <f t="shared" si="2"/>
        <v>WO</v>
      </c>
      <c r="AD19" s="16" t="s">
        <v>38</v>
      </c>
      <c r="AE19" s="16" t="s">
        <v>38</v>
      </c>
      <c r="AF19" s="16" t="s">
        <v>38</v>
      </c>
      <c r="AG19" s="16" t="s">
        <v>38</v>
      </c>
      <c r="AH19" s="16" t="s">
        <v>38</v>
      </c>
      <c r="AI19" s="16" t="s">
        <v>38</v>
      </c>
      <c r="AJ19" s="44" t="str">
        <f t="shared" si="2"/>
        <v>WO</v>
      </c>
      <c r="AK19" s="16" t="s">
        <v>38</v>
      </c>
      <c r="AL19" s="16" t="s">
        <v>38</v>
      </c>
      <c r="AM19" s="16" t="s">
        <v>38</v>
      </c>
      <c r="AN19" s="16" t="s">
        <v>38</v>
      </c>
      <c r="AO19" s="60" t="s">
        <v>38</v>
      </c>
      <c r="AP19" s="21"/>
      <c r="AQ19" s="24"/>
      <c r="AR19" s="10">
        <v>10</v>
      </c>
      <c r="AS19" s="10" t="s">
        <v>3</v>
      </c>
      <c r="AT19" s="10" t="str">
        <f t="shared" si="3"/>
        <v>January</v>
      </c>
      <c r="AU19" s="10">
        <v>1010</v>
      </c>
      <c r="AV19" s="9">
        <f t="shared" si="4"/>
        <v>26</v>
      </c>
      <c r="AW19" s="16">
        <f t="shared" si="5"/>
        <v>1</v>
      </c>
      <c r="AX19" s="16">
        <f t="shared" si="6"/>
        <v>0</v>
      </c>
      <c r="AY19" s="16">
        <f t="shared" si="7"/>
        <v>4</v>
      </c>
      <c r="AZ19" s="16">
        <f t="shared" si="8"/>
        <v>31</v>
      </c>
      <c r="BA19" s="16">
        <f>Janreport[[#This Row],[Days]]-Janreport[[#This Row],[Absent]]</f>
        <v>30</v>
      </c>
      <c r="BB19" s="19">
        <v>72000</v>
      </c>
      <c r="BC19" s="20">
        <f>Janreport[[#This Row],[Salary ]]/Janreport[[#This Row],[Days]]</f>
        <v>2322.5806451612902</v>
      </c>
      <c r="BD19" s="20">
        <f>Janreport[[#This Row],[Per Day Salary ]]*Janreport[[#This Row],[Absent]]</f>
        <v>2322.5806451612902</v>
      </c>
      <c r="BE19" s="20">
        <f>Janreport[[#This Row],[Salary ]]-Janreport[[#This Row],[Deduction]]</f>
        <v>69677.419354838712</v>
      </c>
      <c r="BF19" s="20"/>
      <c r="BG19" s="24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</row>
    <row r="20" spans="6:72" x14ac:dyDescent="0.25">
      <c r="F20" s="21"/>
      <c r="G20" s="8">
        <v>11</v>
      </c>
      <c r="H20" s="9" t="s">
        <v>12</v>
      </c>
      <c r="I20" s="10">
        <v>1011</v>
      </c>
      <c r="J20" s="47">
        <f t="shared" si="9"/>
        <v>4</v>
      </c>
      <c r="K20" s="16" t="s">
        <v>38</v>
      </c>
      <c r="L20" s="16" t="s">
        <v>38</v>
      </c>
      <c r="M20" s="16" t="s">
        <v>38</v>
      </c>
      <c r="N20" s="16" t="s">
        <v>39</v>
      </c>
      <c r="O20" s="44" t="str">
        <f t="shared" si="2"/>
        <v>WO</v>
      </c>
      <c r="P20" s="16" t="s">
        <v>38</v>
      </c>
      <c r="Q20" s="16" t="s">
        <v>38</v>
      </c>
      <c r="R20" s="16" t="s">
        <v>38</v>
      </c>
      <c r="S20" s="16" t="s">
        <v>38</v>
      </c>
      <c r="T20" s="16" t="s">
        <v>38</v>
      </c>
      <c r="U20" s="16" t="s">
        <v>38</v>
      </c>
      <c r="V20" s="44" t="str">
        <f t="shared" si="2"/>
        <v>WO</v>
      </c>
      <c r="W20" s="16" t="s">
        <v>40</v>
      </c>
      <c r="X20" s="16" t="s">
        <v>38</v>
      </c>
      <c r="Y20" s="16" t="s">
        <v>38</v>
      </c>
      <c r="Z20" s="16" t="s">
        <v>38</v>
      </c>
      <c r="AA20" s="16" t="s">
        <v>38</v>
      </c>
      <c r="AB20" s="16" t="s">
        <v>38</v>
      </c>
      <c r="AC20" s="44" t="str">
        <f t="shared" si="2"/>
        <v>WO</v>
      </c>
      <c r="AD20" s="16" t="s">
        <v>38</v>
      </c>
      <c r="AE20" s="16" t="s">
        <v>38</v>
      </c>
      <c r="AF20" s="16" t="s">
        <v>38</v>
      </c>
      <c r="AG20" s="16" t="s">
        <v>38</v>
      </c>
      <c r="AH20" s="16" t="s">
        <v>38</v>
      </c>
      <c r="AI20" s="16" t="s">
        <v>38</v>
      </c>
      <c r="AJ20" s="44" t="str">
        <f t="shared" ref="AJ20" si="11">IF(AJ$8="SUN","WO","")</f>
        <v>WO</v>
      </c>
      <c r="AK20" s="16" t="s">
        <v>38</v>
      </c>
      <c r="AL20" s="16" t="s">
        <v>39</v>
      </c>
      <c r="AM20" s="16" t="s">
        <v>38</v>
      </c>
      <c r="AN20" s="16" t="s">
        <v>38</v>
      </c>
      <c r="AO20" s="60" t="s">
        <v>38</v>
      </c>
      <c r="AP20" s="21"/>
      <c r="AQ20" s="24"/>
      <c r="AR20" s="10">
        <v>11</v>
      </c>
      <c r="AS20" s="9" t="s">
        <v>12</v>
      </c>
      <c r="AT20" s="9" t="str">
        <f t="shared" si="3"/>
        <v>January</v>
      </c>
      <c r="AU20" s="10">
        <v>1011</v>
      </c>
      <c r="AV20" s="9">
        <f t="shared" si="4"/>
        <v>24</v>
      </c>
      <c r="AW20" s="16">
        <f t="shared" si="5"/>
        <v>2</v>
      </c>
      <c r="AX20" s="16">
        <f t="shared" si="6"/>
        <v>1</v>
      </c>
      <c r="AY20" s="16">
        <f t="shared" si="7"/>
        <v>4</v>
      </c>
      <c r="AZ20" s="16">
        <f t="shared" si="8"/>
        <v>31</v>
      </c>
      <c r="BA20" s="16">
        <f>Janreport[[#This Row],[Days]]-Janreport[[#This Row],[Absent]]</f>
        <v>29</v>
      </c>
      <c r="BB20" s="19">
        <v>13000</v>
      </c>
      <c r="BC20" s="20">
        <f>Janreport[[#This Row],[Salary ]]/Janreport[[#This Row],[Days]]</f>
        <v>419.35483870967744</v>
      </c>
      <c r="BD20" s="20">
        <f>Janreport[[#This Row],[Per Day Salary ]]*Janreport[[#This Row],[Absent]]</f>
        <v>838.70967741935488</v>
      </c>
      <c r="BE20" s="20">
        <f>Janreport[[#This Row],[Salary ]]-Janreport[[#This Row],[Deduction]]</f>
        <v>12161.290322580646</v>
      </c>
      <c r="BF20" s="20"/>
      <c r="BG20" s="24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</row>
    <row r="21" spans="6:72" x14ac:dyDescent="0.25">
      <c r="F21" s="21"/>
      <c r="G21" s="8">
        <v>12</v>
      </c>
      <c r="H21" s="10" t="s">
        <v>13</v>
      </c>
      <c r="I21" s="10">
        <v>1012</v>
      </c>
      <c r="J21" s="47">
        <f t="shared" si="9"/>
        <v>4</v>
      </c>
      <c r="K21" s="16" t="s">
        <v>38</v>
      </c>
      <c r="L21" s="16" t="s">
        <v>38</v>
      </c>
      <c r="M21" s="16" t="s">
        <v>38</v>
      </c>
      <c r="N21" s="16" t="s">
        <v>38</v>
      </c>
      <c r="O21" s="44" t="str">
        <f t="shared" si="10"/>
        <v>WO</v>
      </c>
      <c r="P21" s="16" t="s">
        <v>38</v>
      </c>
      <c r="Q21" s="16" t="s">
        <v>38</v>
      </c>
      <c r="R21" s="16" t="s">
        <v>38</v>
      </c>
      <c r="S21" s="16" t="s">
        <v>38</v>
      </c>
      <c r="T21" s="16" t="s">
        <v>38</v>
      </c>
      <c r="U21" s="16" t="s">
        <v>38</v>
      </c>
      <c r="V21" s="44" t="str">
        <f t="shared" si="10"/>
        <v>WO</v>
      </c>
      <c r="W21" s="16" t="s">
        <v>38</v>
      </c>
      <c r="X21" s="16" t="s">
        <v>38</v>
      </c>
      <c r="Y21" s="16" t="s">
        <v>38</v>
      </c>
      <c r="Z21" s="16" t="s">
        <v>38</v>
      </c>
      <c r="AA21" s="16" t="s">
        <v>38</v>
      </c>
      <c r="AB21" s="16" t="s">
        <v>38</v>
      </c>
      <c r="AC21" s="44" t="str">
        <f t="shared" ref="AC21:AJ29" si="12">IF(AC$8="SUN","WO","")</f>
        <v>WO</v>
      </c>
      <c r="AD21" s="16" t="s">
        <v>38</v>
      </c>
      <c r="AE21" s="16" t="s">
        <v>38</v>
      </c>
      <c r="AF21" s="16" t="s">
        <v>38</v>
      </c>
      <c r="AG21" s="16" t="s">
        <v>38</v>
      </c>
      <c r="AH21" s="16" t="s">
        <v>38</v>
      </c>
      <c r="AI21" s="16" t="s">
        <v>38</v>
      </c>
      <c r="AJ21" s="44" t="str">
        <f t="shared" si="12"/>
        <v>WO</v>
      </c>
      <c r="AK21" s="16" t="s">
        <v>38</v>
      </c>
      <c r="AL21" s="16" t="s">
        <v>38</v>
      </c>
      <c r="AM21" s="16" t="s">
        <v>38</v>
      </c>
      <c r="AN21" s="16" t="s">
        <v>38</v>
      </c>
      <c r="AO21" s="60" t="s">
        <v>38</v>
      </c>
      <c r="AP21" s="21"/>
      <c r="AQ21" s="24"/>
      <c r="AR21" s="10">
        <v>12</v>
      </c>
      <c r="AS21" s="10" t="s">
        <v>13</v>
      </c>
      <c r="AT21" s="10" t="str">
        <f t="shared" si="3"/>
        <v>January</v>
      </c>
      <c r="AU21" s="10">
        <v>1012</v>
      </c>
      <c r="AV21" s="9">
        <f t="shared" si="4"/>
        <v>27</v>
      </c>
      <c r="AW21" s="16">
        <f t="shared" si="5"/>
        <v>0</v>
      </c>
      <c r="AX21" s="16">
        <f t="shared" si="6"/>
        <v>0</v>
      </c>
      <c r="AY21" s="16">
        <f t="shared" si="7"/>
        <v>4</v>
      </c>
      <c r="AZ21" s="16">
        <f t="shared" si="8"/>
        <v>31</v>
      </c>
      <c r="BA21" s="16">
        <f>Janreport[[#This Row],[Days]]-Janreport[[#This Row],[Absent]]</f>
        <v>31</v>
      </c>
      <c r="BB21" s="19">
        <v>22000</v>
      </c>
      <c r="BC21" s="20">
        <f>Janreport[[#This Row],[Salary ]]/Janreport[[#This Row],[Days]]</f>
        <v>709.67741935483866</v>
      </c>
      <c r="BD21" s="20">
        <f>Janreport[[#This Row],[Per Day Salary ]]*Janreport[[#This Row],[Absent]]</f>
        <v>0</v>
      </c>
      <c r="BE21" s="20">
        <f>Janreport[[#This Row],[Salary ]]-Janreport[[#This Row],[Deduction]]</f>
        <v>22000</v>
      </c>
      <c r="BF21" s="20"/>
      <c r="BG21" s="24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</row>
    <row r="22" spans="6:72" x14ac:dyDescent="0.25">
      <c r="F22" s="21"/>
      <c r="G22" s="8">
        <v>13</v>
      </c>
      <c r="H22" s="10" t="s">
        <v>14</v>
      </c>
      <c r="I22" s="10">
        <v>1013</v>
      </c>
      <c r="J22" s="47">
        <f t="shared" si="9"/>
        <v>4</v>
      </c>
      <c r="K22" s="16" t="s">
        <v>38</v>
      </c>
      <c r="L22" s="16" t="s">
        <v>38</v>
      </c>
      <c r="M22" s="16" t="s">
        <v>40</v>
      </c>
      <c r="N22" s="16" t="s">
        <v>38</v>
      </c>
      <c r="O22" s="44" t="str">
        <f t="shared" si="10"/>
        <v>WO</v>
      </c>
      <c r="P22" s="16" t="s">
        <v>38</v>
      </c>
      <c r="Q22" s="16" t="s">
        <v>38</v>
      </c>
      <c r="R22" s="16" t="s">
        <v>38</v>
      </c>
      <c r="S22" s="16" t="s">
        <v>38</v>
      </c>
      <c r="T22" s="16" t="s">
        <v>38</v>
      </c>
      <c r="U22" s="16" t="s">
        <v>38</v>
      </c>
      <c r="V22" s="44" t="str">
        <f t="shared" si="10"/>
        <v>WO</v>
      </c>
      <c r="W22" s="16" t="s">
        <v>38</v>
      </c>
      <c r="X22" s="16" t="s">
        <v>38</v>
      </c>
      <c r="Y22" s="16" t="s">
        <v>38</v>
      </c>
      <c r="Z22" s="16" t="s">
        <v>38</v>
      </c>
      <c r="AA22" s="16" t="s">
        <v>38</v>
      </c>
      <c r="AB22" s="16" t="s">
        <v>38</v>
      </c>
      <c r="AC22" s="44" t="str">
        <f t="shared" si="12"/>
        <v>WO</v>
      </c>
      <c r="AD22" s="16" t="s">
        <v>38</v>
      </c>
      <c r="AE22" s="16" t="s">
        <v>38</v>
      </c>
      <c r="AF22" s="16" t="s">
        <v>38</v>
      </c>
      <c r="AG22" s="16" t="s">
        <v>38</v>
      </c>
      <c r="AH22" s="16" t="s">
        <v>38</v>
      </c>
      <c r="AI22" s="16" t="s">
        <v>39</v>
      </c>
      <c r="AJ22" s="44" t="str">
        <f t="shared" si="12"/>
        <v>WO</v>
      </c>
      <c r="AK22" s="16" t="s">
        <v>38</v>
      </c>
      <c r="AL22" s="16" t="s">
        <v>38</v>
      </c>
      <c r="AM22" s="16" t="s">
        <v>38</v>
      </c>
      <c r="AN22" s="16" t="s">
        <v>38</v>
      </c>
      <c r="AO22" s="60" t="s">
        <v>39</v>
      </c>
      <c r="AP22" s="21"/>
      <c r="AQ22" s="24"/>
      <c r="AR22" s="10">
        <v>13</v>
      </c>
      <c r="AS22" s="10" t="s">
        <v>14</v>
      </c>
      <c r="AT22" s="10" t="str">
        <f t="shared" si="3"/>
        <v>January</v>
      </c>
      <c r="AU22" s="10">
        <v>1013</v>
      </c>
      <c r="AV22" s="9">
        <f t="shared" si="4"/>
        <v>24</v>
      </c>
      <c r="AW22" s="16">
        <f t="shared" si="5"/>
        <v>2</v>
      </c>
      <c r="AX22" s="16">
        <f t="shared" si="6"/>
        <v>1</v>
      </c>
      <c r="AY22" s="16">
        <f t="shared" si="7"/>
        <v>4</v>
      </c>
      <c r="AZ22" s="16">
        <f t="shared" si="8"/>
        <v>31</v>
      </c>
      <c r="BA22" s="16">
        <f>Janreport[[#This Row],[Days]]-Janreport[[#This Row],[Absent]]</f>
        <v>29</v>
      </c>
      <c r="BB22" s="19">
        <v>35000</v>
      </c>
      <c r="BC22" s="20">
        <f>Janreport[[#This Row],[Salary ]]/Janreport[[#This Row],[Days]]</f>
        <v>1129.0322580645161</v>
      </c>
      <c r="BD22" s="20">
        <f>Janreport[[#This Row],[Per Day Salary ]]*Janreport[[#This Row],[Absent]]</f>
        <v>2258.0645161290322</v>
      </c>
      <c r="BE22" s="20">
        <f>Janreport[[#This Row],[Salary ]]-Janreport[[#This Row],[Deduction]]</f>
        <v>32741.93548387097</v>
      </c>
      <c r="BF22" s="20"/>
      <c r="BG22" s="24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</row>
    <row r="23" spans="6:72" x14ac:dyDescent="0.25">
      <c r="F23" s="21"/>
      <c r="G23" s="8">
        <v>14</v>
      </c>
      <c r="H23" s="10" t="s">
        <v>15</v>
      </c>
      <c r="I23" s="10">
        <v>1014</v>
      </c>
      <c r="J23" s="47">
        <f t="shared" si="9"/>
        <v>4</v>
      </c>
      <c r="K23" s="16" t="s">
        <v>38</v>
      </c>
      <c r="L23" s="16" t="s">
        <v>38</v>
      </c>
      <c r="M23" s="16" t="s">
        <v>38</v>
      </c>
      <c r="N23" s="16" t="s">
        <v>38</v>
      </c>
      <c r="O23" s="44" t="str">
        <f t="shared" si="10"/>
        <v>WO</v>
      </c>
      <c r="P23" s="16" t="s">
        <v>38</v>
      </c>
      <c r="Q23" s="16" t="s">
        <v>38</v>
      </c>
      <c r="R23" s="16" t="s">
        <v>38</v>
      </c>
      <c r="S23" s="16" t="s">
        <v>38</v>
      </c>
      <c r="T23" s="16" t="s">
        <v>38</v>
      </c>
      <c r="U23" s="16" t="s">
        <v>38</v>
      </c>
      <c r="V23" s="44" t="str">
        <f t="shared" si="10"/>
        <v>WO</v>
      </c>
      <c r="W23" s="16" t="s">
        <v>38</v>
      </c>
      <c r="X23" s="16" t="s">
        <v>38</v>
      </c>
      <c r="Y23" s="16" t="s">
        <v>38</v>
      </c>
      <c r="Z23" s="16" t="s">
        <v>38</v>
      </c>
      <c r="AA23" s="16" t="s">
        <v>38</v>
      </c>
      <c r="AB23" s="16" t="s">
        <v>38</v>
      </c>
      <c r="AC23" s="44" t="str">
        <f t="shared" si="12"/>
        <v>WO</v>
      </c>
      <c r="AD23" s="16" t="s">
        <v>38</v>
      </c>
      <c r="AE23" s="16" t="s">
        <v>38</v>
      </c>
      <c r="AF23" s="16" t="s">
        <v>38</v>
      </c>
      <c r="AG23" s="16" t="s">
        <v>38</v>
      </c>
      <c r="AH23" s="16" t="s">
        <v>38</v>
      </c>
      <c r="AI23" s="16" t="s">
        <v>38</v>
      </c>
      <c r="AJ23" s="44" t="str">
        <f t="shared" si="12"/>
        <v>WO</v>
      </c>
      <c r="AK23" s="16" t="s">
        <v>38</v>
      </c>
      <c r="AL23" s="16" t="s">
        <v>38</v>
      </c>
      <c r="AM23" s="16" t="s">
        <v>38</v>
      </c>
      <c r="AN23" s="16" t="s">
        <v>38</v>
      </c>
      <c r="AO23" s="60" t="s">
        <v>38</v>
      </c>
      <c r="AP23" s="21"/>
      <c r="AQ23" s="24"/>
      <c r="AR23" s="10">
        <v>14</v>
      </c>
      <c r="AS23" s="10" t="s">
        <v>15</v>
      </c>
      <c r="AT23" s="10" t="str">
        <f t="shared" si="3"/>
        <v>January</v>
      </c>
      <c r="AU23" s="10">
        <v>1014</v>
      </c>
      <c r="AV23" s="9">
        <f t="shared" si="4"/>
        <v>27</v>
      </c>
      <c r="AW23" s="16">
        <f t="shared" si="5"/>
        <v>0</v>
      </c>
      <c r="AX23" s="16">
        <f t="shared" si="6"/>
        <v>0</v>
      </c>
      <c r="AY23" s="16">
        <f t="shared" si="7"/>
        <v>4</v>
      </c>
      <c r="AZ23" s="16">
        <f t="shared" si="8"/>
        <v>31</v>
      </c>
      <c r="BA23" s="16">
        <f>Janreport[[#This Row],[Days]]-Janreport[[#This Row],[Absent]]</f>
        <v>31</v>
      </c>
      <c r="BB23" s="19">
        <v>14000</v>
      </c>
      <c r="BC23" s="20">
        <f>Janreport[[#This Row],[Salary ]]/Janreport[[#This Row],[Days]]</f>
        <v>451.61290322580646</v>
      </c>
      <c r="BD23" s="20">
        <f>Janreport[[#This Row],[Per Day Salary ]]*Janreport[[#This Row],[Absent]]</f>
        <v>0</v>
      </c>
      <c r="BE23" s="20">
        <f>Janreport[[#This Row],[Salary ]]-Janreport[[#This Row],[Deduction]]</f>
        <v>14000</v>
      </c>
      <c r="BF23" s="20"/>
      <c r="BG23" s="24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</row>
    <row r="24" spans="6:72" x14ac:dyDescent="0.25">
      <c r="F24" s="21"/>
      <c r="G24" s="8">
        <v>15</v>
      </c>
      <c r="H24" s="10" t="s">
        <v>16</v>
      </c>
      <c r="I24" s="10">
        <v>1015</v>
      </c>
      <c r="J24" s="47">
        <f t="shared" si="9"/>
        <v>4</v>
      </c>
      <c r="K24" s="16" t="s">
        <v>38</v>
      </c>
      <c r="L24" s="16" t="s">
        <v>40</v>
      </c>
      <c r="M24" s="16" t="s">
        <v>38</v>
      </c>
      <c r="N24" s="16" t="s">
        <v>38</v>
      </c>
      <c r="O24" s="44" t="str">
        <f t="shared" si="10"/>
        <v>WO</v>
      </c>
      <c r="P24" s="16" t="s">
        <v>38</v>
      </c>
      <c r="Q24" s="16" t="s">
        <v>40</v>
      </c>
      <c r="R24" s="16" t="s">
        <v>38</v>
      </c>
      <c r="S24" s="16" t="s">
        <v>38</v>
      </c>
      <c r="T24" s="16" t="s">
        <v>38</v>
      </c>
      <c r="U24" s="16" t="s">
        <v>38</v>
      </c>
      <c r="V24" s="44" t="str">
        <f t="shared" si="10"/>
        <v>WO</v>
      </c>
      <c r="W24" s="16" t="s">
        <v>38</v>
      </c>
      <c r="X24" s="16" t="s">
        <v>38</v>
      </c>
      <c r="Y24" s="16" t="s">
        <v>39</v>
      </c>
      <c r="Z24" s="16" t="s">
        <v>38</v>
      </c>
      <c r="AA24" s="16" t="s">
        <v>38</v>
      </c>
      <c r="AB24" s="16" t="s">
        <v>38</v>
      </c>
      <c r="AC24" s="44" t="str">
        <f t="shared" si="12"/>
        <v>WO</v>
      </c>
      <c r="AD24" s="16" t="s">
        <v>38</v>
      </c>
      <c r="AE24" s="16" t="s">
        <v>38</v>
      </c>
      <c r="AF24" s="16" t="s">
        <v>38</v>
      </c>
      <c r="AG24" s="16" t="s">
        <v>38</v>
      </c>
      <c r="AH24" s="16" t="s">
        <v>38</v>
      </c>
      <c r="AI24" s="16" t="s">
        <v>38</v>
      </c>
      <c r="AJ24" s="44" t="str">
        <f t="shared" si="12"/>
        <v>WO</v>
      </c>
      <c r="AK24" s="16" t="s">
        <v>38</v>
      </c>
      <c r="AL24" s="16" t="s">
        <v>38</v>
      </c>
      <c r="AM24" s="16" t="s">
        <v>38</v>
      </c>
      <c r="AN24" s="16" t="s">
        <v>38</v>
      </c>
      <c r="AO24" s="60" t="s">
        <v>38</v>
      </c>
      <c r="AP24" s="21"/>
      <c r="AQ24" s="24"/>
      <c r="AR24" s="10">
        <v>15</v>
      </c>
      <c r="AS24" s="10" t="s">
        <v>16</v>
      </c>
      <c r="AT24" s="10" t="str">
        <f t="shared" si="3"/>
        <v>January</v>
      </c>
      <c r="AU24" s="10">
        <v>1015</v>
      </c>
      <c r="AV24" s="9">
        <f t="shared" si="4"/>
        <v>24</v>
      </c>
      <c r="AW24" s="16">
        <f t="shared" si="5"/>
        <v>1</v>
      </c>
      <c r="AX24" s="16">
        <f t="shared" si="6"/>
        <v>2</v>
      </c>
      <c r="AY24" s="16">
        <f t="shared" si="7"/>
        <v>4</v>
      </c>
      <c r="AZ24" s="16">
        <f t="shared" si="8"/>
        <v>31</v>
      </c>
      <c r="BA24" s="16">
        <f>Janreport[[#This Row],[Days]]-Janreport[[#This Row],[Absent]]</f>
        <v>30</v>
      </c>
      <c r="BB24" s="19">
        <v>72000</v>
      </c>
      <c r="BC24" s="20">
        <f>Janreport[[#This Row],[Salary ]]/Janreport[[#This Row],[Days]]</f>
        <v>2322.5806451612902</v>
      </c>
      <c r="BD24" s="20">
        <f>Janreport[[#This Row],[Per Day Salary ]]*Janreport[[#This Row],[Absent]]</f>
        <v>2322.5806451612902</v>
      </c>
      <c r="BE24" s="20">
        <f>Janreport[[#This Row],[Salary ]]-Janreport[[#This Row],[Deduction]]</f>
        <v>69677.419354838712</v>
      </c>
      <c r="BF24" s="20"/>
      <c r="BG24" s="24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</row>
    <row r="25" spans="6:72" x14ac:dyDescent="0.25">
      <c r="F25" s="21"/>
      <c r="G25" s="8">
        <v>16</v>
      </c>
      <c r="H25" s="10" t="s">
        <v>17</v>
      </c>
      <c r="I25" s="10">
        <v>1016</v>
      </c>
      <c r="J25" s="47">
        <f t="shared" si="9"/>
        <v>4</v>
      </c>
      <c r="K25" s="16" t="s">
        <v>38</v>
      </c>
      <c r="L25" s="16" t="s">
        <v>38</v>
      </c>
      <c r="M25" s="16" t="s">
        <v>38</v>
      </c>
      <c r="N25" s="16" t="s">
        <v>40</v>
      </c>
      <c r="O25" s="44" t="str">
        <f t="shared" si="10"/>
        <v>WO</v>
      </c>
      <c r="P25" s="16" t="s">
        <v>38</v>
      </c>
      <c r="Q25" s="16" t="s">
        <v>38</v>
      </c>
      <c r="R25" s="16" t="s">
        <v>38</v>
      </c>
      <c r="S25" s="16" t="s">
        <v>38</v>
      </c>
      <c r="T25" s="16" t="s">
        <v>38</v>
      </c>
      <c r="U25" s="16" t="s">
        <v>38</v>
      </c>
      <c r="V25" s="44" t="str">
        <f t="shared" si="10"/>
        <v>WO</v>
      </c>
      <c r="W25" s="16" t="s">
        <v>38</v>
      </c>
      <c r="X25" s="16" t="s">
        <v>38</v>
      </c>
      <c r="Y25" s="16" t="s">
        <v>38</v>
      </c>
      <c r="Z25" s="16" t="s">
        <v>38</v>
      </c>
      <c r="AA25" s="16" t="s">
        <v>38</v>
      </c>
      <c r="AB25" s="16" t="s">
        <v>40</v>
      </c>
      <c r="AC25" s="44" t="str">
        <f t="shared" si="12"/>
        <v>WO</v>
      </c>
      <c r="AD25" s="16" t="s">
        <v>38</v>
      </c>
      <c r="AE25" s="16" t="s">
        <v>38</v>
      </c>
      <c r="AF25" s="16" t="s">
        <v>38</v>
      </c>
      <c r="AG25" s="16" t="s">
        <v>38</v>
      </c>
      <c r="AH25" s="16" t="s">
        <v>38</v>
      </c>
      <c r="AI25" s="16" t="s">
        <v>38</v>
      </c>
      <c r="AJ25" s="44" t="str">
        <f t="shared" si="12"/>
        <v>WO</v>
      </c>
      <c r="AK25" s="16" t="s">
        <v>38</v>
      </c>
      <c r="AL25" s="16" t="s">
        <v>38</v>
      </c>
      <c r="AM25" s="16" t="s">
        <v>38</v>
      </c>
      <c r="AN25" s="16" t="s">
        <v>39</v>
      </c>
      <c r="AO25" s="60" t="s">
        <v>38</v>
      </c>
      <c r="AP25" s="21"/>
      <c r="AQ25" s="24"/>
      <c r="AR25" s="10">
        <v>16</v>
      </c>
      <c r="AS25" s="10" t="s">
        <v>17</v>
      </c>
      <c r="AT25" s="10" t="str">
        <f t="shared" si="3"/>
        <v>January</v>
      </c>
      <c r="AU25" s="10">
        <v>1016</v>
      </c>
      <c r="AV25" s="9">
        <f t="shared" si="4"/>
        <v>24</v>
      </c>
      <c r="AW25" s="16">
        <f t="shared" si="5"/>
        <v>1</v>
      </c>
      <c r="AX25" s="16">
        <f t="shared" si="6"/>
        <v>2</v>
      </c>
      <c r="AY25" s="16">
        <f t="shared" si="7"/>
        <v>4</v>
      </c>
      <c r="AZ25" s="16">
        <f t="shared" si="8"/>
        <v>31</v>
      </c>
      <c r="BA25" s="16">
        <f>Janreport[[#This Row],[Days]]-Janreport[[#This Row],[Absent]]</f>
        <v>30</v>
      </c>
      <c r="BB25" s="19">
        <v>79000</v>
      </c>
      <c r="BC25" s="20">
        <f>Janreport[[#This Row],[Salary ]]/Janreport[[#This Row],[Days]]</f>
        <v>2548.3870967741937</v>
      </c>
      <c r="BD25" s="20">
        <f>Janreport[[#This Row],[Per Day Salary ]]*Janreport[[#This Row],[Absent]]</f>
        <v>2548.3870967741937</v>
      </c>
      <c r="BE25" s="20">
        <f>Janreport[[#This Row],[Salary ]]-Janreport[[#This Row],[Deduction]]</f>
        <v>76451.612903225803</v>
      </c>
      <c r="BF25" s="20"/>
      <c r="BG25" s="24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</row>
    <row r="26" spans="6:72" x14ac:dyDescent="0.25">
      <c r="F26" s="21"/>
      <c r="G26" s="8">
        <v>17</v>
      </c>
      <c r="H26" s="10" t="s">
        <v>18</v>
      </c>
      <c r="I26" s="10">
        <v>1017</v>
      </c>
      <c r="J26" s="47">
        <f t="shared" si="9"/>
        <v>4</v>
      </c>
      <c r="K26" s="16" t="s">
        <v>38</v>
      </c>
      <c r="L26" s="16" t="s">
        <v>38</v>
      </c>
      <c r="M26" s="16" t="s">
        <v>38</v>
      </c>
      <c r="N26" s="16" t="s">
        <v>38</v>
      </c>
      <c r="O26" s="44" t="str">
        <f t="shared" si="10"/>
        <v>WO</v>
      </c>
      <c r="P26" s="16" t="s">
        <v>38</v>
      </c>
      <c r="Q26" s="16" t="s">
        <v>38</v>
      </c>
      <c r="R26" s="16" t="s">
        <v>38</v>
      </c>
      <c r="S26" s="16" t="s">
        <v>38</v>
      </c>
      <c r="T26" s="16" t="s">
        <v>38</v>
      </c>
      <c r="U26" s="16" t="s">
        <v>38</v>
      </c>
      <c r="V26" s="44" t="str">
        <f t="shared" si="10"/>
        <v>WO</v>
      </c>
      <c r="W26" s="16" t="s">
        <v>38</v>
      </c>
      <c r="X26" s="16" t="s">
        <v>38</v>
      </c>
      <c r="Y26" s="16" t="s">
        <v>38</v>
      </c>
      <c r="Z26" s="16" t="s">
        <v>38</v>
      </c>
      <c r="AA26" s="16" t="s">
        <v>38</v>
      </c>
      <c r="AB26" s="16" t="s">
        <v>38</v>
      </c>
      <c r="AC26" s="44" t="str">
        <f t="shared" si="12"/>
        <v>WO</v>
      </c>
      <c r="AD26" s="16" t="s">
        <v>38</v>
      </c>
      <c r="AE26" s="16" t="s">
        <v>38</v>
      </c>
      <c r="AF26" s="16" t="s">
        <v>38</v>
      </c>
      <c r="AG26" s="16" t="s">
        <v>38</v>
      </c>
      <c r="AH26" s="16" t="s">
        <v>38</v>
      </c>
      <c r="AI26" s="16" t="s">
        <v>38</v>
      </c>
      <c r="AJ26" s="44" t="str">
        <f t="shared" si="12"/>
        <v>WO</v>
      </c>
      <c r="AK26" s="16" t="s">
        <v>38</v>
      </c>
      <c r="AL26" s="16" t="s">
        <v>38</v>
      </c>
      <c r="AM26" s="16" t="s">
        <v>38</v>
      </c>
      <c r="AN26" s="16" t="s">
        <v>38</v>
      </c>
      <c r="AO26" s="60" t="s">
        <v>38</v>
      </c>
      <c r="AP26" s="21"/>
      <c r="AQ26" s="24"/>
      <c r="AR26" s="10">
        <v>17</v>
      </c>
      <c r="AS26" s="10" t="s">
        <v>18</v>
      </c>
      <c r="AT26" s="10" t="str">
        <f t="shared" si="3"/>
        <v>January</v>
      </c>
      <c r="AU26" s="10">
        <v>1017</v>
      </c>
      <c r="AV26" s="9">
        <f t="shared" si="4"/>
        <v>27</v>
      </c>
      <c r="AW26" s="16">
        <f t="shared" si="5"/>
        <v>0</v>
      </c>
      <c r="AX26" s="16">
        <f t="shared" si="6"/>
        <v>0</v>
      </c>
      <c r="AY26" s="16">
        <f t="shared" si="7"/>
        <v>4</v>
      </c>
      <c r="AZ26" s="16">
        <f t="shared" si="8"/>
        <v>31</v>
      </c>
      <c r="BA26" s="16">
        <f>Janreport[[#This Row],[Days]]-Janreport[[#This Row],[Absent]]</f>
        <v>31</v>
      </c>
      <c r="BB26" s="19">
        <v>33000</v>
      </c>
      <c r="BC26" s="20">
        <f>Janreport[[#This Row],[Salary ]]/Janreport[[#This Row],[Days]]</f>
        <v>1064.516129032258</v>
      </c>
      <c r="BD26" s="20">
        <f>Janreport[[#This Row],[Per Day Salary ]]*Janreport[[#This Row],[Absent]]</f>
        <v>0</v>
      </c>
      <c r="BE26" s="20">
        <f>Janreport[[#This Row],[Salary ]]-Janreport[[#This Row],[Deduction]]</f>
        <v>33000</v>
      </c>
      <c r="BF26" s="20"/>
      <c r="BG26" s="24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</row>
    <row r="27" spans="6:72" x14ac:dyDescent="0.25">
      <c r="F27" s="21"/>
      <c r="G27" s="8">
        <v>18</v>
      </c>
      <c r="H27" s="10" t="s">
        <v>41</v>
      </c>
      <c r="I27" s="10">
        <v>1018</v>
      </c>
      <c r="J27" s="47">
        <f t="shared" si="9"/>
        <v>4</v>
      </c>
      <c r="K27" s="16" t="s">
        <v>38</v>
      </c>
      <c r="L27" s="16" t="s">
        <v>38</v>
      </c>
      <c r="M27" s="16" t="s">
        <v>38</v>
      </c>
      <c r="N27" s="16" t="s">
        <v>38</v>
      </c>
      <c r="O27" s="44" t="str">
        <f t="shared" si="10"/>
        <v>WO</v>
      </c>
      <c r="P27" s="16" t="s">
        <v>38</v>
      </c>
      <c r="Q27" s="16" t="s">
        <v>38</v>
      </c>
      <c r="R27" s="16" t="s">
        <v>38</v>
      </c>
      <c r="S27" s="16" t="s">
        <v>38</v>
      </c>
      <c r="T27" s="16" t="s">
        <v>38</v>
      </c>
      <c r="U27" s="16" t="s">
        <v>39</v>
      </c>
      <c r="V27" s="44" t="str">
        <f t="shared" si="10"/>
        <v>WO</v>
      </c>
      <c r="W27" s="16" t="s">
        <v>38</v>
      </c>
      <c r="X27" s="16" t="s">
        <v>38</v>
      </c>
      <c r="Y27" s="16" t="s">
        <v>38</v>
      </c>
      <c r="Z27" s="16" t="s">
        <v>38</v>
      </c>
      <c r="AA27" s="16" t="s">
        <v>38</v>
      </c>
      <c r="AB27" s="16" t="s">
        <v>38</v>
      </c>
      <c r="AC27" s="44" t="str">
        <f t="shared" si="12"/>
        <v>WO</v>
      </c>
      <c r="AD27" s="16" t="s">
        <v>38</v>
      </c>
      <c r="AE27" s="16" t="s">
        <v>39</v>
      </c>
      <c r="AF27" s="16" t="s">
        <v>38</v>
      </c>
      <c r="AG27" s="16" t="s">
        <v>38</v>
      </c>
      <c r="AH27" s="16" t="s">
        <v>38</v>
      </c>
      <c r="AI27" s="16" t="s">
        <v>38</v>
      </c>
      <c r="AJ27" s="44" t="str">
        <f t="shared" si="12"/>
        <v>WO</v>
      </c>
      <c r="AK27" s="16" t="s">
        <v>38</v>
      </c>
      <c r="AL27" s="16" t="s">
        <v>38</v>
      </c>
      <c r="AM27" s="16" t="s">
        <v>38</v>
      </c>
      <c r="AN27" s="16" t="s">
        <v>38</v>
      </c>
      <c r="AO27" s="60" t="s">
        <v>38</v>
      </c>
      <c r="AP27" s="21"/>
      <c r="AQ27" s="24"/>
      <c r="AR27" s="10">
        <v>18</v>
      </c>
      <c r="AS27" s="10" t="s">
        <v>41</v>
      </c>
      <c r="AT27" s="10" t="str">
        <f t="shared" si="3"/>
        <v>January</v>
      </c>
      <c r="AU27" s="10">
        <v>1018</v>
      </c>
      <c r="AV27" s="9">
        <f t="shared" si="4"/>
        <v>25</v>
      </c>
      <c r="AW27" s="16">
        <f t="shared" si="5"/>
        <v>2</v>
      </c>
      <c r="AX27" s="16">
        <f t="shared" si="6"/>
        <v>0</v>
      </c>
      <c r="AY27" s="16">
        <f t="shared" si="7"/>
        <v>4</v>
      </c>
      <c r="AZ27" s="16">
        <f t="shared" si="8"/>
        <v>31</v>
      </c>
      <c r="BA27" s="16">
        <f>Janreport[[#This Row],[Days]]-Janreport[[#This Row],[Absent]]</f>
        <v>29</v>
      </c>
      <c r="BB27" s="19">
        <v>12000</v>
      </c>
      <c r="BC27" s="20">
        <f>Janreport[[#This Row],[Salary ]]/Janreport[[#This Row],[Days]]</f>
        <v>387.09677419354841</v>
      </c>
      <c r="BD27" s="20">
        <f>Janreport[[#This Row],[Per Day Salary ]]*Janreport[[#This Row],[Absent]]</f>
        <v>774.19354838709683</v>
      </c>
      <c r="BE27" s="20">
        <f>Janreport[[#This Row],[Salary ]]-Janreport[[#This Row],[Deduction]]</f>
        <v>11225.806451612903</v>
      </c>
      <c r="BF27" s="20"/>
      <c r="BG27" s="24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</row>
    <row r="28" spans="6:72" x14ac:dyDescent="0.25">
      <c r="F28" s="21"/>
      <c r="G28" s="8">
        <v>19</v>
      </c>
      <c r="H28" s="10" t="s">
        <v>19</v>
      </c>
      <c r="I28" s="10">
        <v>1019</v>
      </c>
      <c r="J28" s="47">
        <f t="shared" si="9"/>
        <v>4</v>
      </c>
      <c r="K28" s="16" t="s">
        <v>38</v>
      </c>
      <c r="L28" s="16" t="s">
        <v>40</v>
      </c>
      <c r="M28" s="16" t="s">
        <v>38</v>
      </c>
      <c r="N28" s="16" t="s">
        <v>38</v>
      </c>
      <c r="O28" s="44" t="str">
        <f t="shared" si="10"/>
        <v>WO</v>
      </c>
      <c r="P28" s="16" t="s">
        <v>38</v>
      </c>
      <c r="Q28" s="16" t="s">
        <v>38</v>
      </c>
      <c r="R28" s="16" t="s">
        <v>39</v>
      </c>
      <c r="S28" s="16" t="s">
        <v>38</v>
      </c>
      <c r="T28" s="16" t="s">
        <v>38</v>
      </c>
      <c r="U28" s="16" t="s">
        <v>38</v>
      </c>
      <c r="V28" s="44" t="str">
        <f t="shared" si="10"/>
        <v>WO</v>
      </c>
      <c r="W28" s="16" t="s">
        <v>38</v>
      </c>
      <c r="X28" s="16" t="s">
        <v>39</v>
      </c>
      <c r="Y28" s="16" t="s">
        <v>38</v>
      </c>
      <c r="Z28" s="16" t="s">
        <v>38</v>
      </c>
      <c r="AA28" s="16" t="s">
        <v>38</v>
      </c>
      <c r="AB28" s="16" t="s">
        <v>38</v>
      </c>
      <c r="AC28" s="44" t="str">
        <f t="shared" si="12"/>
        <v>WO</v>
      </c>
      <c r="AD28" s="16" t="s">
        <v>38</v>
      </c>
      <c r="AE28" s="16" t="s">
        <v>38</v>
      </c>
      <c r="AF28" s="16" t="s">
        <v>38</v>
      </c>
      <c r="AG28" s="16" t="s">
        <v>38</v>
      </c>
      <c r="AH28" s="16" t="s">
        <v>38</v>
      </c>
      <c r="AI28" s="16" t="s">
        <v>38</v>
      </c>
      <c r="AJ28" s="44" t="str">
        <f t="shared" si="12"/>
        <v>WO</v>
      </c>
      <c r="AK28" s="16" t="s">
        <v>38</v>
      </c>
      <c r="AL28" s="16" t="s">
        <v>38</v>
      </c>
      <c r="AM28" s="16" t="s">
        <v>38</v>
      </c>
      <c r="AN28" s="16" t="s">
        <v>38</v>
      </c>
      <c r="AO28" s="60" t="s">
        <v>38</v>
      </c>
      <c r="AP28" s="21"/>
      <c r="AQ28" s="24"/>
      <c r="AR28" s="10">
        <v>19</v>
      </c>
      <c r="AS28" s="10" t="s">
        <v>19</v>
      </c>
      <c r="AT28" s="10" t="str">
        <f t="shared" si="3"/>
        <v>January</v>
      </c>
      <c r="AU28" s="10">
        <v>1019</v>
      </c>
      <c r="AV28" s="9">
        <f t="shared" si="4"/>
        <v>24</v>
      </c>
      <c r="AW28" s="16">
        <f t="shared" si="5"/>
        <v>2</v>
      </c>
      <c r="AX28" s="16">
        <f t="shared" si="6"/>
        <v>1</v>
      </c>
      <c r="AY28" s="16">
        <f t="shared" si="7"/>
        <v>4</v>
      </c>
      <c r="AZ28" s="16">
        <f t="shared" si="8"/>
        <v>31</v>
      </c>
      <c r="BA28" s="16">
        <f>Janreport[[#This Row],[Days]]-Janreport[[#This Row],[Absent]]</f>
        <v>29</v>
      </c>
      <c r="BB28" s="19">
        <v>19000</v>
      </c>
      <c r="BC28" s="20">
        <f>Janreport[[#This Row],[Salary ]]/Janreport[[#This Row],[Days]]</f>
        <v>612.90322580645159</v>
      </c>
      <c r="BD28" s="20">
        <f>Janreport[[#This Row],[Per Day Salary ]]*Janreport[[#This Row],[Absent]]</f>
        <v>1225.8064516129032</v>
      </c>
      <c r="BE28" s="20">
        <f>Janreport[[#This Row],[Salary ]]-Janreport[[#This Row],[Deduction]]</f>
        <v>17774.193548387098</v>
      </c>
      <c r="BF28" s="20"/>
      <c r="BG28" s="24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</row>
    <row r="29" spans="6:72" ht="16.5" thickBot="1" x14ac:dyDescent="0.3">
      <c r="F29" s="21"/>
      <c r="G29" s="11">
        <v>20</v>
      </c>
      <c r="H29" s="12" t="s">
        <v>24</v>
      </c>
      <c r="I29" s="12">
        <v>1020</v>
      </c>
      <c r="J29" s="48">
        <f t="shared" si="9"/>
        <v>4</v>
      </c>
      <c r="K29" s="70" t="s">
        <v>40</v>
      </c>
      <c r="L29" s="34" t="s">
        <v>38</v>
      </c>
      <c r="M29" s="34" t="s">
        <v>38</v>
      </c>
      <c r="N29" s="34" t="s">
        <v>38</v>
      </c>
      <c r="O29" s="45" t="str">
        <f t="shared" si="10"/>
        <v>WO</v>
      </c>
      <c r="P29" s="34" t="s">
        <v>40</v>
      </c>
      <c r="Q29" s="34" t="s">
        <v>38</v>
      </c>
      <c r="R29" s="34" t="s">
        <v>38</v>
      </c>
      <c r="S29" s="34" t="s">
        <v>38</v>
      </c>
      <c r="T29" s="34" t="s">
        <v>38</v>
      </c>
      <c r="U29" s="34" t="s">
        <v>38</v>
      </c>
      <c r="V29" s="45" t="str">
        <f t="shared" si="10"/>
        <v>WO</v>
      </c>
      <c r="W29" s="34" t="s">
        <v>40</v>
      </c>
      <c r="X29" s="34" t="s">
        <v>38</v>
      </c>
      <c r="Y29" s="34" t="s">
        <v>38</v>
      </c>
      <c r="Z29" s="34" t="s">
        <v>38</v>
      </c>
      <c r="AA29" s="34" t="s">
        <v>38</v>
      </c>
      <c r="AB29" s="34" t="s">
        <v>38</v>
      </c>
      <c r="AC29" s="45" t="str">
        <f t="shared" si="12"/>
        <v>WO</v>
      </c>
      <c r="AD29" s="34" t="s">
        <v>38</v>
      </c>
      <c r="AE29" s="34" t="s">
        <v>38</v>
      </c>
      <c r="AF29" s="34" t="s">
        <v>38</v>
      </c>
      <c r="AG29" s="34" t="s">
        <v>38</v>
      </c>
      <c r="AH29" s="34" t="s">
        <v>38</v>
      </c>
      <c r="AI29" s="34" t="s">
        <v>38</v>
      </c>
      <c r="AJ29" s="45" t="str">
        <f t="shared" si="12"/>
        <v>WO</v>
      </c>
      <c r="AK29" s="34" t="s">
        <v>39</v>
      </c>
      <c r="AL29" s="34" t="s">
        <v>38</v>
      </c>
      <c r="AM29" s="34" t="s">
        <v>38</v>
      </c>
      <c r="AN29" s="34" t="s">
        <v>38</v>
      </c>
      <c r="AO29" s="61" t="s">
        <v>38</v>
      </c>
      <c r="AP29" s="21"/>
      <c r="AQ29" s="24"/>
      <c r="AR29" s="10">
        <v>20</v>
      </c>
      <c r="AS29" s="10" t="s">
        <v>24</v>
      </c>
      <c r="AT29" s="10" t="str">
        <f t="shared" si="3"/>
        <v>January</v>
      </c>
      <c r="AU29" s="10">
        <v>1020</v>
      </c>
      <c r="AV29" s="9">
        <f t="shared" si="4"/>
        <v>23</v>
      </c>
      <c r="AW29" s="16">
        <f t="shared" si="5"/>
        <v>1</v>
      </c>
      <c r="AX29" s="16">
        <f t="shared" si="6"/>
        <v>3</v>
      </c>
      <c r="AY29" s="16">
        <f t="shared" si="7"/>
        <v>4</v>
      </c>
      <c r="AZ29" s="16">
        <f t="shared" si="8"/>
        <v>31</v>
      </c>
      <c r="BA29" s="16">
        <f>Janreport[[#This Row],[Days]]-Janreport[[#This Row],[Absent]]</f>
        <v>30</v>
      </c>
      <c r="BB29" s="19">
        <v>17000</v>
      </c>
      <c r="BC29" s="20">
        <f>Janreport[[#This Row],[Salary ]]/Janreport[[#This Row],[Days]]</f>
        <v>548.38709677419354</v>
      </c>
      <c r="BD29" s="20">
        <f>Janreport[[#This Row],[Per Day Salary ]]*Janreport[[#This Row],[Absent]]</f>
        <v>548.38709677419354</v>
      </c>
      <c r="BE29" s="20">
        <f>Janreport[[#This Row],[Salary ]]-Janreport[[#This Row],[Deduction]]</f>
        <v>16451.612903225807</v>
      </c>
      <c r="BF29" s="20"/>
      <c r="BG29" s="24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</row>
    <row r="30" spans="6:72" x14ac:dyDescent="0.25"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</row>
    <row r="31" spans="6:72" s="22" customFormat="1" x14ac:dyDescent="0.25"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</row>
    <row r="32" spans="6:72" s="22" customFormat="1" x14ac:dyDescent="0.25"/>
    <row r="33" spans="6:72" x14ac:dyDescent="0.25"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</row>
    <row r="34" spans="6:72" x14ac:dyDescent="0.25"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</row>
    <row r="35" spans="6:72" x14ac:dyDescent="0.25"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</row>
    <row r="36" spans="6:72" x14ac:dyDescent="0.25"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</row>
    <row r="37" spans="6:72" x14ac:dyDescent="0.25"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</row>
    <row r="38" spans="6:72" x14ac:dyDescent="0.25"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</row>
    <row r="39" spans="6:72" x14ac:dyDescent="0.25"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</row>
    <row r="40" spans="6:72" x14ac:dyDescent="0.25"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</row>
    <row r="41" spans="6:72" x14ac:dyDescent="0.25"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</row>
    <row r="42" spans="6:72" x14ac:dyDescent="0.25"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</row>
    <row r="43" spans="6:72" x14ac:dyDescent="0.25"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</row>
    <row r="44" spans="6:72" x14ac:dyDescent="0.25"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</row>
    <row r="45" spans="6:72" x14ac:dyDescent="0.25"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</row>
    <row r="46" spans="6:72" x14ac:dyDescent="0.25"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</row>
    <row r="47" spans="6:72" x14ac:dyDescent="0.25"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</row>
    <row r="48" spans="6:72" x14ac:dyDescent="0.25"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</row>
    <row r="49" spans="6:72" x14ac:dyDescent="0.25"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H49" s="22"/>
      <c r="BI49" s="22"/>
      <c r="BJ49" s="22"/>
      <c r="BK49" s="22"/>
      <c r="BM49" s="22"/>
      <c r="BN49" s="22"/>
      <c r="BO49" s="22"/>
      <c r="BP49" s="22"/>
      <c r="BQ49" s="22"/>
      <c r="BR49" s="22"/>
      <c r="BS49" s="22"/>
      <c r="BT49" s="22"/>
    </row>
    <row r="50" spans="6:72" x14ac:dyDescent="0.25"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</row>
    <row r="51" spans="6:72" x14ac:dyDescent="0.25"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</row>
    <row r="52" spans="6:72" x14ac:dyDescent="0.25"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</row>
    <row r="53" spans="6:72" x14ac:dyDescent="0.25"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H53" s="22"/>
      <c r="BI53" s="22"/>
      <c r="BJ53" s="22"/>
      <c r="BK53" s="22"/>
      <c r="BL53" s="22"/>
      <c r="BM53" s="22"/>
      <c r="BN53" s="22"/>
    </row>
    <row r="54" spans="6:72" x14ac:dyDescent="0.25"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H54" s="22"/>
      <c r="BI54" s="22"/>
      <c r="BJ54" s="22"/>
      <c r="BK54" s="22"/>
      <c r="BL54" s="22"/>
      <c r="BM54" s="22"/>
      <c r="BN54" s="22"/>
    </row>
    <row r="55" spans="6:72" x14ac:dyDescent="0.25"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H55" s="22"/>
      <c r="BI55" s="22"/>
      <c r="BJ55" s="22"/>
      <c r="BK55" s="22"/>
      <c r="BL55" s="22"/>
      <c r="BM55" s="22"/>
      <c r="BN55" s="22"/>
    </row>
    <row r="56" spans="6:72" x14ac:dyDescent="0.25"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H56" s="22"/>
      <c r="BI56" s="22"/>
      <c r="BJ56" s="22"/>
      <c r="BK56" s="22"/>
      <c r="BL56" s="22"/>
      <c r="BM56" s="22"/>
      <c r="BN56" s="22"/>
    </row>
    <row r="57" spans="6:72" x14ac:dyDescent="0.25"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H57" s="22"/>
      <c r="BI57" s="22"/>
      <c r="BJ57" s="22"/>
      <c r="BK57" s="22"/>
      <c r="BL57" s="22"/>
      <c r="BM57" s="22"/>
      <c r="BN57" s="22"/>
    </row>
    <row r="58" spans="6:72" x14ac:dyDescent="0.25"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H58" s="22"/>
      <c r="BI58" s="22"/>
      <c r="BJ58" s="22"/>
      <c r="BK58" s="22"/>
      <c r="BL58" s="22"/>
      <c r="BM58" s="22"/>
      <c r="BN58" s="22"/>
    </row>
    <row r="59" spans="6:72" x14ac:dyDescent="0.25"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H59" s="22"/>
      <c r="BI59" s="22"/>
      <c r="BJ59" s="22"/>
      <c r="BK59" s="22"/>
      <c r="BL59" s="22"/>
      <c r="BM59" s="22"/>
      <c r="BN59" s="22"/>
    </row>
    <row r="60" spans="6:72" x14ac:dyDescent="0.25"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H60" s="22"/>
      <c r="BI60" s="22"/>
      <c r="BJ60" s="22"/>
      <c r="BK60" s="22"/>
      <c r="BL60" s="22"/>
      <c r="BM60" s="22"/>
      <c r="BN60" s="22"/>
    </row>
    <row r="61" spans="6:72" x14ac:dyDescent="0.25"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H61" s="22"/>
      <c r="BI61" s="22"/>
      <c r="BJ61" s="22"/>
      <c r="BK61" s="22"/>
      <c r="BL61" s="22"/>
      <c r="BM61" s="22"/>
      <c r="BN61" s="22"/>
    </row>
    <row r="62" spans="6:72" x14ac:dyDescent="0.25"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H62" s="22"/>
      <c r="BI62" s="22"/>
      <c r="BJ62" s="22"/>
      <c r="BK62" s="22"/>
      <c r="BL62" s="22"/>
      <c r="BM62" s="22"/>
      <c r="BN62" s="22"/>
    </row>
    <row r="63" spans="6:72" x14ac:dyDescent="0.25"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H63" s="22"/>
      <c r="BI63" s="22"/>
      <c r="BJ63" s="22"/>
      <c r="BK63" s="22"/>
      <c r="BL63" s="22"/>
      <c r="BM63" s="22"/>
      <c r="BN63" s="22"/>
    </row>
    <row r="64" spans="6:72" x14ac:dyDescent="0.25"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H64" s="22"/>
      <c r="BI64" s="22"/>
      <c r="BJ64" s="22"/>
      <c r="BK64" s="22"/>
      <c r="BL64" s="22"/>
      <c r="BM64" s="22"/>
      <c r="BN64" s="22"/>
    </row>
    <row r="65" spans="6:66" x14ac:dyDescent="0.25"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H65" s="22"/>
      <c r="BI65" s="22"/>
      <c r="BJ65" s="22"/>
      <c r="BK65" s="22"/>
      <c r="BL65" s="22"/>
      <c r="BM65" s="22"/>
      <c r="BN65" s="22"/>
    </row>
    <row r="66" spans="6:66" x14ac:dyDescent="0.25"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H66" s="22"/>
      <c r="BI66" s="22"/>
      <c r="BJ66" s="22"/>
      <c r="BK66" s="22"/>
      <c r="BL66" s="22"/>
      <c r="BM66" s="22"/>
      <c r="BN66" s="22"/>
    </row>
    <row r="67" spans="6:66" x14ac:dyDescent="0.25"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H67" s="22"/>
      <c r="BI67" s="22"/>
      <c r="BJ67" s="22"/>
      <c r="BK67" s="22"/>
      <c r="BL67" s="22"/>
      <c r="BM67" s="22"/>
      <c r="BN67" s="22"/>
    </row>
    <row r="68" spans="6:66" x14ac:dyDescent="0.25"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H68" s="22"/>
      <c r="BI68" s="22"/>
      <c r="BJ68" s="22"/>
      <c r="BK68" s="22"/>
      <c r="BL68" s="22"/>
      <c r="BM68" s="22"/>
      <c r="BN68" s="22"/>
    </row>
    <row r="69" spans="6:66" x14ac:dyDescent="0.25"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H69" s="22"/>
      <c r="BI69" s="22"/>
      <c r="BJ69" s="22"/>
      <c r="BK69" s="22"/>
      <c r="BL69" s="22"/>
      <c r="BM69" s="22"/>
      <c r="BN69" s="22"/>
    </row>
    <row r="70" spans="6:66" x14ac:dyDescent="0.25"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H70" s="22"/>
      <c r="BI70" s="22"/>
      <c r="BJ70" s="22"/>
      <c r="BK70" s="22"/>
      <c r="BL70" s="22"/>
      <c r="BM70" s="22"/>
      <c r="BN70" s="22"/>
    </row>
    <row r="71" spans="6:66" x14ac:dyDescent="0.25"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H71" s="22"/>
      <c r="BI71" s="22"/>
      <c r="BJ71" s="22"/>
      <c r="BK71" s="22"/>
      <c r="BL71" s="22"/>
      <c r="BM71" s="22"/>
      <c r="BN71" s="22"/>
    </row>
    <row r="72" spans="6:66" x14ac:dyDescent="0.25"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H72" s="22"/>
      <c r="BI72" s="22"/>
      <c r="BJ72" s="22"/>
      <c r="BK72" s="22"/>
      <c r="BL72" s="22"/>
      <c r="BM72" s="22"/>
      <c r="BN72" s="22"/>
    </row>
    <row r="73" spans="6:66" x14ac:dyDescent="0.25"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H73" s="22"/>
      <c r="BI73" s="22"/>
      <c r="BJ73" s="22"/>
      <c r="BK73" s="22"/>
      <c r="BL73" s="22"/>
      <c r="BM73" s="22"/>
      <c r="BN73" s="22"/>
    </row>
    <row r="74" spans="6:66" x14ac:dyDescent="0.25"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H74" s="22"/>
      <c r="BI74" s="22"/>
      <c r="BJ74" s="22"/>
      <c r="BK74" s="22"/>
      <c r="BL74" s="22"/>
      <c r="BM74" s="22"/>
      <c r="BN74" s="22"/>
    </row>
    <row r="75" spans="6:66" x14ac:dyDescent="0.25"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H75" s="22"/>
      <c r="BI75" s="22"/>
      <c r="BJ75" s="22"/>
      <c r="BK75" s="22"/>
      <c r="BL75" s="22"/>
      <c r="BM75" s="22"/>
      <c r="BN75" s="22"/>
    </row>
    <row r="76" spans="6:66" x14ac:dyDescent="0.25"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H76" s="22"/>
      <c r="BI76" s="22"/>
      <c r="BJ76" s="22"/>
      <c r="BK76" s="22"/>
      <c r="BL76" s="22"/>
      <c r="BM76" s="22"/>
      <c r="BN76" s="22"/>
    </row>
    <row r="77" spans="6:66" x14ac:dyDescent="0.25"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H77" s="22"/>
      <c r="BI77" s="22"/>
      <c r="BJ77" s="22"/>
      <c r="BK77" s="22"/>
      <c r="BL77" s="22"/>
      <c r="BM77" s="22"/>
      <c r="BN77" s="22"/>
    </row>
    <row r="78" spans="6:66" x14ac:dyDescent="0.25"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H78" s="22"/>
      <c r="BI78" s="22"/>
      <c r="BJ78" s="22"/>
      <c r="BK78" s="22"/>
      <c r="BL78" s="22"/>
      <c r="BM78" s="22"/>
      <c r="BN78" s="22"/>
    </row>
    <row r="79" spans="6:66" x14ac:dyDescent="0.25"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H79" s="22"/>
      <c r="BI79" s="22"/>
      <c r="BJ79" s="22"/>
      <c r="BK79" s="22"/>
      <c r="BL79" s="22"/>
      <c r="BM79" s="22"/>
      <c r="BN79" s="22"/>
    </row>
    <row r="80" spans="6:66" x14ac:dyDescent="0.25"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H80" s="22"/>
      <c r="BI80" s="22"/>
      <c r="BJ80" s="22"/>
      <c r="BK80" s="22"/>
      <c r="BL80" s="22"/>
      <c r="BM80" s="22"/>
      <c r="BN80" s="22"/>
    </row>
    <row r="81" spans="6:66" x14ac:dyDescent="0.25"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H81" s="22"/>
      <c r="BI81" s="22"/>
      <c r="BJ81" s="22"/>
      <c r="BK81" s="22"/>
      <c r="BL81" s="22"/>
      <c r="BM81" s="22"/>
      <c r="BN81" s="22"/>
    </row>
    <row r="82" spans="6:66" x14ac:dyDescent="0.25"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H82" s="22"/>
      <c r="BI82" s="22"/>
      <c r="BJ82" s="22"/>
      <c r="BK82" s="22"/>
      <c r="BL82" s="22"/>
      <c r="BM82" s="22"/>
      <c r="BN82" s="22"/>
    </row>
    <row r="83" spans="6:66" x14ac:dyDescent="0.25"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H83" s="22"/>
      <c r="BI83" s="22"/>
      <c r="BJ83" s="22"/>
      <c r="BK83" s="22"/>
      <c r="BL83" s="22"/>
      <c r="BM83" s="22"/>
      <c r="BN83" s="22"/>
    </row>
    <row r="84" spans="6:66" x14ac:dyDescent="0.25"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H84" s="22"/>
      <c r="BI84" s="22"/>
      <c r="BJ84" s="22"/>
      <c r="BK84" s="22"/>
      <c r="BL84" s="22"/>
      <c r="BM84" s="22"/>
      <c r="BN84" s="22"/>
    </row>
    <row r="85" spans="6:66" x14ac:dyDescent="0.25"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H85" s="22"/>
      <c r="BI85" s="22"/>
      <c r="BJ85" s="22"/>
      <c r="BK85" s="22"/>
      <c r="BL85" s="22"/>
      <c r="BM85" s="22"/>
      <c r="BN85" s="22"/>
    </row>
    <row r="86" spans="6:66" x14ac:dyDescent="0.25"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H86" s="22"/>
      <c r="BI86" s="22"/>
      <c r="BJ86" s="22"/>
      <c r="BK86" s="22"/>
      <c r="BL86" s="22"/>
      <c r="BM86" s="22"/>
      <c r="BN86" s="22"/>
    </row>
    <row r="87" spans="6:66" x14ac:dyDescent="0.25"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H87" s="22"/>
      <c r="BI87" s="22"/>
      <c r="BJ87" s="22"/>
      <c r="BK87" s="22"/>
      <c r="BL87" s="22"/>
      <c r="BM87" s="22"/>
      <c r="BN87" s="22"/>
    </row>
    <row r="88" spans="6:66" x14ac:dyDescent="0.25"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H88" s="22"/>
      <c r="BI88" s="22"/>
      <c r="BJ88" s="22"/>
      <c r="BK88" s="22"/>
      <c r="BL88" s="22"/>
      <c r="BM88" s="22"/>
      <c r="BN88" s="22"/>
    </row>
    <row r="89" spans="6:66" x14ac:dyDescent="0.25"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H89" s="22"/>
      <c r="BI89" s="22"/>
      <c r="BJ89" s="22"/>
      <c r="BK89" s="22"/>
      <c r="BL89" s="22"/>
      <c r="BM89" s="22"/>
      <c r="BN89" s="22"/>
    </row>
    <row r="90" spans="6:66" x14ac:dyDescent="0.25"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H90" s="22"/>
      <c r="BI90" s="22"/>
      <c r="BJ90" s="22"/>
      <c r="BK90" s="22"/>
      <c r="BL90" s="22"/>
      <c r="BM90" s="22"/>
      <c r="BN90" s="22"/>
    </row>
    <row r="91" spans="6:66" x14ac:dyDescent="0.25"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H91" s="22"/>
      <c r="BI91" s="22"/>
      <c r="BJ91" s="22"/>
      <c r="BK91" s="22"/>
      <c r="BL91" s="22"/>
      <c r="BM91" s="22"/>
      <c r="BN91" s="22"/>
    </row>
    <row r="92" spans="6:66" x14ac:dyDescent="0.25"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H92" s="22"/>
      <c r="BI92" s="22"/>
      <c r="BJ92" s="22"/>
      <c r="BK92" s="22"/>
      <c r="BL92" s="22"/>
      <c r="BM92" s="22"/>
      <c r="BN92" s="22"/>
    </row>
    <row r="93" spans="6:66" x14ac:dyDescent="0.25"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H93" s="22"/>
      <c r="BI93" s="22"/>
      <c r="BJ93" s="22"/>
      <c r="BK93" s="22"/>
      <c r="BL93" s="22"/>
      <c r="BM93" s="22"/>
      <c r="BN93" s="22"/>
    </row>
    <row r="94" spans="6:66" x14ac:dyDescent="0.25"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H94" s="22"/>
      <c r="BI94" s="22"/>
      <c r="BJ94" s="22"/>
      <c r="BK94" s="22"/>
      <c r="BL94" s="22"/>
      <c r="BM94" s="22"/>
      <c r="BN94" s="22"/>
    </row>
    <row r="95" spans="6:66" x14ac:dyDescent="0.25"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H95" s="22"/>
      <c r="BI95" s="22"/>
      <c r="BJ95" s="22"/>
      <c r="BK95" s="22"/>
      <c r="BL95" s="22"/>
      <c r="BM95" s="22"/>
      <c r="BN95" s="22"/>
    </row>
    <row r="96" spans="6:66" x14ac:dyDescent="0.25"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H96" s="22"/>
      <c r="BI96" s="22"/>
      <c r="BJ96" s="22"/>
      <c r="BK96" s="22"/>
      <c r="BL96" s="22"/>
      <c r="BM96" s="22"/>
      <c r="BN96" s="22"/>
    </row>
    <row r="97" spans="6:66" x14ac:dyDescent="0.25"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H97" s="22"/>
      <c r="BI97" s="22"/>
      <c r="BJ97" s="22"/>
      <c r="BK97" s="22"/>
      <c r="BL97" s="22"/>
      <c r="BM97" s="22"/>
      <c r="BN97" s="22"/>
    </row>
    <row r="98" spans="6:66" x14ac:dyDescent="0.25"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H98" s="22"/>
      <c r="BI98" s="22"/>
      <c r="BJ98" s="22"/>
      <c r="BK98" s="22"/>
      <c r="BL98" s="22"/>
      <c r="BM98" s="22"/>
      <c r="BN98" s="22"/>
    </row>
    <row r="99" spans="6:66" x14ac:dyDescent="0.25"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H99" s="22"/>
      <c r="BI99" s="22"/>
      <c r="BJ99" s="22"/>
      <c r="BK99" s="22"/>
      <c r="BL99" s="22"/>
      <c r="BM99" s="22"/>
      <c r="BN99" s="22"/>
    </row>
    <row r="100" spans="6:66" x14ac:dyDescent="0.25"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H100" s="22"/>
      <c r="BI100" s="22"/>
      <c r="BJ100" s="22"/>
      <c r="BK100" s="22"/>
      <c r="BL100" s="22"/>
      <c r="BM100" s="22"/>
      <c r="BN100" s="22"/>
    </row>
    <row r="101" spans="6:66" x14ac:dyDescent="0.25"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H101" s="22"/>
      <c r="BI101" s="22"/>
      <c r="BJ101" s="22"/>
      <c r="BK101" s="22"/>
      <c r="BL101" s="22"/>
      <c r="BM101" s="22"/>
      <c r="BN101" s="22"/>
    </row>
    <row r="102" spans="6:66" x14ac:dyDescent="0.25"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H102" s="22"/>
      <c r="BI102" s="22"/>
      <c r="BJ102" s="22"/>
      <c r="BK102" s="22"/>
      <c r="BL102" s="22"/>
      <c r="BM102" s="22"/>
      <c r="BN102" s="22"/>
    </row>
    <row r="103" spans="6:66" x14ac:dyDescent="0.25"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H103" s="22"/>
      <c r="BI103" s="22"/>
      <c r="BJ103" s="22"/>
      <c r="BK103" s="22"/>
      <c r="BL103" s="22"/>
      <c r="BM103" s="22"/>
      <c r="BN103" s="22"/>
    </row>
    <row r="104" spans="6:66" x14ac:dyDescent="0.25"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H104" s="22"/>
      <c r="BI104" s="22"/>
      <c r="BJ104" s="22"/>
      <c r="BK104" s="22"/>
      <c r="BL104" s="22"/>
      <c r="BM104" s="22"/>
      <c r="BN104" s="22"/>
    </row>
    <row r="105" spans="6:66" x14ac:dyDescent="0.25"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H105" s="22"/>
      <c r="BI105" s="22"/>
      <c r="BJ105" s="22"/>
      <c r="BK105" s="22"/>
      <c r="BL105" s="22"/>
      <c r="BM105" s="22"/>
      <c r="BN105" s="22"/>
    </row>
    <row r="106" spans="6:66" x14ac:dyDescent="0.25"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H106" s="22"/>
      <c r="BI106" s="22"/>
      <c r="BJ106" s="22"/>
      <c r="BK106" s="22"/>
      <c r="BL106" s="22"/>
      <c r="BM106" s="22"/>
      <c r="BN106" s="22"/>
    </row>
    <row r="107" spans="6:66" x14ac:dyDescent="0.25"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H107" s="22"/>
      <c r="BI107" s="22"/>
      <c r="BJ107" s="22"/>
      <c r="BK107" s="22"/>
      <c r="BL107" s="22"/>
      <c r="BM107" s="22"/>
      <c r="BN107" s="22"/>
    </row>
    <row r="108" spans="6:66" x14ac:dyDescent="0.25"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H108" s="22"/>
      <c r="BI108" s="22"/>
      <c r="BJ108" s="22"/>
      <c r="BK108" s="22"/>
      <c r="BL108" s="22"/>
      <c r="BM108" s="22"/>
      <c r="BN108" s="22"/>
    </row>
    <row r="109" spans="6:66" x14ac:dyDescent="0.25"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H109" s="22"/>
      <c r="BI109" s="22"/>
      <c r="BJ109" s="22"/>
      <c r="BK109" s="22"/>
      <c r="BL109" s="22"/>
      <c r="BM109" s="22"/>
      <c r="BN109" s="22"/>
    </row>
    <row r="110" spans="6:66" x14ac:dyDescent="0.25"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H110" s="22"/>
      <c r="BI110" s="22"/>
      <c r="BJ110" s="22"/>
      <c r="BK110" s="22"/>
      <c r="BL110" s="22"/>
      <c r="BM110" s="22"/>
      <c r="BN110" s="22"/>
    </row>
    <row r="111" spans="6:66" x14ac:dyDescent="0.25"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H111" s="22"/>
      <c r="BI111" s="22"/>
      <c r="BJ111" s="22"/>
      <c r="BK111" s="22"/>
      <c r="BL111" s="22"/>
      <c r="BM111" s="22"/>
      <c r="BN111" s="22"/>
    </row>
    <row r="112" spans="6:66" x14ac:dyDescent="0.25"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H112" s="22"/>
      <c r="BI112" s="22"/>
      <c r="BJ112" s="22"/>
      <c r="BK112" s="22"/>
      <c r="BL112" s="22"/>
      <c r="BM112" s="22"/>
      <c r="BN112" s="22"/>
    </row>
    <row r="113" spans="6:66" x14ac:dyDescent="0.25"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H113" s="22"/>
      <c r="BI113" s="22"/>
      <c r="BJ113" s="22"/>
      <c r="BK113" s="22"/>
      <c r="BL113" s="22"/>
      <c r="BM113" s="22"/>
      <c r="BN113" s="22"/>
    </row>
    <row r="114" spans="6:66" x14ac:dyDescent="0.25"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H114" s="22"/>
      <c r="BI114" s="22"/>
      <c r="BJ114" s="22"/>
      <c r="BK114" s="22"/>
      <c r="BL114" s="22"/>
      <c r="BM114" s="22"/>
      <c r="BN114" s="22"/>
    </row>
    <row r="115" spans="6:66" x14ac:dyDescent="0.25"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H115" s="22"/>
      <c r="BI115" s="22"/>
      <c r="BJ115" s="22"/>
      <c r="BK115" s="22"/>
      <c r="BL115" s="22"/>
      <c r="BM115" s="22"/>
      <c r="BN115" s="22"/>
    </row>
    <row r="116" spans="6:66" x14ac:dyDescent="0.25"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H116" s="22"/>
      <c r="BI116" s="22"/>
      <c r="BJ116" s="22"/>
      <c r="BK116" s="22"/>
      <c r="BL116" s="22"/>
      <c r="BM116" s="22"/>
      <c r="BN116" s="22"/>
    </row>
    <row r="117" spans="6:66" x14ac:dyDescent="0.25"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H117" s="22"/>
      <c r="BI117" s="22"/>
      <c r="BJ117" s="22"/>
      <c r="BK117" s="22"/>
      <c r="BL117" s="22"/>
      <c r="BM117" s="22"/>
      <c r="BN117" s="22"/>
    </row>
    <row r="118" spans="6:66" x14ac:dyDescent="0.25"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H118" s="22"/>
      <c r="BI118" s="22"/>
      <c r="BJ118" s="22"/>
      <c r="BK118" s="22"/>
      <c r="BL118" s="22"/>
      <c r="BM118" s="22"/>
      <c r="BN118" s="22"/>
    </row>
    <row r="119" spans="6:66" x14ac:dyDescent="0.25"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H119" s="22"/>
      <c r="BI119" s="22"/>
      <c r="BJ119" s="22"/>
      <c r="BK119" s="22"/>
      <c r="BL119" s="22"/>
      <c r="BM119" s="22"/>
      <c r="BN119" s="22"/>
    </row>
    <row r="120" spans="6:66" x14ac:dyDescent="0.25"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H120" s="22"/>
      <c r="BI120" s="22"/>
      <c r="BJ120" s="22"/>
      <c r="BK120" s="22"/>
      <c r="BL120" s="22"/>
      <c r="BM120" s="22"/>
      <c r="BN120" s="22"/>
    </row>
    <row r="121" spans="6:66" x14ac:dyDescent="0.25"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H121" s="22"/>
      <c r="BI121" s="22"/>
      <c r="BJ121" s="22"/>
      <c r="BK121" s="22"/>
      <c r="BL121" s="22"/>
      <c r="BM121" s="22"/>
      <c r="BN121" s="22"/>
    </row>
    <row r="122" spans="6:66" x14ac:dyDescent="0.25"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H122" s="22"/>
      <c r="BI122" s="22"/>
      <c r="BJ122" s="22"/>
      <c r="BK122" s="22"/>
      <c r="BL122" s="22"/>
      <c r="BM122" s="22"/>
      <c r="BN122" s="22"/>
    </row>
    <row r="123" spans="6:66" x14ac:dyDescent="0.25"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H123" s="22"/>
      <c r="BI123" s="22"/>
      <c r="BJ123" s="22"/>
      <c r="BK123" s="22"/>
      <c r="BL123" s="22"/>
      <c r="BM123" s="22"/>
      <c r="BN123" s="22"/>
    </row>
    <row r="124" spans="6:66" x14ac:dyDescent="0.25"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H124" s="22"/>
      <c r="BI124" s="22"/>
      <c r="BJ124" s="22"/>
      <c r="BK124" s="22"/>
      <c r="BL124" s="22"/>
      <c r="BM124" s="22"/>
      <c r="BN124" s="22"/>
    </row>
    <row r="125" spans="6:66" x14ac:dyDescent="0.25"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H125" s="22"/>
      <c r="BI125" s="22"/>
      <c r="BJ125" s="22"/>
      <c r="BK125" s="22"/>
      <c r="BL125" s="22"/>
      <c r="BM125" s="22"/>
      <c r="BN125" s="22"/>
    </row>
    <row r="126" spans="6:66" x14ac:dyDescent="0.25"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H126" s="22"/>
      <c r="BI126" s="22"/>
      <c r="BJ126" s="22"/>
      <c r="BK126" s="22"/>
      <c r="BL126" s="22"/>
      <c r="BM126" s="22"/>
      <c r="BN126" s="22"/>
    </row>
    <row r="127" spans="6:66" x14ac:dyDescent="0.25"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H127" s="22"/>
      <c r="BI127" s="22"/>
      <c r="BJ127" s="22"/>
      <c r="BK127" s="22"/>
      <c r="BL127" s="22"/>
      <c r="BM127" s="22"/>
      <c r="BN127" s="22"/>
    </row>
    <row r="128" spans="6:66" x14ac:dyDescent="0.25"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H128" s="22"/>
      <c r="BI128" s="22"/>
      <c r="BJ128" s="22"/>
      <c r="BK128" s="22"/>
      <c r="BL128" s="22"/>
      <c r="BM128" s="22"/>
      <c r="BN128" s="22"/>
    </row>
    <row r="129" spans="6:66" x14ac:dyDescent="0.25"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H129" s="22"/>
      <c r="BI129" s="22"/>
      <c r="BJ129" s="22"/>
      <c r="BK129" s="22"/>
      <c r="BL129" s="22"/>
      <c r="BM129" s="22"/>
      <c r="BN129" s="22"/>
    </row>
    <row r="130" spans="6:66" x14ac:dyDescent="0.25"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H130" s="22"/>
      <c r="BI130" s="22"/>
      <c r="BJ130" s="22"/>
      <c r="BK130" s="22"/>
      <c r="BL130" s="22"/>
      <c r="BM130" s="22"/>
      <c r="BN130" s="22"/>
    </row>
    <row r="131" spans="6:66" x14ac:dyDescent="0.25"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H131" s="22"/>
      <c r="BI131" s="22"/>
      <c r="BJ131" s="22"/>
      <c r="BK131" s="22"/>
      <c r="BL131" s="22"/>
      <c r="BM131" s="22"/>
      <c r="BN131" s="22"/>
    </row>
    <row r="132" spans="6:66" x14ac:dyDescent="0.25"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H132" s="22"/>
      <c r="BI132" s="22"/>
      <c r="BJ132" s="22"/>
      <c r="BK132" s="22"/>
      <c r="BL132" s="22"/>
      <c r="BM132" s="22"/>
      <c r="BN132" s="22"/>
    </row>
    <row r="133" spans="6:66" x14ac:dyDescent="0.25"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H133" s="22"/>
      <c r="BI133" s="22"/>
      <c r="BJ133" s="22"/>
      <c r="BK133" s="22"/>
      <c r="BL133" s="22"/>
      <c r="BM133" s="22"/>
      <c r="BN133" s="22"/>
    </row>
    <row r="134" spans="6:66" x14ac:dyDescent="0.25"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H134" s="22"/>
      <c r="BI134" s="22"/>
      <c r="BJ134" s="22"/>
      <c r="BK134" s="22"/>
      <c r="BL134" s="22"/>
      <c r="BM134" s="22"/>
      <c r="BN134" s="22"/>
    </row>
    <row r="135" spans="6:66" x14ac:dyDescent="0.25"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H135" s="22"/>
      <c r="BI135" s="22"/>
      <c r="BJ135" s="22"/>
      <c r="BK135" s="22"/>
      <c r="BL135" s="22"/>
      <c r="BM135" s="22"/>
      <c r="BN135" s="22"/>
    </row>
    <row r="136" spans="6:66" x14ac:dyDescent="0.25"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H136" s="22"/>
      <c r="BI136" s="22"/>
      <c r="BJ136" s="22"/>
      <c r="BK136" s="22"/>
      <c r="BL136" s="22"/>
      <c r="BM136" s="22"/>
      <c r="BN136" s="22"/>
    </row>
    <row r="137" spans="6:66" x14ac:dyDescent="0.25"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H137" s="22"/>
      <c r="BI137" s="22"/>
      <c r="BJ137" s="22"/>
      <c r="BK137" s="22"/>
      <c r="BL137" s="22"/>
      <c r="BM137" s="22"/>
      <c r="BN137" s="22"/>
    </row>
    <row r="138" spans="6:66" x14ac:dyDescent="0.25"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H138" s="22"/>
      <c r="BI138" s="22"/>
      <c r="BJ138" s="22"/>
      <c r="BK138" s="22"/>
      <c r="BL138" s="22"/>
      <c r="BM138" s="22"/>
      <c r="BN138" s="22"/>
    </row>
    <row r="139" spans="6:66" x14ac:dyDescent="0.25"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H139" s="22"/>
      <c r="BI139" s="22"/>
      <c r="BJ139" s="22"/>
      <c r="BK139" s="22"/>
      <c r="BL139" s="22"/>
      <c r="BM139" s="22"/>
      <c r="BN139" s="22"/>
    </row>
    <row r="140" spans="6:66" x14ac:dyDescent="0.25"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H140" s="22"/>
      <c r="BI140" s="22"/>
      <c r="BJ140" s="22"/>
      <c r="BK140" s="22"/>
      <c r="BL140" s="22"/>
      <c r="BM140" s="22"/>
      <c r="BN140" s="22"/>
    </row>
    <row r="141" spans="6:66" x14ac:dyDescent="0.25"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H141" s="22"/>
      <c r="BI141" s="22"/>
      <c r="BJ141" s="22"/>
      <c r="BK141" s="22"/>
      <c r="BL141" s="22"/>
      <c r="BM141" s="22"/>
      <c r="BN141" s="22"/>
    </row>
    <row r="142" spans="6:66" x14ac:dyDescent="0.25"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H142" s="22"/>
      <c r="BI142" s="22"/>
      <c r="BJ142" s="22"/>
      <c r="BK142" s="22"/>
      <c r="BL142" s="22"/>
      <c r="BM142" s="22"/>
      <c r="BN142" s="22"/>
    </row>
    <row r="143" spans="6:66" x14ac:dyDescent="0.25"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H143" s="22"/>
      <c r="BI143" s="22"/>
      <c r="BJ143" s="22"/>
      <c r="BK143" s="22"/>
      <c r="BL143" s="22"/>
      <c r="BM143" s="22"/>
      <c r="BN143" s="22"/>
    </row>
    <row r="144" spans="6:66" x14ac:dyDescent="0.25"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H144" s="22"/>
      <c r="BI144" s="22"/>
      <c r="BJ144" s="22"/>
      <c r="BK144" s="22"/>
      <c r="BL144" s="22"/>
      <c r="BM144" s="22"/>
      <c r="BN144" s="22"/>
    </row>
    <row r="145" spans="6:66" x14ac:dyDescent="0.25"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H145" s="22"/>
      <c r="BI145" s="22"/>
      <c r="BJ145" s="22"/>
      <c r="BK145" s="22"/>
      <c r="BL145" s="22"/>
      <c r="BM145" s="22"/>
      <c r="BN145" s="22"/>
    </row>
    <row r="146" spans="6:66" x14ac:dyDescent="0.25"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H146" s="22"/>
      <c r="BI146" s="22"/>
      <c r="BJ146" s="22"/>
      <c r="BK146" s="22"/>
      <c r="BL146" s="22"/>
      <c r="BM146" s="22"/>
      <c r="BN146" s="22"/>
    </row>
    <row r="147" spans="6:66" x14ac:dyDescent="0.25"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H147" s="22"/>
      <c r="BI147" s="22"/>
      <c r="BJ147" s="22"/>
      <c r="BK147" s="22"/>
      <c r="BL147" s="22"/>
      <c r="BM147" s="22"/>
      <c r="BN147" s="22"/>
    </row>
    <row r="148" spans="6:66" x14ac:dyDescent="0.25"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H148" s="22"/>
      <c r="BI148" s="22"/>
      <c r="BJ148" s="22"/>
      <c r="BK148" s="22"/>
      <c r="BL148" s="22"/>
      <c r="BM148" s="22"/>
      <c r="BN148" s="22"/>
    </row>
    <row r="149" spans="6:66" x14ac:dyDescent="0.25"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H149" s="22"/>
      <c r="BI149" s="22"/>
      <c r="BJ149" s="22"/>
      <c r="BK149" s="22"/>
      <c r="BL149" s="22"/>
      <c r="BM149" s="22"/>
      <c r="BN149" s="22"/>
    </row>
    <row r="150" spans="6:66" x14ac:dyDescent="0.25"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H150" s="22"/>
      <c r="BI150" s="22"/>
      <c r="BJ150" s="22"/>
      <c r="BK150" s="22"/>
      <c r="BL150" s="22"/>
      <c r="BM150" s="22"/>
      <c r="BN150" s="22"/>
    </row>
    <row r="151" spans="6:66" x14ac:dyDescent="0.25"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H151" s="22"/>
      <c r="BI151" s="22"/>
      <c r="BJ151" s="22"/>
      <c r="BK151" s="22"/>
      <c r="BL151" s="22"/>
      <c r="BM151" s="22"/>
      <c r="BN151" s="22"/>
    </row>
    <row r="152" spans="6:66" x14ac:dyDescent="0.25"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H152" s="22"/>
      <c r="BI152" s="22"/>
      <c r="BJ152" s="22"/>
      <c r="BK152" s="22"/>
      <c r="BL152" s="22"/>
      <c r="BM152" s="22"/>
      <c r="BN152" s="22"/>
    </row>
    <row r="153" spans="6:66" x14ac:dyDescent="0.25"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H153" s="22"/>
      <c r="BI153" s="22"/>
      <c r="BJ153" s="22"/>
      <c r="BK153" s="22"/>
      <c r="BL153" s="22"/>
      <c r="BM153" s="22"/>
      <c r="BN153" s="22"/>
    </row>
    <row r="154" spans="6:66" x14ac:dyDescent="0.25"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H154" s="22"/>
      <c r="BI154" s="22"/>
      <c r="BJ154" s="22"/>
      <c r="BK154" s="22"/>
      <c r="BL154" s="22"/>
      <c r="BM154" s="22"/>
      <c r="BN154" s="22"/>
    </row>
    <row r="155" spans="6:66" x14ac:dyDescent="0.25"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H155" s="22"/>
      <c r="BI155" s="22"/>
      <c r="BJ155" s="22"/>
      <c r="BK155" s="22"/>
      <c r="BL155" s="22"/>
      <c r="BM155" s="22"/>
      <c r="BN155" s="22"/>
    </row>
    <row r="156" spans="6:66" x14ac:dyDescent="0.25"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H156" s="22"/>
      <c r="BI156" s="22"/>
      <c r="BJ156" s="22"/>
      <c r="BK156" s="22"/>
      <c r="BL156" s="22"/>
      <c r="BM156" s="22"/>
      <c r="BN156" s="22"/>
    </row>
    <row r="157" spans="6:66" x14ac:dyDescent="0.25"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H157" s="22"/>
      <c r="BI157" s="22"/>
      <c r="BJ157" s="22"/>
      <c r="BK157" s="22"/>
      <c r="BL157" s="22"/>
      <c r="BM157" s="22"/>
      <c r="BN157" s="22"/>
    </row>
    <row r="158" spans="6:66" x14ac:dyDescent="0.25"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H158" s="22"/>
      <c r="BI158" s="22"/>
      <c r="BJ158" s="22"/>
      <c r="BK158" s="22"/>
      <c r="BL158" s="22"/>
      <c r="BM158" s="22"/>
      <c r="BN158" s="22"/>
    </row>
    <row r="159" spans="6:66" x14ac:dyDescent="0.25"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H159" s="22"/>
      <c r="BI159" s="22"/>
      <c r="BJ159" s="22"/>
      <c r="BK159" s="22"/>
      <c r="BL159" s="22"/>
      <c r="BM159" s="22"/>
      <c r="BN159" s="22"/>
    </row>
    <row r="160" spans="6:66" x14ac:dyDescent="0.25"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H160" s="22"/>
      <c r="BI160" s="22"/>
      <c r="BJ160" s="22"/>
      <c r="BK160" s="22"/>
      <c r="BL160" s="22"/>
      <c r="BM160" s="22"/>
      <c r="BN160" s="22"/>
    </row>
    <row r="161" spans="6:66" x14ac:dyDescent="0.25"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H161" s="22"/>
      <c r="BI161" s="22"/>
      <c r="BJ161" s="22"/>
      <c r="BK161" s="22"/>
      <c r="BL161" s="22"/>
      <c r="BM161" s="22"/>
      <c r="BN161" s="22"/>
    </row>
    <row r="162" spans="6:66" x14ac:dyDescent="0.25"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H162" s="22"/>
      <c r="BI162" s="22"/>
      <c r="BJ162" s="22"/>
      <c r="BK162" s="22"/>
      <c r="BL162" s="22"/>
      <c r="BM162" s="22"/>
      <c r="BN162" s="22"/>
    </row>
    <row r="163" spans="6:66" x14ac:dyDescent="0.25"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H163" s="22"/>
      <c r="BI163" s="22"/>
      <c r="BJ163" s="22"/>
      <c r="BK163" s="22"/>
      <c r="BL163" s="22"/>
      <c r="BM163" s="22"/>
      <c r="BN163" s="22"/>
    </row>
    <row r="164" spans="6:66" x14ac:dyDescent="0.25"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H164" s="22"/>
      <c r="BI164" s="22"/>
      <c r="BJ164" s="22"/>
      <c r="BK164" s="22"/>
      <c r="BL164" s="22"/>
      <c r="BM164" s="22"/>
      <c r="BN164" s="22"/>
    </row>
    <row r="165" spans="6:66" x14ac:dyDescent="0.25"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H165" s="22"/>
      <c r="BI165" s="22"/>
      <c r="BJ165" s="22"/>
      <c r="BK165" s="22"/>
      <c r="BL165" s="22"/>
      <c r="BM165" s="22"/>
      <c r="BN165" s="22"/>
    </row>
    <row r="166" spans="6:66" x14ac:dyDescent="0.25"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H166" s="22"/>
      <c r="BI166" s="22"/>
      <c r="BJ166" s="22"/>
      <c r="BK166" s="22"/>
      <c r="BL166" s="22"/>
      <c r="BM166" s="22"/>
      <c r="BN166" s="22"/>
    </row>
    <row r="167" spans="6:66" x14ac:dyDescent="0.25"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H167" s="22"/>
      <c r="BI167" s="22"/>
      <c r="BJ167" s="22"/>
      <c r="BK167" s="22"/>
      <c r="BL167" s="22"/>
      <c r="BM167" s="22"/>
      <c r="BN167" s="22"/>
    </row>
    <row r="168" spans="6:66" x14ac:dyDescent="0.25"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H168" s="22"/>
      <c r="BI168" s="22"/>
      <c r="BJ168" s="22"/>
      <c r="BK168" s="22"/>
      <c r="BL168" s="22"/>
      <c r="BM168" s="22"/>
      <c r="BN168" s="22"/>
    </row>
    <row r="169" spans="6:66" x14ac:dyDescent="0.25"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H169" s="22"/>
      <c r="BI169" s="22"/>
      <c r="BJ169" s="22"/>
      <c r="BK169" s="22"/>
      <c r="BL169" s="22"/>
      <c r="BM169" s="22"/>
      <c r="BN169" s="22"/>
    </row>
    <row r="170" spans="6:66" x14ac:dyDescent="0.25"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H170" s="22"/>
      <c r="BI170" s="22"/>
      <c r="BJ170" s="22"/>
      <c r="BK170" s="22"/>
      <c r="BL170" s="22"/>
      <c r="BM170" s="22"/>
      <c r="BN170" s="22"/>
    </row>
    <row r="171" spans="6:66" x14ac:dyDescent="0.25"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H171" s="22"/>
      <c r="BI171" s="22"/>
      <c r="BJ171" s="22"/>
      <c r="BK171" s="22"/>
      <c r="BL171" s="22"/>
      <c r="BM171" s="22"/>
      <c r="BN171" s="22"/>
    </row>
    <row r="172" spans="6:66" x14ac:dyDescent="0.25"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H172" s="22"/>
      <c r="BI172" s="22"/>
      <c r="BJ172" s="22"/>
      <c r="BK172" s="22"/>
      <c r="BL172" s="22"/>
      <c r="BM172" s="22"/>
      <c r="BN172" s="22"/>
    </row>
    <row r="173" spans="6:66" x14ac:dyDescent="0.25"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H173" s="22"/>
      <c r="BI173" s="22"/>
      <c r="BJ173" s="22"/>
      <c r="BK173" s="22"/>
      <c r="BL173" s="22"/>
      <c r="BM173" s="22"/>
      <c r="BN173" s="22"/>
    </row>
    <row r="174" spans="6:66" x14ac:dyDescent="0.25"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H174" s="22"/>
      <c r="BI174" s="22"/>
      <c r="BJ174" s="22"/>
      <c r="BK174" s="22"/>
      <c r="BL174" s="22"/>
      <c r="BM174" s="22"/>
      <c r="BN174" s="22"/>
    </row>
    <row r="175" spans="6:66" x14ac:dyDescent="0.25"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H175" s="22"/>
      <c r="BI175" s="22"/>
      <c r="BJ175" s="22"/>
      <c r="BK175" s="22"/>
      <c r="BL175" s="22"/>
      <c r="BM175" s="22"/>
      <c r="BN175" s="22"/>
    </row>
    <row r="176" spans="6:66" x14ac:dyDescent="0.25"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H176" s="22"/>
      <c r="BI176" s="22"/>
      <c r="BJ176" s="22"/>
      <c r="BK176" s="22"/>
      <c r="BL176" s="22"/>
      <c r="BM176" s="22"/>
      <c r="BN176" s="22"/>
    </row>
    <row r="177" spans="6:66" x14ac:dyDescent="0.25"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H177" s="22"/>
      <c r="BI177" s="22"/>
      <c r="BJ177" s="22"/>
      <c r="BK177" s="22"/>
      <c r="BL177" s="22"/>
      <c r="BM177" s="22"/>
      <c r="BN177" s="22"/>
    </row>
    <row r="178" spans="6:66" x14ac:dyDescent="0.25"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H178" s="22"/>
      <c r="BI178" s="22"/>
      <c r="BJ178" s="22"/>
      <c r="BK178" s="22"/>
      <c r="BL178" s="22"/>
      <c r="BM178" s="22"/>
      <c r="BN178" s="22"/>
    </row>
    <row r="179" spans="6:66" x14ac:dyDescent="0.25"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H179" s="22"/>
      <c r="BI179" s="22"/>
      <c r="BJ179" s="22"/>
      <c r="BK179" s="22"/>
      <c r="BL179" s="22"/>
      <c r="BM179" s="22"/>
      <c r="BN179" s="22"/>
    </row>
    <row r="180" spans="6:66" x14ac:dyDescent="0.25"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H180" s="22"/>
      <c r="BI180" s="22"/>
      <c r="BJ180" s="22"/>
      <c r="BK180" s="22"/>
      <c r="BL180" s="22"/>
      <c r="BM180" s="22"/>
      <c r="BN180" s="22"/>
    </row>
    <row r="181" spans="6:66" x14ac:dyDescent="0.25"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H181" s="22"/>
      <c r="BI181" s="22"/>
      <c r="BJ181" s="22"/>
      <c r="BK181" s="22"/>
      <c r="BL181" s="22"/>
      <c r="BM181" s="22"/>
      <c r="BN181" s="22"/>
    </row>
    <row r="182" spans="6:66" x14ac:dyDescent="0.25"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H182" s="22"/>
      <c r="BI182" s="22"/>
      <c r="BJ182" s="22"/>
      <c r="BK182" s="22"/>
      <c r="BL182" s="22"/>
      <c r="BM182" s="22"/>
      <c r="BN182" s="22"/>
    </row>
    <row r="183" spans="6:66" x14ac:dyDescent="0.25"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H183" s="22"/>
      <c r="BI183" s="22"/>
      <c r="BJ183" s="22"/>
      <c r="BK183" s="22"/>
      <c r="BL183" s="22"/>
      <c r="BM183" s="22"/>
      <c r="BN183" s="22"/>
    </row>
    <row r="184" spans="6:66" x14ac:dyDescent="0.25"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H184" s="22"/>
      <c r="BI184" s="22"/>
      <c r="BJ184" s="22"/>
      <c r="BK184" s="22"/>
      <c r="BL184" s="22"/>
      <c r="BM184" s="22"/>
      <c r="BN184" s="22"/>
    </row>
    <row r="185" spans="6:66" x14ac:dyDescent="0.25"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H185" s="22"/>
      <c r="BI185" s="22"/>
      <c r="BJ185" s="22"/>
      <c r="BK185" s="22"/>
      <c r="BL185" s="22"/>
      <c r="BM185" s="22"/>
      <c r="BN185" s="22"/>
    </row>
    <row r="186" spans="6:66" x14ac:dyDescent="0.25"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H186" s="22"/>
      <c r="BI186" s="22"/>
      <c r="BJ186" s="22"/>
      <c r="BK186" s="22"/>
      <c r="BL186" s="22"/>
      <c r="BM186" s="22"/>
      <c r="BN186" s="22"/>
    </row>
    <row r="187" spans="6:66" x14ac:dyDescent="0.25"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H187" s="22"/>
      <c r="BI187" s="22"/>
      <c r="BJ187" s="22"/>
      <c r="BK187" s="22"/>
      <c r="BL187" s="22"/>
      <c r="BM187" s="22"/>
      <c r="BN187" s="22"/>
    </row>
    <row r="188" spans="6:66" x14ac:dyDescent="0.25"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H188" s="22"/>
      <c r="BI188" s="22"/>
      <c r="BJ188" s="22"/>
      <c r="BK188" s="22"/>
      <c r="BL188" s="22"/>
      <c r="BM188" s="22"/>
      <c r="BN188" s="22"/>
    </row>
    <row r="189" spans="6:66" x14ac:dyDescent="0.25"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H189" s="22"/>
      <c r="BI189" s="22"/>
      <c r="BJ189" s="22"/>
      <c r="BK189" s="22"/>
      <c r="BL189" s="22"/>
      <c r="BM189" s="22"/>
      <c r="BN189" s="22"/>
    </row>
    <row r="190" spans="6:66" x14ac:dyDescent="0.25"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H190" s="22"/>
      <c r="BI190" s="22"/>
      <c r="BJ190" s="22"/>
      <c r="BK190" s="22"/>
      <c r="BL190" s="22"/>
      <c r="BM190" s="22"/>
      <c r="BN190" s="22"/>
    </row>
    <row r="191" spans="6:66" x14ac:dyDescent="0.25"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H191" s="22"/>
      <c r="BI191" s="22"/>
      <c r="BJ191" s="22"/>
      <c r="BK191" s="22"/>
      <c r="BL191" s="22"/>
      <c r="BM191" s="22"/>
      <c r="BN191" s="22"/>
    </row>
    <row r="192" spans="6:66" x14ac:dyDescent="0.25"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H192" s="22"/>
      <c r="BI192" s="22"/>
      <c r="BJ192" s="22"/>
      <c r="BK192" s="22"/>
      <c r="BL192" s="22"/>
      <c r="BM192" s="22"/>
      <c r="BN192" s="22"/>
    </row>
    <row r="193" spans="6:66" x14ac:dyDescent="0.25"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H193" s="22"/>
      <c r="BI193" s="22"/>
      <c r="BJ193" s="22"/>
      <c r="BK193" s="22"/>
      <c r="BL193" s="22"/>
      <c r="BM193" s="22"/>
      <c r="BN193" s="22"/>
    </row>
    <row r="194" spans="6:66" x14ac:dyDescent="0.25"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H194" s="22"/>
      <c r="BI194" s="22"/>
      <c r="BJ194" s="22"/>
      <c r="BK194" s="22"/>
      <c r="BL194" s="22"/>
      <c r="BM194" s="22"/>
      <c r="BN194" s="22"/>
    </row>
    <row r="195" spans="6:66" x14ac:dyDescent="0.25">
      <c r="BH195" s="22"/>
      <c r="BI195" s="22"/>
      <c r="BJ195" s="22"/>
      <c r="BK195" s="22"/>
      <c r="BL195" s="22"/>
      <c r="BM195" s="22"/>
      <c r="BN195" s="22"/>
    </row>
    <row r="196" spans="6:66" x14ac:dyDescent="0.25">
      <c r="BH196" s="22"/>
      <c r="BI196" s="22"/>
      <c r="BJ196" s="22"/>
      <c r="BK196" s="22"/>
      <c r="BL196" s="22"/>
      <c r="BM196" s="22"/>
      <c r="BN196" s="22"/>
    </row>
    <row r="197" spans="6:66" x14ac:dyDescent="0.25">
      <c r="BH197" s="22"/>
      <c r="BI197" s="22"/>
      <c r="BJ197" s="22"/>
      <c r="BK197" s="22"/>
      <c r="BL197" s="22"/>
      <c r="BM197" s="22"/>
      <c r="BN197" s="22"/>
    </row>
    <row r="198" spans="6:66" x14ac:dyDescent="0.25">
      <c r="BH198" s="22"/>
      <c r="BI198" s="22"/>
      <c r="BJ198" s="22"/>
      <c r="BK198" s="22"/>
      <c r="BL198" s="22"/>
      <c r="BM198" s="22"/>
      <c r="BN198" s="22"/>
    </row>
    <row r="199" spans="6:66" x14ac:dyDescent="0.25">
      <c r="BH199" s="22"/>
      <c r="BI199" s="22"/>
      <c r="BJ199" s="22"/>
      <c r="BK199" s="22"/>
      <c r="BL199" s="22"/>
      <c r="BM199" s="22"/>
      <c r="BN199" s="22"/>
    </row>
    <row r="200" spans="6:66" x14ac:dyDescent="0.25">
      <c r="BH200" s="22"/>
      <c r="BI200" s="22"/>
      <c r="BJ200" s="22"/>
      <c r="BK200" s="22"/>
      <c r="BL200" s="22"/>
      <c r="BM200" s="22"/>
      <c r="BN200" s="22"/>
    </row>
    <row r="201" spans="6:66" x14ac:dyDescent="0.25">
      <c r="BH201" s="22"/>
      <c r="BI201" s="22"/>
      <c r="BJ201" s="22"/>
      <c r="BK201" s="22"/>
      <c r="BL201" s="22"/>
      <c r="BM201" s="22"/>
      <c r="BN201" s="22"/>
    </row>
    <row r="202" spans="6:66" x14ac:dyDescent="0.25">
      <c r="BH202" s="22"/>
      <c r="BI202" s="22"/>
      <c r="BJ202" s="22"/>
      <c r="BK202" s="22"/>
      <c r="BL202" s="22"/>
      <c r="BM202" s="22"/>
      <c r="BN202" s="22"/>
    </row>
    <row r="203" spans="6:66" x14ac:dyDescent="0.25">
      <c r="BH203" s="22"/>
      <c r="BI203" s="22"/>
      <c r="BJ203" s="22"/>
      <c r="BK203" s="22"/>
      <c r="BL203" s="22"/>
      <c r="BM203" s="22"/>
      <c r="BN203" s="22"/>
    </row>
    <row r="204" spans="6:66" x14ac:dyDescent="0.25">
      <c r="BH204" s="22"/>
      <c r="BI204" s="22"/>
      <c r="BJ204" s="22"/>
      <c r="BK204" s="22"/>
      <c r="BL204" s="22"/>
      <c r="BM204" s="22"/>
      <c r="BN204" s="22"/>
    </row>
    <row r="205" spans="6:66" x14ac:dyDescent="0.25">
      <c r="BH205" s="22"/>
      <c r="BI205" s="22"/>
      <c r="BJ205" s="22"/>
      <c r="BK205" s="22"/>
      <c r="BL205" s="22"/>
      <c r="BM205" s="22"/>
      <c r="BN205" s="22"/>
    </row>
    <row r="206" spans="6:66" x14ac:dyDescent="0.25">
      <c r="BH206" s="22"/>
      <c r="BI206" s="22"/>
      <c r="BJ206" s="22"/>
      <c r="BK206" s="22"/>
      <c r="BL206" s="22"/>
      <c r="BM206" s="22"/>
      <c r="BN206" s="22"/>
    </row>
    <row r="207" spans="6:66" x14ac:dyDescent="0.25">
      <c r="BH207" s="22"/>
      <c r="BI207" s="22"/>
      <c r="BJ207" s="22"/>
      <c r="BK207" s="22"/>
      <c r="BL207" s="22"/>
      <c r="BM207" s="22"/>
      <c r="BN207" s="22"/>
    </row>
    <row r="208" spans="6:66" x14ac:dyDescent="0.25">
      <c r="BH208" s="22"/>
      <c r="BI208" s="22"/>
      <c r="BJ208" s="22"/>
      <c r="BK208" s="22"/>
      <c r="BL208" s="22"/>
      <c r="BM208" s="22"/>
      <c r="BN208" s="22"/>
    </row>
    <row r="209" spans="60:66" x14ac:dyDescent="0.25">
      <c r="BH209" s="22"/>
      <c r="BI209" s="22"/>
      <c r="BJ209" s="22"/>
      <c r="BK209" s="22"/>
      <c r="BL209" s="22"/>
      <c r="BM209" s="22"/>
      <c r="BN209" s="22"/>
    </row>
    <row r="210" spans="60:66" x14ac:dyDescent="0.25">
      <c r="BH210" s="22"/>
      <c r="BI210" s="22"/>
      <c r="BJ210" s="22"/>
      <c r="BK210" s="22"/>
      <c r="BL210" s="22"/>
      <c r="BM210" s="22"/>
      <c r="BN210" s="22"/>
    </row>
    <row r="211" spans="60:66" x14ac:dyDescent="0.25">
      <c r="BH211" s="22"/>
      <c r="BI211" s="22"/>
      <c r="BJ211" s="22"/>
      <c r="BK211" s="22"/>
      <c r="BL211" s="22"/>
      <c r="BM211" s="22"/>
      <c r="BN211" s="22"/>
    </row>
    <row r="212" spans="60:66" x14ac:dyDescent="0.25">
      <c r="BH212" s="22"/>
      <c r="BI212" s="22"/>
      <c r="BJ212" s="22"/>
      <c r="BK212" s="22"/>
      <c r="BL212" s="22"/>
      <c r="BM212" s="22"/>
      <c r="BN212" s="22"/>
    </row>
    <row r="213" spans="60:66" x14ac:dyDescent="0.25">
      <c r="BH213" s="22"/>
      <c r="BI213" s="22"/>
      <c r="BJ213" s="22"/>
      <c r="BK213" s="22"/>
      <c r="BL213" s="22"/>
      <c r="BM213" s="22"/>
      <c r="BN213" s="22"/>
    </row>
    <row r="214" spans="60:66" x14ac:dyDescent="0.25">
      <c r="BH214" s="22"/>
      <c r="BI214" s="22"/>
      <c r="BJ214" s="22"/>
      <c r="BK214" s="22"/>
      <c r="BL214" s="22"/>
      <c r="BM214" s="22"/>
      <c r="BN214" s="22"/>
    </row>
    <row r="215" spans="60:66" x14ac:dyDescent="0.25">
      <c r="BH215" s="22"/>
      <c r="BI215" s="22"/>
      <c r="BJ215" s="22"/>
      <c r="BK215" s="22"/>
      <c r="BL215" s="22"/>
      <c r="BM215" s="22"/>
      <c r="BN215" s="22"/>
    </row>
    <row r="216" spans="60:66" x14ac:dyDescent="0.25">
      <c r="BH216" s="22"/>
      <c r="BI216" s="22"/>
      <c r="BJ216" s="22"/>
      <c r="BK216" s="22"/>
      <c r="BL216" s="22"/>
      <c r="BM216" s="22"/>
      <c r="BN216" s="22"/>
    </row>
    <row r="217" spans="60:66" x14ac:dyDescent="0.25">
      <c r="BH217" s="22"/>
      <c r="BI217" s="22"/>
      <c r="BJ217" s="22"/>
      <c r="BK217" s="22"/>
      <c r="BL217" s="22"/>
      <c r="BM217" s="22"/>
      <c r="BN217" s="22"/>
    </row>
    <row r="218" spans="60:66" x14ac:dyDescent="0.25">
      <c r="BH218" s="22"/>
      <c r="BI218" s="22"/>
      <c r="BJ218" s="22"/>
      <c r="BK218" s="22"/>
      <c r="BL218" s="22"/>
      <c r="BM218" s="22"/>
      <c r="BN218" s="22"/>
    </row>
    <row r="219" spans="60:66" x14ac:dyDescent="0.25">
      <c r="BH219" s="22"/>
      <c r="BI219" s="22"/>
      <c r="BJ219" s="22"/>
      <c r="BK219" s="22"/>
      <c r="BL219" s="22"/>
      <c r="BM219" s="22"/>
      <c r="BN219" s="22"/>
    </row>
    <row r="220" spans="60:66" x14ac:dyDescent="0.25">
      <c r="BH220" s="22"/>
      <c r="BI220" s="22"/>
      <c r="BJ220" s="22"/>
      <c r="BK220" s="22"/>
      <c r="BL220" s="22"/>
      <c r="BM220" s="22"/>
      <c r="BN220" s="22"/>
    </row>
    <row r="221" spans="60:66" x14ac:dyDescent="0.25">
      <c r="BH221" s="22"/>
      <c r="BI221" s="22"/>
      <c r="BJ221" s="22"/>
      <c r="BK221" s="22"/>
      <c r="BL221" s="22"/>
      <c r="BM221" s="22"/>
      <c r="BN221" s="22"/>
    </row>
    <row r="222" spans="60:66" x14ac:dyDescent="0.25">
      <c r="BH222" s="22"/>
      <c r="BI222" s="22"/>
      <c r="BJ222" s="22"/>
      <c r="BK222" s="22"/>
      <c r="BL222" s="22"/>
      <c r="BM222" s="22"/>
      <c r="BN222" s="22"/>
    </row>
    <row r="223" spans="60:66" x14ac:dyDescent="0.25">
      <c r="BH223" s="22"/>
      <c r="BI223" s="22"/>
      <c r="BJ223" s="22"/>
      <c r="BK223" s="22"/>
      <c r="BL223" s="22"/>
      <c r="BM223" s="22"/>
      <c r="BN223" s="22"/>
    </row>
    <row r="224" spans="60:66" x14ac:dyDescent="0.25">
      <c r="BH224" s="22"/>
      <c r="BI224" s="22"/>
      <c r="BJ224" s="22"/>
      <c r="BK224" s="22"/>
      <c r="BL224" s="22"/>
      <c r="BM224" s="22"/>
      <c r="BN224" s="22"/>
    </row>
    <row r="225" spans="60:66" x14ac:dyDescent="0.25">
      <c r="BH225" s="22"/>
      <c r="BI225" s="22"/>
      <c r="BJ225" s="22"/>
      <c r="BK225" s="22"/>
      <c r="BL225" s="22"/>
      <c r="BM225" s="22"/>
      <c r="BN225" s="22"/>
    </row>
    <row r="226" spans="60:66" x14ac:dyDescent="0.25">
      <c r="BH226" s="22"/>
      <c r="BI226" s="22"/>
      <c r="BJ226" s="22"/>
      <c r="BK226" s="22"/>
      <c r="BL226" s="22"/>
      <c r="BM226" s="22"/>
      <c r="BN226" s="22"/>
    </row>
    <row r="227" spans="60:66" x14ac:dyDescent="0.25">
      <c r="BH227" s="22"/>
      <c r="BI227" s="22"/>
      <c r="BJ227" s="22"/>
      <c r="BK227" s="22"/>
      <c r="BL227" s="22"/>
      <c r="BM227" s="22"/>
      <c r="BN227" s="22"/>
    </row>
    <row r="228" spans="60:66" x14ac:dyDescent="0.25">
      <c r="BH228" s="22"/>
      <c r="BI228" s="22"/>
      <c r="BJ228" s="22"/>
      <c r="BK228" s="22"/>
      <c r="BL228" s="22"/>
      <c r="BM228" s="22"/>
      <c r="BN228" s="22"/>
    </row>
    <row r="229" spans="60:66" x14ac:dyDescent="0.25">
      <c r="BH229" s="22"/>
      <c r="BI229" s="22"/>
      <c r="BJ229" s="22"/>
      <c r="BK229" s="22"/>
      <c r="BL229" s="22"/>
      <c r="BM229" s="22"/>
      <c r="BN229" s="22"/>
    </row>
    <row r="230" spans="60:66" x14ac:dyDescent="0.25">
      <c r="BH230" s="22"/>
      <c r="BI230" s="22"/>
      <c r="BJ230" s="22"/>
      <c r="BK230" s="22"/>
      <c r="BL230" s="22"/>
      <c r="BM230" s="22"/>
      <c r="BN230" s="22"/>
    </row>
    <row r="231" spans="60:66" x14ac:dyDescent="0.25">
      <c r="BH231" s="22"/>
      <c r="BI231" s="22"/>
      <c r="BJ231" s="22"/>
      <c r="BK231" s="22"/>
      <c r="BL231" s="22"/>
      <c r="BM231" s="22"/>
      <c r="BN231" s="22"/>
    </row>
    <row r="232" spans="60:66" x14ac:dyDescent="0.25">
      <c r="BH232" s="22"/>
      <c r="BI232" s="22"/>
      <c r="BJ232" s="22"/>
      <c r="BK232" s="22"/>
      <c r="BL232" s="22"/>
      <c r="BM232" s="22"/>
      <c r="BN232" s="22"/>
    </row>
    <row r="233" spans="60:66" x14ac:dyDescent="0.25">
      <c r="BH233" s="22"/>
      <c r="BI233" s="22"/>
      <c r="BJ233" s="22"/>
      <c r="BK233" s="22"/>
      <c r="BL233" s="22"/>
      <c r="BM233" s="22"/>
      <c r="BN233" s="22"/>
    </row>
    <row r="234" spans="60:66" x14ac:dyDescent="0.25">
      <c r="BH234" s="22"/>
      <c r="BI234" s="22"/>
      <c r="BJ234" s="22"/>
      <c r="BK234" s="22"/>
      <c r="BL234" s="22"/>
      <c r="BM234" s="22"/>
      <c r="BN234" s="22"/>
    </row>
    <row r="235" spans="60:66" x14ac:dyDescent="0.25">
      <c r="BH235" s="22"/>
      <c r="BI235" s="22"/>
      <c r="BJ235" s="22"/>
      <c r="BK235" s="22"/>
      <c r="BL235" s="22"/>
      <c r="BM235" s="22"/>
      <c r="BN235" s="22"/>
    </row>
    <row r="236" spans="60:66" x14ac:dyDescent="0.25">
      <c r="BH236" s="22"/>
      <c r="BI236" s="22"/>
      <c r="BJ236" s="22"/>
      <c r="BK236" s="22"/>
      <c r="BL236" s="22"/>
      <c r="BM236" s="22"/>
      <c r="BN236" s="22"/>
    </row>
    <row r="237" spans="60:66" x14ac:dyDescent="0.25">
      <c r="BH237" s="22"/>
      <c r="BI237" s="22"/>
      <c r="BJ237" s="22"/>
      <c r="BK237" s="22"/>
      <c r="BL237" s="22"/>
      <c r="BM237" s="22"/>
      <c r="BN237" s="22"/>
    </row>
    <row r="238" spans="60:66" x14ac:dyDescent="0.25">
      <c r="BH238" s="22"/>
      <c r="BI238" s="22"/>
      <c r="BJ238" s="22"/>
      <c r="BK238" s="22"/>
      <c r="BL238" s="22"/>
      <c r="BM238" s="22"/>
      <c r="BN238" s="22"/>
    </row>
    <row r="239" spans="60:66" x14ac:dyDescent="0.25">
      <c r="BH239" s="22"/>
      <c r="BI239" s="22"/>
      <c r="BJ239" s="22"/>
      <c r="BK239" s="22"/>
      <c r="BL239" s="22"/>
      <c r="BM239" s="22"/>
      <c r="BN239" s="22"/>
    </row>
    <row r="240" spans="60:66" x14ac:dyDescent="0.25">
      <c r="BH240" s="22"/>
      <c r="BI240" s="22"/>
      <c r="BJ240" s="22"/>
      <c r="BK240" s="22"/>
      <c r="BL240" s="22"/>
      <c r="BM240" s="22"/>
      <c r="BN240" s="22"/>
    </row>
    <row r="241" spans="60:66" x14ac:dyDescent="0.25">
      <c r="BH241" s="22"/>
      <c r="BI241" s="22"/>
      <c r="BJ241" s="22"/>
      <c r="BK241" s="22"/>
      <c r="BL241" s="22"/>
      <c r="BM241" s="22"/>
      <c r="BN241" s="22"/>
    </row>
    <row r="242" spans="60:66" x14ac:dyDescent="0.25">
      <c r="BH242" s="22"/>
      <c r="BI242" s="22"/>
      <c r="BJ242" s="22"/>
      <c r="BK242" s="22"/>
      <c r="BL242" s="22"/>
      <c r="BM242" s="22"/>
      <c r="BN242" s="22"/>
    </row>
    <row r="243" spans="60:66" x14ac:dyDescent="0.25">
      <c r="BH243" s="22"/>
      <c r="BI243" s="22"/>
      <c r="BJ243" s="22"/>
      <c r="BK243" s="22"/>
      <c r="BL243" s="22"/>
      <c r="BM243" s="22"/>
      <c r="BN243" s="22"/>
    </row>
    <row r="244" spans="60:66" x14ac:dyDescent="0.25">
      <c r="BH244" s="22"/>
      <c r="BI244" s="22"/>
      <c r="BJ244" s="22"/>
      <c r="BK244" s="22"/>
      <c r="BL244" s="22"/>
      <c r="BM244" s="22"/>
      <c r="BN244" s="22"/>
    </row>
    <row r="245" spans="60:66" x14ac:dyDescent="0.25">
      <c r="BH245" s="22"/>
      <c r="BI245" s="22"/>
      <c r="BJ245" s="22"/>
      <c r="BK245" s="22"/>
      <c r="BL245" s="22"/>
      <c r="BM245" s="22"/>
      <c r="BN245" s="22"/>
    </row>
    <row r="246" spans="60:66" x14ac:dyDescent="0.25">
      <c r="BH246" s="22"/>
      <c r="BI246" s="22"/>
      <c r="BJ246" s="22"/>
      <c r="BK246" s="22"/>
      <c r="BL246" s="22"/>
      <c r="BM246" s="22"/>
      <c r="BN246" s="22"/>
    </row>
    <row r="247" spans="60:66" x14ac:dyDescent="0.25">
      <c r="BH247" s="22"/>
      <c r="BI247" s="22"/>
      <c r="BJ247" s="22"/>
      <c r="BK247" s="22"/>
      <c r="BL247" s="22"/>
      <c r="BM247" s="22"/>
      <c r="BN247" s="22"/>
    </row>
  </sheetData>
  <conditionalFormatting sqref="K10:AO29">
    <cfRule type="containsText" dxfId="167" priority="1" operator="containsText" text="L">
      <formula>NOT(ISERROR(SEARCH("L",K10)))</formula>
    </cfRule>
    <cfRule type="containsText" dxfId="166" priority="2" operator="containsText" text="A">
      <formula>NOT(ISERROR(SEARCH("A",K10)))</formula>
    </cfRule>
    <cfRule type="containsText" dxfId="165" priority="3" operator="containsText" text="P">
      <formula>NOT(ISERROR(SEARCH("P",K10)))</formula>
    </cfRule>
  </conditionalFormatting>
  <conditionalFormatting sqref="L10:AO10 J10:N29 P10:U29 W10:AB29 AD10:AI29 AK11:AO29">
    <cfRule type="containsText" dxfId="164" priority="4" operator="containsText" text="WO">
      <formula>NOT(ISERROR(SEARCH("WO",J10)))</formula>
    </cfRule>
  </conditionalFormatting>
  <conditionalFormatting sqref="W10:W11 AD10:AD11 K11:V11 X11:AO11 K12:AO29">
    <cfRule type="containsText" dxfId="163" priority="8" operator="containsText" text="WO">
      <formula>NOT(ISERROR(SEARCH("WO",K10)))</formula>
    </cfRule>
  </conditionalFormatting>
  <dataValidations count="1">
    <dataValidation type="list" allowBlank="1" showInputMessage="1" showErrorMessage="1" sqref="AD10:AI29 AK10:AO29 P10:U29 W10:AB29 K10:N29" xr:uid="{761D3AA9-0E52-45AD-9C9E-E6CB71A264AB}">
      <formula1>"P, A, L"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0CA422-963A-4E20-8AA9-595A2F18229B}">
          <x14:formula1>
            <xm:f>Sheet2!$A$1:$A$12</xm:f>
          </x14:formula1>
          <xm:sqref>H6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51C50ACD-F61C-462F-B768-0FC155A68CE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Jan!AV10:AX10</xm:f>
              <xm:sqref>BF10</xm:sqref>
            </x14:sparkline>
            <x14:sparkline>
              <xm:f>Jan!AV11:AX11</xm:f>
              <xm:sqref>BF11</xm:sqref>
            </x14:sparkline>
            <x14:sparkline>
              <xm:f>Jan!AV12:AX12</xm:f>
              <xm:sqref>BF12</xm:sqref>
            </x14:sparkline>
            <x14:sparkline>
              <xm:f>Jan!AV13:AX13</xm:f>
              <xm:sqref>BF13</xm:sqref>
            </x14:sparkline>
            <x14:sparkline>
              <xm:f>Jan!AV14:AX14</xm:f>
              <xm:sqref>BF14</xm:sqref>
            </x14:sparkline>
            <x14:sparkline>
              <xm:f>Jan!AV15:AX15</xm:f>
              <xm:sqref>BF15</xm:sqref>
            </x14:sparkline>
            <x14:sparkline>
              <xm:f>Jan!AV16:AX16</xm:f>
              <xm:sqref>BF16</xm:sqref>
            </x14:sparkline>
            <x14:sparkline>
              <xm:f>Jan!AV17:AX17</xm:f>
              <xm:sqref>BF17</xm:sqref>
            </x14:sparkline>
            <x14:sparkline>
              <xm:f>Jan!AV18:AX18</xm:f>
              <xm:sqref>BF18</xm:sqref>
            </x14:sparkline>
            <x14:sparkline>
              <xm:f>Jan!AV19:AX19</xm:f>
              <xm:sqref>BF19</xm:sqref>
            </x14:sparkline>
            <x14:sparkline>
              <xm:f>Jan!AV20:AX20</xm:f>
              <xm:sqref>BF20</xm:sqref>
            </x14:sparkline>
            <x14:sparkline>
              <xm:f>Jan!AV21:AX21</xm:f>
              <xm:sqref>BF21</xm:sqref>
            </x14:sparkline>
            <x14:sparkline>
              <xm:f>Jan!AV22:AX22</xm:f>
              <xm:sqref>BF22</xm:sqref>
            </x14:sparkline>
            <x14:sparkline>
              <xm:f>Jan!AV23:AX23</xm:f>
              <xm:sqref>BF23</xm:sqref>
            </x14:sparkline>
            <x14:sparkline>
              <xm:f>Jan!AV24:AX24</xm:f>
              <xm:sqref>BF24</xm:sqref>
            </x14:sparkline>
            <x14:sparkline>
              <xm:f>Jan!AV25:AX25</xm:f>
              <xm:sqref>BF25</xm:sqref>
            </x14:sparkline>
            <x14:sparkline>
              <xm:f>Jan!AV26:AX26</xm:f>
              <xm:sqref>BF26</xm:sqref>
            </x14:sparkline>
            <x14:sparkline>
              <xm:f>Jan!AV27:AX27</xm:f>
              <xm:sqref>BF27</xm:sqref>
            </x14:sparkline>
            <x14:sparkline>
              <xm:f>Jan!AV28:AX28</xm:f>
              <xm:sqref>BF28</xm:sqref>
            </x14:sparkline>
            <x14:sparkline>
              <xm:f>Jan!AV29:AX29</xm:f>
              <xm:sqref>BF29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47B96-C285-42B8-A662-F8B8228DE02F}">
  <dimension ref="D1:BO247"/>
  <sheetViews>
    <sheetView zoomScale="85" zoomScaleNormal="85" workbookViewId="0"/>
  </sheetViews>
  <sheetFormatPr defaultRowHeight="15.75" x14ac:dyDescent="0.25"/>
  <cols>
    <col min="1" max="3" width="9.140625" style="3"/>
    <col min="4" max="4" width="9.140625" style="16"/>
    <col min="5" max="5" width="9.140625" style="22"/>
    <col min="6" max="6" width="9.140625" style="3"/>
    <col min="7" max="7" width="9.28515625" style="3" bestFit="1" customWidth="1"/>
    <col min="8" max="8" width="26.85546875" style="3" customWidth="1"/>
    <col min="9" max="9" width="15" style="3" customWidth="1"/>
    <col min="10" max="10" width="19.28515625" style="3" customWidth="1"/>
    <col min="11" max="11" width="9.140625" style="3"/>
    <col min="12" max="12" width="9.28515625" style="3" bestFit="1" customWidth="1"/>
    <col min="13" max="13" width="13.7109375" style="3" customWidth="1"/>
    <col min="14" max="41" width="9.28515625" style="3" bestFit="1" customWidth="1"/>
    <col min="42" max="42" width="9.140625" style="3"/>
    <col min="43" max="43" width="9.140625" style="22"/>
    <col min="44" max="44" width="9.140625" style="3"/>
    <col min="45" max="46" width="15.42578125" style="3" customWidth="1"/>
    <col min="47" max="47" width="15.5703125" style="3" customWidth="1"/>
    <col min="48" max="48" width="10.7109375" style="3" customWidth="1"/>
    <col min="49" max="49" width="10.28515625" style="3" customWidth="1"/>
    <col min="50" max="50" width="9.140625" style="3"/>
    <col min="51" max="51" width="11.5703125" style="3" customWidth="1"/>
    <col min="52" max="52" width="9.140625" style="3"/>
    <col min="53" max="53" width="13.7109375" style="3" customWidth="1"/>
    <col min="54" max="54" width="13.5703125" style="3" customWidth="1"/>
    <col min="55" max="55" width="17.85546875" style="3" customWidth="1"/>
    <col min="56" max="56" width="15" style="3" customWidth="1"/>
    <col min="57" max="57" width="18.140625" style="3" customWidth="1"/>
    <col min="58" max="58" width="25.140625" style="3" customWidth="1"/>
    <col min="59" max="59" width="9.140625" style="22"/>
    <col min="60" max="16384" width="9.140625" style="3"/>
  </cols>
  <sheetData>
    <row r="1" spans="4:67" x14ac:dyDescent="0.25">
      <c r="BH1" s="22"/>
      <c r="BI1" s="22"/>
      <c r="BJ1" s="22"/>
      <c r="BK1" s="22"/>
      <c r="BL1" s="22"/>
      <c r="BM1" s="22"/>
      <c r="BN1" s="22"/>
      <c r="BO1" s="22"/>
    </row>
    <row r="2" spans="4:67" x14ac:dyDescent="0.25">
      <c r="BH2" s="22"/>
      <c r="BI2" s="22"/>
      <c r="BJ2" s="22"/>
      <c r="BK2" s="22"/>
      <c r="BL2" s="22"/>
      <c r="BM2" s="22"/>
      <c r="BN2" s="22"/>
    </row>
    <row r="3" spans="4:67" x14ac:dyDescent="0.25">
      <c r="BH3" s="22"/>
      <c r="BI3" s="22"/>
      <c r="BJ3" s="22"/>
      <c r="BK3" s="22"/>
      <c r="BL3" s="22"/>
      <c r="BM3" s="22"/>
      <c r="BN3" s="22"/>
    </row>
    <row r="4" spans="4:67" s="22" customFormat="1" x14ac:dyDescent="0.25">
      <c r="D4" s="30"/>
    </row>
    <row r="5" spans="4:67" s="22" customFormat="1" x14ac:dyDescent="0.25">
      <c r="D5" s="30"/>
    </row>
    <row r="6" spans="4:67" s="22" customFormat="1" x14ac:dyDescent="0.25">
      <c r="D6" s="30"/>
      <c r="G6" s="25" t="s">
        <v>22</v>
      </c>
      <c r="H6" s="26">
        <v>45689</v>
      </c>
      <c r="I6" s="27">
        <f>(DATEDIF($H$6,$M$6,"D"))+1</f>
        <v>28</v>
      </c>
      <c r="J6" s="25" t="str">
        <f>TEXT(H6,"MMMM")</f>
        <v>February</v>
      </c>
      <c r="K6" s="25"/>
      <c r="L6" s="25" t="s">
        <v>23</v>
      </c>
      <c r="M6" s="26">
        <f>EOMONTH(H6,0)</f>
        <v>45716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4:67" x14ac:dyDescent="0.25"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2"/>
      <c r="BI7" s="22"/>
      <c r="BJ7" s="22"/>
      <c r="BK7" s="22"/>
      <c r="BL7" s="22"/>
      <c r="BM7" s="22"/>
      <c r="BN7" s="22"/>
    </row>
    <row r="8" spans="4:67" x14ac:dyDescent="0.25">
      <c r="F8" s="21"/>
      <c r="G8" s="5"/>
      <c r="H8" s="5" t="s">
        <v>25</v>
      </c>
      <c r="I8" s="5"/>
      <c r="J8" s="5" t="s">
        <v>26</v>
      </c>
      <c r="K8" s="5" t="str">
        <f>TEXT(K9,"DDD")</f>
        <v>Sat</v>
      </c>
      <c r="L8" s="5" t="str">
        <f t="shared" ref="L8:AO8" si="0">TEXT(L9,"DDD")</f>
        <v>Sun</v>
      </c>
      <c r="M8" s="5" t="str">
        <f t="shared" si="0"/>
        <v>Mon</v>
      </c>
      <c r="N8" s="5" t="str">
        <f t="shared" si="0"/>
        <v>Tue</v>
      </c>
      <c r="O8" s="5" t="str">
        <f t="shared" si="0"/>
        <v>Wed</v>
      </c>
      <c r="P8" s="5" t="str">
        <f t="shared" si="0"/>
        <v>Thu</v>
      </c>
      <c r="Q8" s="5" t="str">
        <f t="shared" si="0"/>
        <v>Fri</v>
      </c>
      <c r="R8" s="5" t="str">
        <f t="shared" si="0"/>
        <v>Sat</v>
      </c>
      <c r="S8" s="5" t="str">
        <f t="shared" si="0"/>
        <v>Sun</v>
      </c>
      <c r="T8" s="5" t="str">
        <f t="shared" si="0"/>
        <v>Mon</v>
      </c>
      <c r="U8" s="5" t="str">
        <f t="shared" si="0"/>
        <v>Tue</v>
      </c>
      <c r="V8" s="5" t="str">
        <f t="shared" si="0"/>
        <v>Wed</v>
      </c>
      <c r="W8" s="5" t="str">
        <f t="shared" si="0"/>
        <v>Thu</v>
      </c>
      <c r="X8" s="5" t="str">
        <f t="shared" si="0"/>
        <v>Fri</v>
      </c>
      <c r="Y8" s="5" t="str">
        <f t="shared" si="0"/>
        <v>Sat</v>
      </c>
      <c r="Z8" s="5" t="str">
        <f t="shared" si="0"/>
        <v>Sun</v>
      </c>
      <c r="AA8" s="5" t="str">
        <f t="shared" si="0"/>
        <v>Mon</v>
      </c>
      <c r="AB8" s="5" t="str">
        <f t="shared" si="0"/>
        <v>Tue</v>
      </c>
      <c r="AC8" s="5" t="str">
        <f t="shared" si="0"/>
        <v>Wed</v>
      </c>
      <c r="AD8" s="5" t="str">
        <f t="shared" si="0"/>
        <v>Thu</v>
      </c>
      <c r="AE8" s="5" t="str">
        <f t="shared" si="0"/>
        <v>Fri</v>
      </c>
      <c r="AF8" s="5" t="str">
        <f t="shared" si="0"/>
        <v>Sat</v>
      </c>
      <c r="AG8" s="5" t="str">
        <f t="shared" si="0"/>
        <v>Sun</v>
      </c>
      <c r="AH8" s="5" t="str">
        <f t="shared" si="0"/>
        <v>Mon</v>
      </c>
      <c r="AI8" s="5" t="str">
        <f t="shared" si="0"/>
        <v>Tue</v>
      </c>
      <c r="AJ8" s="5" t="str">
        <f t="shared" si="0"/>
        <v>Wed</v>
      </c>
      <c r="AK8" s="5" t="str">
        <f t="shared" si="0"/>
        <v>Thu</v>
      </c>
      <c r="AL8" s="5" t="str">
        <f t="shared" si="0"/>
        <v>Fri</v>
      </c>
      <c r="AM8" s="5" t="str">
        <f t="shared" si="0"/>
        <v/>
      </c>
      <c r="AN8" s="5" t="str">
        <f t="shared" si="0"/>
        <v/>
      </c>
      <c r="AO8" s="5" t="str">
        <f t="shared" si="0"/>
        <v/>
      </c>
      <c r="AP8" s="21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2"/>
      <c r="BI8" s="22"/>
      <c r="BJ8" s="22"/>
      <c r="BK8" s="22"/>
      <c r="BL8" s="22"/>
      <c r="BM8" s="22"/>
      <c r="BN8" s="22"/>
    </row>
    <row r="9" spans="4:67" ht="16.5" thickBot="1" x14ac:dyDescent="0.3">
      <c r="F9" s="21"/>
      <c r="G9" s="13" t="s">
        <v>0</v>
      </c>
      <c r="H9" s="13" t="s">
        <v>1</v>
      </c>
      <c r="I9" s="13" t="s">
        <v>2</v>
      </c>
      <c r="J9" s="68" t="s">
        <v>21</v>
      </c>
      <c r="K9" s="15">
        <f>H6</f>
        <v>45689</v>
      </c>
      <c r="L9" s="15">
        <f>IF(K9&lt;$M$6,K9+1,"")</f>
        <v>45690</v>
      </c>
      <c r="M9" s="15">
        <f t="shared" ref="M9:AO9" si="1">IF(L9&lt;$M$6,L9+1,"")</f>
        <v>45691</v>
      </c>
      <c r="N9" s="15">
        <f t="shared" si="1"/>
        <v>45692</v>
      </c>
      <c r="O9" s="15">
        <f t="shared" si="1"/>
        <v>45693</v>
      </c>
      <c r="P9" s="28">
        <f t="shared" si="1"/>
        <v>45694</v>
      </c>
      <c r="Q9" s="15">
        <f t="shared" si="1"/>
        <v>45695</v>
      </c>
      <c r="R9" s="15">
        <f t="shared" si="1"/>
        <v>45696</v>
      </c>
      <c r="S9" s="15">
        <f t="shared" si="1"/>
        <v>45697</v>
      </c>
      <c r="T9" s="15">
        <f t="shared" si="1"/>
        <v>45698</v>
      </c>
      <c r="U9" s="15">
        <f t="shared" si="1"/>
        <v>45699</v>
      </c>
      <c r="V9" s="28">
        <f t="shared" si="1"/>
        <v>45700</v>
      </c>
      <c r="W9" s="28">
        <f t="shared" si="1"/>
        <v>45701</v>
      </c>
      <c r="X9" s="28">
        <f t="shared" si="1"/>
        <v>45702</v>
      </c>
      <c r="Y9" s="28">
        <f t="shared" si="1"/>
        <v>45703</v>
      </c>
      <c r="Z9" s="28">
        <f t="shared" si="1"/>
        <v>45704</v>
      </c>
      <c r="AA9" s="28">
        <f t="shared" si="1"/>
        <v>45705</v>
      </c>
      <c r="AB9" s="28">
        <f t="shared" si="1"/>
        <v>45706</v>
      </c>
      <c r="AC9" s="28">
        <f t="shared" si="1"/>
        <v>45707</v>
      </c>
      <c r="AD9" s="28">
        <f t="shared" si="1"/>
        <v>45708</v>
      </c>
      <c r="AE9" s="28">
        <f t="shared" si="1"/>
        <v>45709</v>
      </c>
      <c r="AF9" s="28">
        <f t="shared" si="1"/>
        <v>45710</v>
      </c>
      <c r="AG9" s="28">
        <f t="shared" si="1"/>
        <v>45711</v>
      </c>
      <c r="AH9" s="28">
        <f t="shared" si="1"/>
        <v>45712</v>
      </c>
      <c r="AI9" s="28">
        <f t="shared" si="1"/>
        <v>45713</v>
      </c>
      <c r="AJ9" s="28">
        <f t="shared" si="1"/>
        <v>45714</v>
      </c>
      <c r="AK9" s="28">
        <f t="shared" si="1"/>
        <v>45715</v>
      </c>
      <c r="AL9" s="15">
        <f t="shared" si="1"/>
        <v>45716</v>
      </c>
      <c r="AM9" s="15" t="str">
        <f t="shared" si="1"/>
        <v/>
      </c>
      <c r="AN9" s="15" t="str">
        <f t="shared" si="1"/>
        <v/>
      </c>
      <c r="AO9" s="15" t="str">
        <f t="shared" si="1"/>
        <v/>
      </c>
      <c r="AP9" s="21"/>
      <c r="AQ9" s="24"/>
      <c r="AR9" s="18" t="s">
        <v>0</v>
      </c>
      <c r="AS9" s="18" t="s">
        <v>1</v>
      </c>
      <c r="AT9" s="18" t="s">
        <v>37</v>
      </c>
      <c r="AU9" s="18" t="s">
        <v>2</v>
      </c>
      <c r="AV9" s="18" t="s">
        <v>27</v>
      </c>
      <c r="AW9" s="18" t="s">
        <v>28</v>
      </c>
      <c r="AX9" s="18" t="s">
        <v>29</v>
      </c>
      <c r="AY9" s="18" t="s">
        <v>30</v>
      </c>
      <c r="AZ9" s="18" t="s">
        <v>26</v>
      </c>
      <c r="BA9" s="18" t="s">
        <v>31</v>
      </c>
      <c r="BB9" s="18" t="s">
        <v>32</v>
      </c>
      <c r="BC9" s="18" t="s">
        <v>33</v>
      </c>
      <c r="BD9" s="18" t="s">
        <v>34</v>
      </c>
      <c r="BE9" s="18" t="s">
        <v>35</v>
      </c>
      <c r="BF9" s="18" t="s">
        <v>36</v>
      </c>
      <c r="BG9" s="24"/>
      <c r="BH9" s="22"/>
      <c r="BI9" s="22"/>
      <c r="BJ9" s="22"/>
      <c r="BK9" s="22"/>
      <c r="BL9" s="22"/>
      <c r="BM9" s="22"/>
      <c r="BN9" s="22"/>
    </row>
    <row r="10" spans="4:67" x14ac:dyDescent="0.25">
      <c r="F10" s="21"/>
      <c r="G10" s="6">
        <v>1</v>
      </c>
      <c r="H10" s="7" t="s">
        <v>3</v>
      </c>
      <c r="I10" s="7">
        <v>1001</v>
      </c>
      <c r="J10" s="69">
        <f>COUNTIF($J$8:$AO$8,"SUN")</f>
        <v>4</v>
      </c>
      <c r="K10" s="46" t="s">
        <v>38</v>
      </c>
      <c r="L10" s="43" t="str">
        <f>IF(L$8="SUN","WO","")</f>
        <v>WO</v>
      </c>
      <c r="M10" s="56" t="s">
        <v>39</v>
      </c>
      <c r="N10" s="51" t="s">
        <v>38</v>
      </c>
      <c r="O10" s="51" t="s">
        <v>38</v>
      </c>
      <c r="P10" s="51" t="s">
        <v>38</v>
      </c>
      <c r="Q10" s="51" t="s">
        <v>38</v>
      </c>
      <c r="R10" s="51" t="s">
        <v>38</v>
      </c>
      <c r="S10" s="43" t="str">
        <f>IF(S$8="SUN","WO","")</f>
        <v>WO</v>
      </c>
      <c r="T10" s="51" t="s">
        <v>39</v>
      </c>
      <c r="U10" s="51" t="s">
        <v>38</v>
      </c>
      <c r="V10" s="51" t="s">
        <v>38</v>
      </c>
      <c r="W10" s="51" t="s">
        <v>38</v>
      </c>
      <c r="X10" s="51" t="s">
        <v>38</v>
      </c>
      <c r="Y10" s="51" t="s">
        <v>38</v>
      </c>
      <c r="Z10" s="43" t="str">
        <f>IF(Z$8="SUN","WO","")</f>
        <v>WO</v>
      </c>
      <c r="AA10" s="51" t="s">
        <v>39</v>
      </c>
      <c r="AB10" s="51" t="s">
        <v>38</v>
      </c>
      <c r="AC10" s="51" t="s">
        <v>38</v>
      </c>
      <c r="AD10" s="51" t="s">
        <v>38</v>
      </c>
      <c r="AE10" s="51" t="s">
        <v>38</v>
      </c>
      <c r="AF10" s="51" t="s">
        <v>38</v>
      </c>
      <c r="AG10" s="43" t="str">
        <f>IF(AG$8="SUN","WO","")</f>
        <v>WO</v>
      </c>
      <c r="AH10" s="51" t="s">
        <v>38</v>
      </c>
      <c r="AI10" s="51" t="s">
        <v>39</v>
      </c>
      <c r="AJ10" s="51" t="s">
        <v>38</v>
      </c>
      <c r="AK10" s="51" t="s">
        <v>38</v>
      </c>
      <c r="AL10" s="53" t="s">
        <v>38</v>
      </c>
      <c r="AM10" s="29"/>
      <c r="AN10" s="29"/>
      <c r="AO10" s="29"/>
      <c r="AP10" s="21"/>
      <c r="AQ10" s="24"/>
      <c r="AR10" s="10">
        <v>1</v>
      </c>
      <c r="AS10" s="9" t="s">
        <v>3</v>
      </c>
      <c r="AT10" s="9" t="str">
        <f t="shared" ref="AT10:AT29" si="2">$J$6</f>
        <v>February</v>
      </c>
      <c r="AU10" s="9">
        <v>1001</v>
      </c>
      <c r="AV10" s="9">
        <f t="shared" ref="AV10:AV29" si="3">COUNTIF($K10:$AO10,"P")</f>
        <v>20</v>
      </c>
      <c r="AW10" s="9">
        <f t="shared" ref="AW10:AW29" si="4">COUNTIF($K10:$AO10,"A")</f>
        <v>4</v>
      </c>
      <c r="AX10" s="9">
        <f t="shared" ref="AX10:AX29" si="5">COUNTIF($K10:$AO10,"L")</f>
        <v>0</v>
      </c>
      <c r="AY10" s="16">
        <f t="shared" ref="AY10:AY29" si="6">$J$10</f>
        <v>4</v>
      </c>
      <c r="AZ10" s="16">
        <f t="shared" ref="AZ10:AZ29" si="7">$I$6</f>
        <v>28</v>
      </c>
      <c r="BA10" s="16">
        <f>FebReport[[#This Row],[Days]]-FebReport[[#This Row],[Absent]]</f>
        <v>24</v>
      </c>
      <c r="BB10" s="19">
        <v>10000</v>
      </c>
      <c r="BC10" s="20">
        <f>FebReport[[#This Row],[Salary ]]/FebReport[[#This Row],[Days]]</f>
        <v>357.14285714285717</v>
      </c>
      <c r="BD10" s="20">
        <f>FebReport[[#This Row],[Per Day Salary ]]*FebReport[[#This Row],[Absent]]</f>
        <v>1428.5714285714287</v>
      </c>
      <c r="BE10" s="20">
        <f>FebReport[[#This Row],[Salary ]]-FebReport[[#This Row],[Deduction]]</f>
        <v>8571.4285714285706</v>
      </c>
      <c r="BF10" s="20"/>
      <c r="BG10" s="24"/>
      <c r="BH10" s="22"/>
      <c r="BI10" s="22"/>
      <c r="BJ10" s="22"/>
      <c r="BK10" s="22"/>
      <c r="BL10" s="22"/>
      <c r="BM10" s="22"/>
      <c r="BN10" s="22"/>
    </row>
    <row r="11" spans="4:67" x14ac:dyDescent="0.25">
      <c r="F11" s="21"/>
      <c r="G11" s="8">
        <v>2</v>
      </c>
      <c r="H11" s="9" t="s">
        <v>4</v>
      </c>
      <c r="I11" s="10">
        <v>1002</v>
      </c>
      <c r="J11" s="35">
        <f t="shared" ref="J11:J29" si="8">COUNTIF($J$8:$AO$8,"SUN")</f>
        <v>4</v>
      </c>
      <c r="K11" s="10" t="s">
        <v>38</v>
      </c>
      <c r="L11" s="44" t="str">
        <f t="shared" ref="L11:L29" si="9">IF(L$8="SUN","WO","")</f>
        <v>WO</v>
      </c>
      <c r="M11" s="10" t="s">
        <v>38</v>
      </c>
      <c r="N11" s="10" t="s">
        <v>38</v>
      </c>
      <c r="O11" s="10" t="s">
        <v>38</v>
      </c>
      <c r="P11" s="10" t="s">
        <v>38</v>
      </c>
      <c r="Q11" s="10" t="s">
        <v>38</v>
      </c>
      <c r="R11" s="10" t="s">
        <v>40</v>
      </c>
      <c r="S11" s="44" t="str">
        <f t="shared" ref="S11:S29" si="10">IF(S$8="SUN","WO","")</f>
        <v>WO</v>
      </c>
      <c r="T11" s="10" t="s">
        <v>38</v>
      </c>
      <c r="U11" s="10" t="s">
        <v>38</v>
      </c>
      <c r="V11" s="10" t="s">
        <v>38</v>
      </c>
      <c r="W11" s="10" t="s">
        <v>38</v>
      </c>
      <c r="X11" s="10" t="s">
        <v>38</v>
      </c>
      <c r="Y11" s="10" t="s">
        <v>40</v>
      </c>
      <c r="Z11" s="44" t="str">
        <f t="shared" ref="Z11:Z29" si="11">IF(Z$8="SUN","WO","")</f>
        <v>WO</v>
      </c>
      <c r="AA11" s="10" t="s">
        <v>38</v>
      </c>
      <c r="AB11" s="10" t="s">
        <v>38</v>
      </c>
      <c r="AC11" s="10" t="s">
        <v>38</v>
      </c>
      <c r="AD11" s="10" t="s">
        <v>38</v>
      </c>
      <c r="AE11" s="10" t="s">
        <v>38</v>
      </c>
      <c r="AF11" s="10" t="s">
        <v>40</v>
      </c>
      <c r="AG11" s="44" t="str">
        <f t="shared" ref="AG11:AG29" si="12">IF(AG$8="SUN","WO","")</f>
        <v>WO</v>
      </c>
      <c r="AH11" s="10" t="s">
        <v>38</v>
      </c>
      <c r="AI11" s="10" t="s">
        <v>38</v>
      </c>
      <c r="AJ11" s="10" t="s">
        <v>38</v>
      </c>
      <c r="AK11" s="10" t="s">
        <v>38</v>
      </c>
      <c r="AL11" s="64" t="s">
        <v>38</v>
      </c>
      <c r="AM11" s="29"/>
      <c r="AN11" s="29"/>
      <c r="AO11" s="29"/>
      <c r="AP11" s="21"/>
      <c r="AQ11" s="24"/>
      <c r="AR11" s="10">
        <v>2</v>
      </c>
      <c r="AS11" s="9" t="s">
        <v>4</v>
      </c>
      <c r="AT11" s="9" t="str">
        <f t="shared" si="2"/>
        <v>February</v>
      </c>
      <c r="AU11" s="9">
        <v>1002</v>
      </c>
      <c r="AV11" s="9">
        <f t="shared" si="3"/>
        <v>21</v>
      </c>
      <c r="AW11" s="16">
        <f t="shared" si="4"/>
        <v>0</v>
      </c>
      <c r="AX11" s="16">
        <f t="shared" si="5"/>
        <v>3</v>
      </c>
      <c r="AY11" s="16">
        <f t="shared" si="6"/>
        <v>4</v>
      </c>
      <c r="AZ11" s="16">
        <f t="shared" si="7"/>
        <v>28</v>
      </c>
      <c r="BA11" s="16">
        <f>FebReport[[#This Row],[Days]]-FebReport[[#This Row],[Absent]]</f>
        <v>28</v>
      </c>
      <c r="BB11" s="19">
        <v>20000</v>
      </c>
      <c r="BC11" s="20">
        <f>FebReport[[#This Row],[Salary ]]/FebReport[[#This Row],[Days]]</f>
        <v>714.28571428571433</v>
      </c>
      <c r="BD11" s="20">
        <f>FebReport[[#This Row],[Per Day Salary ]]*FebReport[[#This Row],[Absent]]</f>
        <v>0</v>
      </c>
      <c r="BE11" s="20">
        <f>FebReport[[#This Row],[Salary ]]-FebReport[[#This Row],[Deduction]]</f>
        <v>20000</v>
      </c>
      <c r="BF11" s="20"/>
      <c r="BG11" s="24"/>
      <c r="BH11" s="22"/>
      <c r="BI11" s="22"/>
      <c r="BJ11" s="22"/>
      <c r="BK11" s="22"/>
      <c r="BL11" s="22"/>
      <c r="BM11" s="22"/>
      <c r="BN11" s="22"/>
    </row>
    <row r="12" spans="4:67" x14ac:dyDescent="0.25">
      <c r="F12" s="21"/>
      <c r="G12" s="8">
        <v>3</v>
      </c>
      <c r="H12" s="10" t="s">
        <v>5</v>
      </c>
      <c r="I12" s="10">
        <v>1003</v>
      </c>
      <c r="J12" s="35">
        <f t="shared" si="8"/>
        <v>4</v>
      </c>
      <c r="K12" s="10" t="s">
        <v>38</v>
      </c>
      <c r="L12" s="44" t="str">
        <f t="shared" si="9"/>
        <v>WO</v>
      </c>
      <c r="M12" s="10" t="s">
        <v>38</v>
      </c>
      <c r="N12" s="10" t="s">
        <v>40</v>
      </c>
      <c r="O12" s="10" t="s">
        <v>38</v>
      </c>
      <c r="P12" s="10" t="s">
        <v>38</v>
      </c>
      <c r="Q12" s="10" t="s">
        <v>38</v>
      </c>
      <c r="R12" s="10" t="s">
        <v>38</v>
      </c>
      <c r="S12" s="44" t="str">
        <f t="shared" si="10"/>
        <v>WO</v>
      </c>
      <c r="T12" s="10" t="s">
        <v>38</v>
      </c>
      <c r="U12" s="10" t="s">
        <v>40</v>
      </c>
      <c r="V12" s="10" t="s">
        <v>38</v>
      </c>
      <c r="W12" s="10" t="s">
        <v>38</v>
      </c>
      <c r="X12" s="10" t="s">
        <v>38</v>
      </c>
      <c r="Y12" s="10" t="s">
        <v>38</v>
      </c>
      <c r="Z12" s="44" t="str">
        <f t="shared" si="11"/>
        <v>WO</v>
      </c>
      <c r="AA12" s="10" t="s">
        <v>38</v>
      </c>
      <c r="AB12" s="10" t="s">
        <v>40</v>
      </c>
      <c r="AC12" s="10" t="s">
        <v>38</v>
      </c>
      <c r="AD12" s="10" t="s">
        <v>38</v>
      </c>
      <c r="AE12" s="10" t="s">
        <v>38</v>
      </c>
      <c r="AF12" s="10" t="s">
        <v>38</v>
      </c>
      <c r="AG12" s="44" t="str">
        <f t="shared" si="12"/>
        <v>WO</v>
      </c>
      <c r="AH12" s="10" t="s">
        <v>38</v>
      </c>
      <c r="AI12" s="10" t="s">
        <v>38</v>
      </c>
      <c r="AJ12" s="10" t="s">
        <v>38</v>
      </c>
      <c r="AK12" s="10" t="s">
        <v>38</v>
      </c>
      <c r="AL12" s="64" t="s">
        <v>40</v>
      </c>
      <c r="AM12" s="29"/>
      <c r="AN12" s="29"/>
      <c r="AO12" s="29"/>
      <c r="AP12" s="21"/>
      <c r="AQ12" s="24"/>
      <c r="AR12" s="10">
        <v>3</v>
      </c>
      <c r="AS12" s="10" t="s">
        <v>5</v>
      </c>
      <c r="AT12" s="10" t="str">
        <f t="shared" si="2"/>
        <v>February</v>
      </c>
      <c r="AU12" s="10">
        <v>1003</v>
      </c>
      <c r="AV12" s="9">
        <f t="shared" si="3"/>
        <v>20</v>
      </c>
      <c r="AW12" s="16">
        <f t="shared" si="4"/>
        <v>0</v>
      </c>
      <c r="AX12" s="16">
        <f t="shared" si="5"/>
        <v>4</v>
      </c>
      <c r="AY12" s="16">
        <f t="shared" si="6"/>
        <v>4</v>
      </c>
      <c r="AZ12" s="16">
        <f t="shared" si="7"/>
        <v>28</v>
      </c>
      <c r="BA12" s="16">
        <f>FebReport[[#This Row],[Days]]-FebReport[[#This Row],[Absent]]</f>
        <v>28</v>
      </c>
      <c r="BB12" s="19">
        <v>30000</v>
      </c>
      <c r="BC12" s="20">
        <f>FebReport[[#This Row],[Salary ]]/FebReport[[#This Row],[Days]]</f>
        <v>1071.4285714285713</v>
      </c>
      <c r="BD12" s="20">
        <f>FebReport[[#This Row],[Per Day Salary ]]*FebReport[[#This Row],[Absent]]</f>
        <v>0</v>
      </c>
      <c r="BE12" s="20">
        <f>FebReport[[#This Row],[Salary ]]-FebReport[[#This Row],[Deduction]]</f>
        <v>30000</v>
      </c>
      <c r="BF12" s="20"/>
      <c r="BG12" s="24"/>
      <c r="BH12" s="22"/>
      <c r="BI12" s="22"/>
      <c r="BJ12" s="22"/>
      <c r="BK12" s="22"/>
      <c r="BL12" s="22"/>
      <c r="BM12" s="22"/>
      <c r="BN12" s="22"/>
    </row>
    <row r="13" spans="4:67" x14ac:dyDescent="0.25">
      <c r="F13" s="21"/>
      <c r="G13" s="8">
        <v>4</v>
      </c>
      <c r="H13" s="10" t="s">
        <v>6</v>
      </c>
      <c r="I13" s="10">
        <v>1004</v>
      </c>
      <c r="J13" s="35">
        <f t="shared" si="8"/>
        <v>4</v>
      </c>
      <c r="K13" s="10" t="s">
        <v>38</v>
      </c>
      <c r="L13" s="44" t="str">
        <f t="shared" si="9"/>
        <v>WO</v>
      </c>
      <c r="M13" s="10" t="s">
        <v>38</v>
      </c>
      <c r="N13" s="10" t="s">
        <v>38</v>
      </c>
      <c r="O13" s="10" t="s">
        <v>38</v>
      </c>
      <c r="P13" s="10" t="s">
        <v>38</v>
      </c>
      <c r="Q13" s="10" t="s">
        <v>38</v>
      </c>
      <c r="R13" s="10" t="s">
        <v>40</v>
      </c>
      <c r="S13" s="44" t="str">
        <f t="shared" si="10"/>
        <v>WO</v>
      </c>
      <c r="T13" s="10" t="s">
        <v>38</v>
      </c>
      <c r="U13" s="10" t="s">
        <v>38</v>
      </c>
      <c r="V13" s="10" t="s">
        <v>38</v>
      </c>
      <c r="W13" s="10" t="s">
        <v>38</v>
      </c>
      <c r="X13" s="10" t="s">
        <v>38</v>
      </c>
      <c r="Y13" s="10" t="s">
        <v>40</v>
      </c>
      <c r="Z13" s="44" t="str">
        <f t="shared" si="11"/>
        <v>WO</v>
      </c>
      <c r="AA13" s="10" t="s">
        <v>38</v>
      </c>
      <c r="AB13" s="10" t="s">
        <v>38</v>
      </c>
      <c r="AC13" s="10" t="s">
        <v>38</v>
      </c>
      <c r="AD13" s="10" t="s">
        <v>38</v>
      </c>
      <c r="AE13" s="10" t="s">
        <v>38</v>
      </c>
      <c r="AF13" s="10" t="s">
        <v>40</v>
      </c>
      <c r="AG13" s="44" t="str">
        <f t="shared" si="12"/>
        <v>WO</v>
      </c>
      <c r="AH13" s="10" t="s">
        <v>40</v>
      </c>
      <c r="AI13" s="10" t="s">
        <v>38</v>
      </c>
      <c r="AJ13" s="10" t="s">
        <v>38</v>
      </c>
      <c r="AK13" s="10" t="s">
        <v>38</v>
      </c>
      <c r="AL13" s="64" t="s">
        <v>38</v>
      </c>
      <c r="AM13" s="29"/>
      <c r="AN13" s="29"/>
      <c r="AO13" s="29"/>
      <c r="AP13" s="21"/>
      <c r="AQ13" s="24"/>
      <c r="AR13" s="10">
        <v>4</v>
      </c>
      <c r="AS13" s="10" t="s">
        <v>6</v>
      </c>
      <c r="AT13" s="10" t="str">
        <f t="shared" si="2"/>
        <v>February</v>
      </c>
      <c r="AU13" s="10">
        <v>1004</v>
      </c>
      <c r="AV13" s="9">
        <f t="shared" si="3"/>
        <v>20</v>
      </c>
      <c r="AW13" s="16">
        <f t="shared" si="4"/>
        <v>0</v>
      </c>
      <c r="AX13" s="16">
        <f t="shared" si="5"/>
        <v>4</v>
      </c>
      <c r="AY13" s="16">
        <f t="shared" si="6"/>
        <v>4</v>
      </c>
      <c r="AZ13" s="16">
        <f t="shared" si="7"/>
        <v>28</v>
      </c>
      <c r="BA13" s="16">
        <f>FebReport[[#This Row],[Days]]-FebReport[[#This Row],[Absent]]</f>
        <v>28</v>
      </c>
      <c r="BB13" s="19">
        <v>45000</v>
      </c>
      <c r="BC13" s="20">
        <f>FebReport[[#This Row],[Salary ]]/FebReport[[#This Row],[Days]]</f>
        <v>1607.1428571428571</v>
      </c>
      <c r="BD13" s="20">
        <f>FebReport[[#This Row],[Per Day Salary ]]*FebReport[[#This Row],[Absent]]</f>
        <v>0</v>
      </c>
      <c r="BE13" s="20">
        <f>FebReport[[#This Row],[Salary ]]-FebReport[[#This Row],[Deduction]]</f>
        <v>45000</v>
      </c>
      <c r="BF13" s="20"/>
      <c r="BG13" s="24"/>
      <c r="BH13" s="22"/>
      <c r="BI13" s="22"/>
      <c r="BJ13" s="22"/>
      <c r="BK13" s="22"/>
      <c r="BL13" s="22"/>
      <c r="BM13" s="22"/>
      <c r="BN13" s="22"/>
    </row>
    <row r="14" spans="4:67" x14ac:dyDescent="0.25">
      <c r="F14" s="21"/>
      <c r="G14" s="8">
        <v>5</v>
      </c>
      <c r="H14" s="10" t="s">
        <v>7</v>
      </c>
      <c r="I14" s="10">
        <v>1005</v>
      </c>
      <c r="J14" s="35">
        <f t="shared" si="8"/>
        <v>4</v>
      </c>
      <c r="K14" s="10" t="s">
        <v>38</v>
      </c>
      <c r="L14" s="44" t="str">
        <f t="shared" si="9"/>
        <v>WO</v>
      </c>
      <c r="M14" s="10" t="s">
        <v>38</v>
      </c>
      <c r="N14" s="10" t="s">
        <v>38</v>
      </c>
      <c r="O14" s="10" t="s">
        <v>39</v>
      </c>
      <c r="P14" s="10" t="s">
        <v>38</v>
      </c>
      <c r="Q14" s="10" t="s">
        <v>38</v>
      </c>
      <c r="R14" s="10" t="s">
        <v>38</v>
      </c>
      <c r="S14" s="44" t="str">
        <f t="shared" si="10"/>
        <v>WO</v>
      </c>
      <c r="T14" s="10" t="s">
        <v>38</v>
      </c>
      <c r="U14" s="10" t="s">
        <v>38</v>
      </c>
      <c r="V14" s="10" t="s">
        <v>39</v>
      </c>
      <c r="W14" s="10" t="s">
        <v>38</v>
      </c>
      <c r="X14" s="10" t="s">
        <v>38</v>
      </c>
      <c r="Y14" s="10" t="s">
        <v>38</v>
      </c>
      <c r="Z14" s="44" t="str">
        <f t="shared" si="11"/>
        <v>WO</v>
      </c>
      <c r="AA14" s="10" t="s">
        <v>38</v>
      </c>
      <c r="AB14" s="10" t="s">
        <v>38</v>
      </c>
      <c r="AC14" s="10" t="s">
        <v>39</v>
      </c>
      <c r="AD14" s="10" t="s">
        <v>38</v>
      </c>
      <c r="AE14" s="10" t="s">
        <v>38</v>
      </c>
      <c r="AF14" s="10" t="s">
        <v>38</v>
      </c>
      <c r="AG14" s="44" t="str">
        <f t="shared" si="12"/>
        <v>WO</v>
      </c>
      <c r="AH14" s="10" t="s">
        <v>38</v>
      </c>
      <c r="AI14" s="10" t="s">
        <v>38</v>
      </c>
      <c r="AJ14" s="10" t="s">
        <v>38</v>
      </c>
      <c r="AK14" s="10" t="s">
        <v>38</v>
      </c>
      <c r="AL14" s="64" t="s">
        <v>38</v>
      </c>
      <c r="AM14" s="29"/>
      <c r="AN14" s="29"/>
      <c r="AO14" s="29"/>
      <c r="AP14" s="21"/>
      <c r="AQ14" s="24"/>
      <c r="AR14" s="10">
        <v>5</v>
      </c>
      <c r="AS14" s="10" t="s">
        <v>7</v>
      </c>
      <c r="AT14" s="10" t="str">
        <f t="shared" si="2"/>
        <v>February</v>
      </c>
      <c r="AU14" s="10">
        <v>1005</v>
      </c>
      <c r="AV14" s="9">
        <f t="shared" si="3"/>
        <v>21</v>
      </c>
      <c r="AW14" s="16">
        <f t="shared" si="4"/>
        <v>3</v>
      </c>
      <c r="AX14" s="16">
        <f t="shared" si="5"/>
        <v>0</v>
      </c>
      <c r="AY14" s="16">
        <f t="shared" si="6"/>
        <v>4</v>
      </c>
      <c r="AZ14" s="16">
        <f t="shared" si="7"/>
        <v>28</v>
      </c>
      <c r="BA14" s="16">
        <f>FebReport[[#This Row],[Days]]-FebReport[[#This Row],[Absent]]</f>
        <v>25</v>
      </c>
      <c r="BB14" s="19">
        <v>62000</v>
      </c>
      <c r="BC14" s="20">
        <f>FebReport[[#This Row],[Salary ]]/FebReport[[#This Row],[Days]]</f>
        <v>2214.2857142857142</v>
      </c>
      <c r="BD14" s="20">
        <f>FebReport[[#This Row],[Per Day Salary ]]*FebReport[[#This Row],[Absent]]</f>
        <v>6642.8571428571431</v>
      </c>
      <c r="BE14" s="20">
        <f>FebReport[[#This Row],[Salary ]]-FebReport[[#This Row],[Deduction]]</f>
        <v>55357.142857142855</v>
      </c>
      <c r="BF14" s="20"/>
      <c r="BG14" s="24"/>
      <c r="BH14" s="22"/>
      <c r="BI14" s="22"/>
      <c r="BJ14" s="22"/>
      <c r="BK14" s="22"/>
      <c r="BL14" s="22"/>
      <c r="BM14" s="22"/>
      <c r="BN14" s="22"/>
    </row>
    <row r="15" spans="4:67" x14ac:dyDescent="0.25">
      <c r="F15" s="21"/>
      <c r="G15" s="8">
        <v>6</v>
      </c>
      <c r="H15" s="10" t="s">
        <v>8</v>
      </c>
      <c r="I15" s="10">
        <v>1006</v>
      </c>
      <c r="J15" s="35">
        <f t="shared" si="8"/>
        <v>4</v>
      </c>
      <c r="K15" s="10" t="s">
        <v>38</v>
      </c>
      <c r="L15" s="44" t="str">
        <f t="shared" si="9"/>
        <v>WO</v>
      </c>
      <c r="M15" s="10" t="s">
        <v>38</v>
      </c>
      <c r="N15" s="10" t="s">
        <v>38</v>
      </c>
      <c r="O15" s="10" t="s">
        <v>38</v>
      </c>
      <c r="P15" s="10" t="s">
        <v>38</v>
      </c>
      <c r="Q15" s="10" t="s">
        <v>40</v>
      </c>
      <c r="R15" s="10" t="s">
        <v>38</v>
      </c>
      <c r="S15" s="44" t="str">
        <f t="shared" si="10"/>
        <v>WO</v>
      </c>
      <c r="T15" s="10" t="s">
        <v>38</v>
      </c>
      <c r="U15" s="10" t="s">
        <v>38</v>
      </c>
      <c r="V15" s="10" t="s">
        <v>38</v>
      </c>
      <c r="W15" s="10" t="s">
        <v>38</v>
      </c>
      <c r="X15" s="10" t="s">
        <v>40</v>
      </c>
      <c r="Y15" s="10" t="s">
        <v>38</v>
      </c>
      <c r="Z15" s="44" t="str">
        <f t="shared" si="11"/>
        <v>WO</v>
      </c>
      <c r="AA15" s="10" t="s">
        <v>38</v>
      </c>
      <c r="AB15" s="10" t="s">
        <v>38</v>
      </c>
      <c r="AC15" s="10" t="s">
        <v>38</v>
      </c>
      <c r="AD15" s="10" t="s">
        <v>38</v>
      </c>
      <c r="AE15" s="10" t="s">
        <v>40</v>
      </c>
      <c r="AF15" s="10" t="s">
        <v>38</v>
      </c>
      <c r="AG15" s="44" t="str">
        <f t="shared" si="12"/>
        <v>WO</v>
      </c>
      <c r="AH15" s="10" t="s">
        <v>38</v>
      </c>
      <c r="AI15" s="10" t="s">
        <v>39</v>
      </c>
      <c r="AJ15" s="10" t="s">
        <v>38</v>
      </c>
      <c r="AK15" s="10" t="s">
        <v>38</v>
      </c>
      <c r="AL15" s="64" t="s">
        <v>38</v>
      </c>
      <c r="AM15" s="29"/>
      <c r="AN15" s="29"/>
      <c r="AO15" s="29"/>
      <c r="AP15" s="21"/>
      <c r="AQ15" s="24"/>
      <c r="AR15" s="10">
        <v>6</v>
      </c>
      <c r="AS15" s="10" t="s">
        <v>8</v>
      </c>
      <c r="AT15" s="10" t="str">
        <f t="shared" si="2"/>
        <v>February</v>
      </c>
      <c r="AU15" s="10">
        <v>1006</v>
      </c>
      <c r="AV15" s="9">
        <f t="shared" si="3"/>
        <v>20</v>
      </c>
      <c r="AW15" s="16">
        <f t="shared" si="4"/>
        <v>1</v>
      </c>
      <c r="AX15" s="16">
        <f t="shared" si="5"/>
        <v>3</v>
      </c>
      <c r="AY15" s="16">
        <f t="shared" si="6"/>
        <v>4</v>
      </c>
      <c r="AZ15" s="16">
        <f t="shared" si="7"/>
        <v>28</v>
      </c>
      <c r="BA15" s="16">
        <f>FebReport[[#This Row],[Days]]-FebReport[[#This Row],[Absent]]</f>
        <v>27</v>
      </c>
      <c r="BB15" s="19">
        <v>13000</v>
      </c>
      <c r="BC15" s="20">
        <f>FebReport[[#This Row],[Salary ]]/FebReport[[#This Row],[Days]]</f>
        <v>464.28571428571428</v>
      </c>
      <c r="BD15" s="20">
        <f>FebReport[[#This Row],[Per Day Salary ]]*FebReport[[#This Row],[Absent]]</f>
        <v>464.28571428571428</v>
      </c>
      <c r="BE15" s="20">
        <f>FebReport[[#This Row],[Salary ]]-FebReport[[#This Row],[Deduction]]</f>
        <v>12535.714285714286</v>
      </c>
      <c r="BF15" s="20"/>
      <c r="BG15" s="24"/>
      <c r="BH15" s="22"/>
      <c r="BI15" s="22"/>
      <c r="BJ15" s="22"/>
      <c r="BK15" s="22"/>
      <c r="BL15" s="22"/>
      <c r="BM15" s="22"/>
      <c r="BN15" s="22"/>
    </row>
    <row r="16" spans="4:67" x14ac:dyDescent="0.25">
      <c r="F16" s="21"/>
      <c r="G16" s="8">
        <v>7</v>
      </c>
      <c r="H16" s="10" t="s">
        <v>9</v>
      </c>
      <c r="I16" s="10">
        <v>1007</v>
      </c>
      <c r="J16" s="35">
        <f t="shared" si="8"/>
        <v>4</v>
      </c>
      <c r="K16" s="10" t="s">
        <v>38</v>
      </c>
      <c r="L16" s="44" t="str">
        <f t="shared" si="9"/>
        <v>WO</v>
      </c>
      <c r="M16" s="10" t="s">
        <v>38</v>
      </c>
      <c r="N16" s="10" t="s">
        <v>38</v>
      </c>
      <c r="O16" s="10" t="s">
        <v>39</v>
      </c>
      <c r="P16" s="10" t="s">
        <v>38</v>
      </c>
      <c r="Q16" s="10" t="s">
        <v>38</v>
      </c>
      <c r="R16" s="10" t="s">
        <v>38</v>
      </c>
      <c r="S16" s="44" t="str">
        <f t="shared" si="10"/>
        <v>WO</v>
      </c>
      <c r="T16" s="10" t="s">
        <v>38</v>
      </c>
      <c r="U16" s="10" t="s">
        <v>38</v>
      </c>
      <c r="V16" s="10" t="s">
        <v>39</v>
      </c>
      <c r="W16" s="10" t="s">
        <v>38</v>
      </c>
      <c r="X16" s="10" t="s">
        <v>38</v>
      </c>
      <c r="Y16" s="10" t="s">
        <v>38</v>
      </c>
      <c r="Z16" s="44" t="str">
        <f t="shared" si="11"/>
        <v>WO</v>
      </c>
      <c r="AA16" s="10" t="s">
        <v>38</v>
      </c>
      <c r="AB16" s="10" t="s">
        <v>38</v>
      </c>
      <c r="AC16" s="10" t="s">
        <v>39</v>
      </c>
      <c r="AD16" s="10" t="s">
        <v>38</v>
      </c>
      <c r="AE16" s="10" t="s">
        <v>38</v>
      </c>
      <c r="AF16" s="10" t="s">
        <v>38</v>
      </c>
      <c r="AG16" s="44" t="str">
        <f t="shared" si="12"/>
        <v>WO</v>
      </c>
      <c r="AH16" s="10" t="s">
        <v>38</v>
      </c>
      <c r="AI16" s="10" t="s">
        <v>38</v>
      </c>
      <c r="AJ16" s="10" t="s">
        <v>38</v>
      </c>
      <c r="AK16" s="10" t="s">
        <v>38</v>
      </c>
      <c r="AL16" s="64" t="s">
        <v>38</v>
      </c>
      <c r="AM16" s="29"/>
      <c r="AN16" s="29"/>
      <c r="AO16" s="29"/>
      <c r="AP16" s="21"/>
      <c r="AQ16" s="24"/>
      <c r="AR16" s="10">
        <v>7</v>
      </c>
      <c r="AS16" s="10" t="s">
        <v>9</v>
      </c>
      <c r="AT16" s="10" t="str">
        <f t="shared" si="2"/>
        <v>February</v>
      </c>
      <c r="AU16" s="10">
        <v>1007</v>
      </c>
      <c r="AV16" s="9">
        <f t="shared" si="3"/>
        <v>21</v>
      </c>
      <c r="AW16" s="16">
        <f t="shared" si="4"/>
        <v>3</v>
      </c>
      <c r="AX16" s="16">
        <f t="shared" si="5"/>
        <v>0</v>
      </c>
      <c r="AY16" s="16">
        <f t="shared" si="6"/>
        <v>4</v>
      </c>
      <c r="AZ16" s="16">
        <f t="shared" si="7"/>
        <v>28</v>
      </c>
      <c r="BA16" s="16">
        <f>FebReport[[#This Row],[Days]]-FebReport[[#This Row],[Absent]]</f>
        <v>25</v>
      </c>
      <c r="BB16" s="19">
        <v>48000</v>
      </c>
      <c r="BC16" s="20">
        <f>FebReport[[#This Row],[Salary ]]/FebReport[[#This Row],[Days]]</f>
        <v>1714.2857142857142</v>
      </c>
      <c r="BD16" s="20">
        <f>FebReport[[#This Row],[Per Day Salary ]]*FebReport[[#This Row],[Absent]]</f>
        <v>5142.8571428571431</v>
      </c>
      <c r="BE16" s="20">
        <f>FebReport[[#This Row],[Salary ]]-FebReport[[#This Row],[Deduction]]</f>
        <v>42857.142857142855</v>
      </c>
      <c r="BF16" s="20"/>
      <c r="BG16" s="24"/>
      <c r="BH16" s="22"/>
      <c r="BI16" s="22"/>
      <c r="BJ16" s="22"/>
      <c r="BK16" s="22"/>
      <c r="BL16" s="22"/>
      <c r="BM16" s="22"/>
      <c r="BN16" s="22"/>
    </row>
    <row r="17" spans="4:66" x14ac:dyDescent="0.25">
      <c r="F17" s="21"/>
      <c r="G17" s="8">
        <v>8</v>
      </c>
      <c r="H17" s="10" t="s">
        <v>10</v>
      </c>
      <c r="I17" s="10">
        <v>1008</v>
      </c>
      <c r="J17" s="35">
        <f t="shared" si="8"/>
        <v>4</v>
      </c>
      <c r="K17" s="10" t="s">
        <v>38</v>
      </c>
      <c r="L17" s="44" t="str">
        <f t="shared" si="9"/>
        <v>WO</v>
      </c>
      <c r="M17" s="10" t="s">
        <v>38</v>
      </c>
      <c r="N17" s="10" t="s">
        <v>38</v>
      </c>
      <c r="O17" s="10" t="s">
        <v>38</v>
      </c>
      <c r="P17" s="10" t="s">
        <v>39</v>
      </c>
      <c r="Q17" s="10" t="s">
        <v>38</v>
      </c>
      <c r="R17" s="10" t="s">
        <v>38</v>
      </c>
      <c r="S17" s="44" t="str">
        <f t="shared" si="10"/>
        <v>WO</v>
      </c>
      <c r="T17" s="10" t="s">
        <v>38</v>
      </c>
      <c r="U17" s="10" t="s">
        <v>38</v>
      </c>
      <c r="V17" s="10" t="s">
        <v>38</v>
      </c>
      <c r="W17" s="10" t="s">
        <v>39</v>
      </c>
      <c r="X17" s="10" t="s">
        <v>38</v>
      </c>
      <c r="Y17" s="10" t="s">
        <v>38</v>
      </c>
      <c r="Z17" s="44" t="str">
        <f t="shared" si="11"/>
        <v>WO</v>
      </c>
      <c r="AA17" s="10" t="s">
        <v>38</v>
      </c>
      <c r="AB17" s="10" t="s">
        <v>38</v>
      </c>
      <c r="AC17" s="10" t="s">
        <v>38</v>
      </c>
      <c r="AD17" s="10" t="s">
        <v>39</v>
      </c>
      <c r="AE17" s="10" t="s">
        <v>38</v>
      </c>
      <c r="AF17" s="10" t="s">
        <v>38</v>
      </c>
      <c r="AG17" s="44" t="str">
        <f t="shared" si="12"/>
        <v>WO</v>
      </c>
      <c r="AH17" s="10" t="s">
        <v>38</v>
      </c>
      <c r="AI17" s="10" t="s">
        <v>40</v>
      </c>
      <c r="AJ17" s="10" t="s">
        <v>38</v>
      </c>
      <c r="AK17" s="10" t="s">
        <v>38</v>
      </c>
      <c r="AL17" s="64" t="s">
        <v>38</v>
      </c>
      <c r="AM17" s="29"/>
      <c r="AN17" s="29"/>
      <c r="AO17" s="29"/>
      <c r="AP17" s="21"/>
      <c r="AQ17" s="24"/>
      <c r="AR17" s="10">
        <v>8</v>
      </c>
      <c r="AS17" s="10" t="s">
        <v>10</v>
      </c>
      <c r="AT17" s="10" t="str">
        <f t="shared" si="2"/>
        <v>February</v>
      </c>
      <c r="AU17" s="10">
        <v>1008</v>
      </c>
      <c r="AV17" s="9">
        <f t="shared" si="3"/>
        <v>20</v>
      </c>
      <c r="AW17" s="16">
        <f t="shared" si="4"/>
        <v>3</v>
      </c>
      <c r="AX17" s="16">
        <f t="shared" si="5"/>
        <v>1</v>
      </c>
      <c r="AY17" s="16">
        <f t="shared" si="6"/>
        <v>4</v>
      </c>
      <c r="AZ17" s="16">
        <f t="shared" si="7"/>
        <v>28</v>
      </c>
      <c r="BA17" s="16">
        <f>FebReport[[#This Row],[Days]]-FebReport[[#This Row],[Absent]]</f>
        <v>25</v>
      </c>
      <c r="BB17" s="19">
        <v>17000</v>
      </c>
      <c r="BC17" s="20">
        <f>FebReport[[#This Row],[Salary ]]/FebReport[[#This Row],[Days]]</f>
        <v>607.14285714285711</v>
      </c>
      <c r="BD17" s="20">
        <f>FebReport[[#This Row],[Per Day Salary ]]*FebReport[[#This Row],[Absent]]</f>
        <v>1821.4285714285713</v>
      </c>
      <c r="BE17" s="20">
        <f>FebReport[[#This Row],[Salary ]]-FebReport[[#This Row],[Deduction]]</f>
        <v>15178.571428571429</v>
      </c>
      <c r="BF17" s="20"/>
      <c r="BG17" s="24"/>
      <c r="BH17" s="22"/>
      <c r="BI17" s="22"/>
      <c r="BJ17" s="22"/>
      <c r="BK17" s="22"/>
      <c r="BL17" s="22"/>
      <c r="BM17" s="22"/>
      <c r="BN17" s="22"/>
    </row>
    <row r="18" spans="4:66" x14ac:dyDescent="0.25">
      <c r="F18" s="21"/>
      <c r="G18" s="8">
        <v>9</v>
      </c>
      <c r="H18" s="10" t="s">
        <v>11</v>
      </c>
      <c r="I18" s="10">
        <v>1009</v>
      </c>
      <c r="J18" s="35">
        <f t="shared" si="8"/>
        <v>4</v>
      </c>
      <c r="K18" s="10" t="s">
        <v>38</v>
      </c>
      <c r="L18" s="44" t="str">
        <f t="shared" si="9"/>
        <v>WO</v>
      </c>
      <c r="M18" s="10" t="s">
        <v>39</v>
      </c>
      <c r="N18" s="10" t="s">
        <v>38</v>
      </c>
      <c r="O18" s="10" t="s">
        <v>38</v>
      </c>
      <c r="P18" s="10" t="s">
        <v>38</v>
      </c>
      <c r="Q18" s="10" t="s">
        <v>38</v>
      </c>
      <c r="R18" s="10" t="s">
        <v>38</v>
      </c>
      <c r="S18" s="44" t="str">
        <f t="shared" si="10"/>
        <v>WO</v>
      </c>
      <c r="T18" s="10" t="s">
        <v>39</v>
      </c>
      <c r="U18" s="10" t="s">
        <v>38</v>
      </c>
      <c r="V18" s="10" t="s">
        <v>38</v>
      </c>
      <c r="W18" s="10" t="s">
        <v>38</v>
      </c>
      <c r="X18" s="10" t="s">
        <v>38</v>
      </c>
      <c r="Y18" s="10" t="s">
        <v>38</v>
      </c>
      <c r="Z18" s="44" t="str">
        <f t="shared" si="11"/>
        <v>WO</v>
      </c>
      <c r="AA18" s="10" t="s">
        <v>38</v>
      </c>
      <c r="AB18" s="10" t="s">
        <v>38</v>
      </c>
      <c r="AC18" s="10" t="s">
        <v>38</v>
      </c>
      <c r="AD18" s="10" t="s">
        <v>38</v>
      </c>
      <c r="AE18" s="10" t="s">
        <v>38</v>
      </c>
      <c r="AF18" s="10" t="s">
        <v>38</v>
      </c>
      <c r="AG18" s="44" t="str">
        <f t="shared" si="12"/>
        <v>WO</v>
      </c>
      <c r="AH18" s="10" t="s">
        <v>38</v>
      </c>
      <c r="AI18" s="10" t="s">
        <v>38</v>
      </c>
      <c r="AJ18" s="10" t="s">
        <v>38</v>
      </c>
      <c r="AK18" s="10" t="s">
        <v>38</v>
      </c>
      <c r="AL18" s="64" t="s">
        <v>38</v>
      </c>
      <c r="AM18" s="29"/>
      <c r="AN18" s="29"/>
      <c r="AO18" s="29"/>
      <c r="AP18" s="21"/>
      <c r="AQ18" s="24"/>
      <c r="AR18" s="10">
        <v>9</v>
      </c>
      <c r="AS18" s="10" t="s">
        <v>11</v>
      </c>
      <c r="AT18" s="10" t="str">
        <f t="shared" si="2"/>
        <v>February</v>
      </c>
      <c r="AU18" s="10">
        <v>1009</v>
      </c>
      <c r="AV18" s="9">
        <f t="shared" si="3"/>
        <v>22</v>
      </c>
      <c r="AW18" s="16">
        <f t="shared" si="4"/>
        <v>2</v>
      </c>
      <c r="AX18" s="16">
        <f t="shared" si="5"/>
        <v>0</v>
      </c>
      <c r="AY18" s="16">
        <f t="shared" si="6"/>
        <v>4</v>
      </c>
      <c r="AZ18" s="16">
        <f t="shared" si="7"/>
        <v>28</v>
      </c>
      <c r="BA18" s="16">
        <f>FebReport[[#This Row],[Days]]-FebReport[[#This Row],[Absent]]</f>
        <v>26</v>
      </c>
      <c r="BB18" s="19">
        <v>39000</v>
      </c>
      <c r="BC18" s="20">
        <f>FebReport[[#This Row],[Salary ]]/FebReport[[#This Row],[Days]]</f>
        <v>1392.8571428571429</v>
      </c>
      <c r="BD18" s="20">
        <f>FebReport[[#This Row],[Per Day Salary ]]*FebReport[[#This Row],[Absent]]</f>
        <v>2785.7142857142858</v>
      </c>
      <c r="BE18" s="20">
        <f>FebReport[[#This Row],[Salary ]]-FebReport[[#This Row],[Deduction]]</f>
        <v>36214.285714285717</v>
      </c>
      <c r="BF18" s="20"/>
      <c r="BG18" s="24"/>
      <c r="BH18" s="22"/>
      <c r="BI18" s="22"/>
      <c r="BJ18" s="22"/>
      <c r="BK18" s="22"/>
      <c r="BL18" s="22"/>
      <c r="BM18" s="22"/>
      <c r="BN18" s="22"/>
    </row>
    <row r="19" spans="4:66" x14ac:dyDescent="0.25">
      <c r="F19" s="21"/>
      <c r="G19" s="8">
        <v>10</v>
      </c>
      <c r="H19" s="10" t="s">
        <v>3</v>
      </c>
      <c r="I19" s="10">
        <v>1010</v>
      </c>
      <c r="J19" s="35">
        <f t="shared" si="8"/>
        <v>4</v>
      </c>
      <c r="K19" s="10" t="s">
        <v>39</v>
      </c>
      <c r="L19" s="44" t="str">
        <f t="shared" si="9"/>
        <v>WO</v>
      </c>
      <c r="M19" s="10" t="s">
        <v>40</v>
      </c>
      <c r="N19" s="10" t="s">
        <v>38</v>
      </c>
      <c r="O19" s="10" t="s">
        <v>38</v>
      </c>
      <c r="P19" s="10" t="s">
        <v>40</v>
      </c>
      <c r="Q19" s="10" t="s">
        <v>38</v>
      </c>
      <c r="R19" s="10" t="s">
        <v>38</v>
      </c>
      <c r="S19" s="44" t="str">
        <f t="shared" si="10"/>
        <v>WO</v>
      </c>
      <c r="T19" s="10" t="s">
        <v>40</v>
      </c>
      <c r="U19" s="10" t="s">
        <v>38</v>
      </c>
      <c r="V19" s="10" t="s">
        <v>38</v>
      </c>
      <c r="W19" s="10" t="s">
        <v>40</v>
      </c>
      <c r="X19" s="10" t="s">
        <v>38</v>
      </c>
      <c r="Y19" s="10" t="s">
        <v>38</v>
      </c>
      <c r="Z19" s="44" t="str">
        <f t="shared" si="11"/>
        <v>WO</v>
      </c>
      <c r="AA19" s="10" t="s">
        <v>38</v>
      </c>
      <c r="AB19" s="10" t="s">
        <v>38</v>
      </c>
      <c r="AC19" s="10" t="s">
        <v>38</v>
      </c>
      <c r="AD19" s="10" t="s">
        <v>40</v>
      </c>
      <c r="AE19" s="10" t="s">
        <v>38</v>
      </c>
      <c r="AF19" s="10" t="s">
        <v>38</v>
      </c>
      <c r="AG19" s="44" t="str">
        <f t="shared" si="12"/>
        <v>WO</v>
      </c>
      <c r="AH19" s="10" t="s">
        <v>38</v>
      </c>
      <c r="AI19" s="10" t="s">
        <v>38</v>
      </c>
      <c r="AJ19" s="10" t="s">
        <v>38</v>
      </c>
      <c r="AK19" s="10" t="s">
        <v>39</v>
      </c>
      <c r="AL19" s="64" t="s">
        <v>38</v>
      </c>
      <c r="AM19" s="29"/>
      <c r="AN19" s="29"/>
      <c r="AO19" s="29"/>
      <c r="AP19" s="21"/>
      <c r="AQ19" s="24"/>
      <c r="AR19" s="10">
        <v>10</v>
      </c>
      <c r="AS19" s="10" t="s">
        <v>3</v>
      </c>
      <c r="AT19" s="10" t="str">
        <f t="shared" si="2"/>
        <v>February</v>
      </c>
      <c r="AU19" s="10">
        <v>1010</v>
      </c>
      <c r="AV19" s="9">
        <f t="shared" si="3"/>
        <v>17</v>
      </c>
      <c r="AW19" s="16">
        <f t="shared" si="4"/>
        <v>2</v>
      </c>
      <c r="AX19" s="16">
        <f t="shared" si="5"/>
        <v>5</v>
      </c>
      <c r="AY19" s="16">
        <f t="shared" si="6"/>
        <v>4</v>
      </c>
      <c r="AZ19" s="16">
        <f t="shared" si="7"/>
        <v>28</v>
      </c>
      <c r="BA19" s="16">
        <f>FebReport[[#This Row],[Days]]-FebReport[[#This Row],[Absent]]</f>
        <v>26</v>
      </c>
      <c r="BB19" s="19">
        <v>72000</v>
      </c>
      <c r="BC19" s="20">
        <f>FebReport[[#This Row],[Salary ]]/FebReport[[#This Row],[Days]]</f>
        <v>2571.4285714285716</v>
      </c>
      <c r="BD19" s="20">
        <f>FebReport[[#This Row],[Per Day Salary ]]*FebReport[[#This Row],[Absent]]</f>
        <v>5142.8571428571431</v>
      </c>
      <c r="BE19" s="20">
        <f>FebReport[[#This Row],[Salary ]]-FebReport[[#This Row],[Deduction]]</f>
        <v>66857.142857142855</v>
      </c>
      <c r="BF19" s="20"/>
      <c r="BG19" s="24"/>
      <c r="BH19" s="22"/>
      <c r="BI19" s="22"/>
      <c r="BJ19" s="22"/>
      <c r="BK19" s="22"/>
      <c r="BL19" s="22"/>
      <c r="BM19" s="22"/>
      <c r="BN19" s="22"/>
    </row>
    <row r="20" spans="4:66" x14ac:dyDescent="0.25">
      <c r="F20" s="21"/>
      <c r="G20" s="8">
        <v>11</v>
      </c>
      <c r="H20" s="9" t="s">
        <v>12</v>
      </c>
      <c r="I20" s="10">
        <v>1011</v>
      </c>
      <c r="J20" s="35">
        <f t="shared" si="8"/>
        <v>4</v>
      </c>
      <c r="K20" s="10" t="s">
        <v>38</v>
      </c>
      <c r="L20" s="44" t="str">
        <f t="shared" si="9"/>
        <v>WO</v>
      </c>
      <c r="M20" s="10" t="s">
        <v>38</v>
      </c>
      <c r="N20" s="10" t="s">
        <v>38</v>
      </c>
      <c r="O20" s="10" t="s">
        <v>38</v>
      </c>
      <c r="P20" s="10" t="s">
        <v>38</v>
      </c>
      <c r="Q20" s="10" t="s">
        <v>39</v>
      </c>
      <c r="R20" s="10" t="s">
        <v>38</v>
      </c>
      <c r="S20" s="44" t="str">
        <f t="shared" si="10"/>
        <v>WO</v>
      </c>
      <c r="T20" s="10" t="s">
        <v>38</v>
      </c>
      <c r="U20" s="10" t="s">
        <v>38</v>
      </c>
      <c r="V20" s="10" t="s">
        <v>38</v>
      </c>
      <c r="W20" s="10" t="s">
        <v>38</v>
      </c>
      <c r="X20" s="10" t="s">
        <v>39</v>
      </c>
      <c r="Y20" s="10" t="s">
        <v>38</v>
      </c>
      <c r="Z20" s="44" t="str">
        <f t="shared" si="11"/>
        <v>WO</v>
      </c>
      <c r="AA20" s="10" t="s">
        <v>38</v>
      </c>
      <c r="AB20" s="10" t="s">
        <v>38</v>
      </c>
      <c r="AC20" s="10" t="s">
        <v>38</v>
      </c>
      <c r="AD20" s="10" t="s">
        <v>38</v>
      </c>
      <c r="AE20" s="10" t="s">
        <v>39</v>
      </c>
      <c r="AF20" s="10" t="s">
        <v>38</v>
      </c>
      <c r="AG20" s="44" t="str">
        <f t="shared" si="12"/>
        <v>WO</v>
      </c>
      <c r="AH20" s="10" t="s">
        <v>38</v>
      </c>
      <c r="AI20" s="10" t="s">
        <v>38</v>
      </c>
      <c r="AJ20" s="10" t="s">
        <v>38</v>
      </c>
      <c r="AK20" s="10" t="s">
        <v>38</v>
      </c>
      <c r="AL20" s="64" t="s">
        <v>38</v>
      </c>
      <c r="AM20" s="29"/>
      <c r="AN20" s="29"/>
      <c r="AO20" s="29"/>
      <c r="AP20" s="21"/>
      <c r="AQ20" s="24"/>
      <c r="AR20" s="10">
        <v>11</v>
      </c>
      <c r="AS20" s="9" t="s">
        <v>12</v>
      </c>
      <c r="AT20" s="9" t="str">
        <f t="shared" si="2"/>
        <v>February</v>
      </c>
      <c r="AU20" s="10">
        <v>1011</v>
      </c>
      <c r="AV20" s="9">
        <f t="shared" si="3"/>
        <v>21</v>
      </c>
      <c r="AW20" s="16">
        <f t="shared" si="4"/>
        <v>3</v>
      </c>
      <c r="AX20" s="16">
        <f t="shared" si="5"/>
        <v>0</v>
      </c>
      <c r="AY20" s="16">
        <f t="shared" si="6"/>
        <v>4</v>
      </c>
      <c r="AZ20" s="16">
        <f t="shared" si="7"/>
        <v>28</v>
      </c>
      <c r="BA20" s="16">
        <f>FebReport[[#This Row],[Days]]-FebReport[[#This Row],[Absent]]</f>
        <v>25</v>
      </c>
      <c r="BB20" s="19">
        <v>13000</v>
      </c>
      <c r="BC20" s="20">
        <f>FebReport[[#This Row],[Salary ]]/FebReport[[#This Row],[Days]]</f>
        <v>464.28571428571428</v>
      </c>
      <c r="BD20" s="20">
        <f>FebReport[[#This Row],[Per Day Salary ]]*FebReport[[#This Row],[Absent]]</f>
        <v>1392.8571428571429</v>
      </c>
      <c r="BE20" s="20">
        <f>FebReport[[#This Row],[Salary ]]-FebReport[[#This Row],[Deduction]]</f>
        <v>11607.142857142857</v>
      </c>
      <c r="BF20" s="20"/>
      <c r="BG20" s="24"/>
      <c r="BH20" s="22"/>
      <c r="BI20" s="22"/>
      <c r="BJ20" s="22"/>
      <c r="BK20" s="22"/>
      <c r="BL20" s="22"/>
      <c r="BM20" s="22"/>
      <c r="BN20" s="22"/>
    </row>
    <row r="21" spans="4:66" x14ac:dyDescent="0.25">
      <c r="F21" s="21"/>
      <c r="G21" s="8">
        <v>12</v>
      </c>
      <c r="H21" s="10" t="s">
        <v>13</v>
      </c>
      <c r="I21" s="10">
        <v>1012</v>
      </c>
      <c r="J21" s="35">
        <f t="shared" si="8"/>
        <v>4</v>
      </c>
      <c r="K21" s="10" t="s">
        <v>38</v>
      </c>
      <c r="L21" s="44" t="str">
        <f t="shared" si="9"/>
        <v>WO</v>
      </c>
      <c r="M21" s="10" t="s">
        <v>38</v>
      </c>
      <c r="N21" s="10" t="s">
        <v>40</v>
      </c>
      <c r="O21" s="10" t="s">
        <v>38</v>
      </c>
      <c r="P21" s="10" t="s">
        <v>38</v>
      </c>
      <c r="Q21" s="10" t="s">
        <v>38</v>
      </c>
      <c r="R21" s="10" t="s">
        <v>38</v>
      </c>
      <c r="S21" s="44" t="str">
        <f t="shared" si="10"/>
        <v>WO</v>
      </c>
      <c r="T21" s="10" t="s">
        <v>38</v>
      </c>
      <c r="U21" s="10" t="s">
        <v>40</v>
      </c>
      <c r="V21" s="10" t="s">
        <v>38</v>
      </c>
      <c r="W21" s="10" t="s">
        <v>38</v>
      </c>
      <c r="X21" s="10" t="s">
        <v>38</v>
      </c>
      <c r="Y21" s="10" t="s">
        <v>38</v>
      </c>
      <c r="Z21" s="44" t="str">
        <f t="shared" si="11"/>
        <v>WO</v>
      </c>
      <c r="AA21" s="10" t="s">
        <v>38</v>
      </c>
      <c r="AB21" s="10" t="s">
        <v>40</v>
      </c>
      <c r="AC21" s="10" t="s">
        <v>38</v>
      </c>
      <c r="AD21" s="10" t="s">
        <v>38</v>
      </c>
      <c r="AE21" s="10" t="s">
        <v>38</v>
      </c>
      <c r="AF21" s="10" t="s">
        <v>38</v>
      </c>
      <c r="AG21" s="44" t="str">
        <f t="shared" si="12"/>
        <v>WO</v>
      </c>
      <c r="AH21" s="10" t="s">
        <v>38</v>
      </c>
      <c r="AI21" s="10" t="s">
        <v>38</v>
      </c>
      <c r="AJ21" s="10" t="s">
        <v>38</v>
      </c>
      <c r="AK21" s="10" t="s">
        <v>38</v>
      </c>
      <c r="AL21" s="64" t="s">
        <v>38</v>
      </c>
      <c r="AM21" s="29"/>
      <c r="AN21" s="29"/>
      <c r="AO21" s="29"/>
      <c r="AP21" s="21"/>
      <c r="AQ21" s="24"/>
      <c r="AR21" s="10">
        <v>12</v>
      </c>
      <c r="AS21" s="10" t="s">
        <v>13</v>
      </c>
      <c r="AT21" s="10" t="str">
        <f t="shared" si="2"/>
        <v>February</v>
      </c>
      <c r="AU21" s="10">
        <v>1012</v>
      </c>
      <c r="AV21" s="9">
        <f t="shared" si="3"/>
        <v>21</v>
      </c>
      <c r="AW21" s="16">
        <f t="shared" si="4"/>
        <v>0</v>
      </c>
      <c r="AX21" s="16">
        <f t="shared" si="5"/>
        <v>3</v>
      </c>
      <c r="AY21" s="16">
        <f t="shared" si="6"/>
        <v>4</v>
      </c>
      <c r="AZ21" s="16">
        <f t="shared" si="7"/>
        <v>28</v>
      </c>
      <c r="BA21" s="16">
        <f>FebReport[[#This Row],[Days]]-FebReport[[#This Row],[Absent]]</f>
        <v>28</v>
      </c>
      <c r="BB21" s="19">
        <v>22000</v>
      </c>
      <c r="BC21" s="20">
        <f>FebReport[[#This Row],[Salary ]]/FebReport[[#This Row],[Days]]</f>
        <v>785.71428571428567</v>
      </c>
      <c r="BD21" s="20">
        <f>FebReport[[#This Row],[Per Day Salary ]]*FebReport[[#This Row],[Absent]]</f>
        <v>0</v>
      </c>
      <c r="BE21" s="20">
        <f>FebReport[[#This Row],[Salary ]]-FebReport[[#This Row],[Deduction]]</f>
        <v>22000</v>
      </c>
      <c r="BF21" s="20"/>
      <c r="BG21" s="24"/>
      <c r="BH21" s="22"/>
      <c r="BI21" s="22"/>
      <c r="BJ21" s="22"/>
      <c r="BK21" s="22"/>
      <c r="BL21" s="22"/>
      <c r="BM21" s="22"/>
      <c r="BN21" s="22"/>
    </row>
    <row r="22" spans="4:66" x14ac:dyDescent="0.25">
      <c r="F22" s="21"/>
      <c r="G22" s="8">
        <v>13</v>
      </c>
      <c r="H22" s="10" t="s">
        <v>14</v>
      </c>
      <c r="I22" s="10">
        <v>1013</v>
      </c>
      <c r="J22" s="35">
        <f t="shared" si="8"/>
        <v>4</v>
      </c>
      <c r="K22" s="10" t="s">
        <v>38</v>
      </c>
      <c r="L22" s="44" t="str">
        <f t="shared" si="9"/>
        <v>WO</v>
      </c>
      <c r="M22" s="10" t="s">
        <v>38</v>
      </c>
      <c r="N22" s="10" t="s">
        <v>38</v>
      </c>
      <c r="O22" s="10" t="s">
        <v>40</v>
      </c>
      <c r="P22" s="10" t="s">
        <v>38</v>
      </c>
      <c r="Q22" s="10" t="s">
        <v>38</v>
      </c>
      <c r="R22" s="10" t="s">
        <v>38</v>
      </c>
      <c r="S22" s="44" t="str">
        <f t="shared" si="10"/>
        <v>WO</v>
      </c>
      <c r="T22" s="10" t="s">
        <v>38</v>
      </c>
      <c r="U22" s="10" t="s">
        <v>38</v>
      </c>
      <c r="V22" s="10" t="s">
        <v>40</v>
      </c>
      <c r="W22" s="10" t="s">
        <v>38</v>
      </c>
      <c r="X22" s="10" t="s">
        <v>38</v>
      </c>
      <c r="Y22" s="10" t="s">
        <v>38</v>
      </c>
      <c r="Z22" s="44" t="str">
        <f t="shared" si="11"/>
        <v>WO</v>
      </c>
      <c r="AA22" s="10" t="s">
        <v>38</v>
      </c>
      <c r="AB22" s="10" t="s">
        <v>38</v>
      </c>
      <c r="AC22" s="10" t="s">
        <v>40</v>
      </c>
      <c r="AD22" s="10" t="s">
        <v>38</v>
      </c>
      <c r="AE22" s="10" t="s">
        <v>38</v>
      </c>
      <c r="AF22" s="10" t="s">
        <v>38</v>
      </c>
      <c r="AG22" s="44" t="str">
        <f t="shared" si="12"/>
        <v>WO</v>
      </c>
      <c r="AH22" s="10" t="s">
        <v>39</v>
      </c>
      <c r="AI22" s="10" t="s">
        <v>38</v>
      </c>
      <c r="AJ22" s="10" t="s">
        <v>38</v>
      </c>
      <c r="AK22" s="10" t="s">
        <v>40</v>
      </c>
      <c r="AL22" s="64" t="s">
        <v>38</v>
      </c>
      <c r="AM22" s="29"/>
      <c r="AN22" s="29"/>
      <c r="AO22" s="29"/>
      <c r="AP22" s="21"/>
      <c r="AQ22" s="24"/>
      <c r="AR22" s="10">
        <v>13</v>
      </c>
      <c r="AS22" s="10" t="s">
        <v>14</v>
      </c>
      <c r="AT22" s="10" t="str">
        <f t="shared" si="2"/>
        <v>February</v>
      </c>
      <c r="AU22" s="10">
        <v>1013</v>
      </c>
      <c r="AV22" s="9">
        <f t="shared" si="3"/>
        <v>19</v>
      </c>
      <c r="AW22" s="16">
        <f t="shared" si="4"/>
        <v>1</v>
      </c>
      <c r="AX22" s="16">
        <f t="shared" si="5"/>
        <v>4</v>
      </c>
      <c r="AY22" s="16">
        <f t="shared" si="6"/>
        <v>4</v>
      </c>
      <c r="AZ22" s="16">
        <f t="shared" si="7"/>
        <v>28</v>
      </c>
      <c r="BA22" s="16">
        <f>FebReport[[#This Row],[Days]]-FebReport[[#This Row],[Absent]]</f>
        <v>27</v>
      </c>
      <c r="BB22" s="19">
        <v>35000</v>
      </c>
      <c r="BC22" s="20">
        <f>FebReport[[#This Row],[Salary ]]/FebReport[[#This Row],[Days]]</f>
        <v>1250</v>
      </c>
      <c r="BD22" s="20">
        <f>FebReport[[#This Row],[Per Day Salary ]]*FebReport[[#This Row],[Absent]]</f>
        <v>1250</v>
      </c>
      <c r="BE22" s="20">
        <f>FebReport[[#This Row],[Salary ]]-FebReport[[#This Row],[Deduction]]</f>
        <v>33750</v>
      </c>
      <c r="BF22" s="20"/>
      <c r="BG22" s="24"/>
      <c r="BH22" s="22"/>
      <c r="BI22" s="22"/>
      <c r="BJ22" s="22"/>
      <c r="BK22" s="22"/>
      <c r="BL22" s="22"/>
      <c r="BM22" s="22"/>
      <c r="BN22" s="22"/>
    </row>
    <row r="23" spans="4:66" x14ac:dyDescent="0.25">
      <c r="F23" s="21"/>
      <c r="G23" s="8">
        <v>14</v>
      </c>
      <c r="H23" s="10" t="s">
        <v>15</v>
      </c>
      <c r="I23" s="10">
        <v>1014</v>
      </c>
      <c r="J23" s="35">
        <f t="shared" si="8"/>
        <v>4</v>
      </c>
      <c r="K23" s="10" t="s">
        <v>38</v>
      </c>
      <c r="L23" s="44" t="str">
        <f t="shared" si="9"/>
        <v>WO</v>
      </c>
      <c r="M23" s="10" t="s">
        <v>38</v>
      </c>
      <c r="N23" s="10" t="s">
        <v>38</v>
      </c>
      <c r="O23" s="10" t="s">
        <v>38</v>
      </c>
      <c r="P23" s="10" t="s">
        <v>38</v>
      </c>
      <c r="Q23" s="10" t="s">
        <v>38</v>
      </c>
      <c r="R23" s="10" t="s">
        <v>39</v>
      </c>
      <c r="S23" s="44" t="str">
        <f t="shared" si="10"/>
        <v>WO</v>
      </c>
      <c r="T23" s="10" t="s">
        <v>38</v>
      </c>
      <c r="U23" s="10" t="s">
        <v>38</v>
      </c>
      <c r="V23" s="10" t="s">
        <v>38</v>
      </c>
      <c r="W23" s="10" t="s">
        <v>38</v>
      </c>
      <c r="X23" s="10" t="s">
        <v>38</v>
      </c>
      <c r="Y23" s="10" t="s">
        <v>39</v>
      </c>
      <c r="Z23" s="44" t="str">
        <f t="shared" si="11"/>
        <v>WO</v>
      </c>
      <c r="AA23" s="10" t="s">
        <v>38</v>
      </c>
      <c r="AB23" s="10" t="s">
        <v>38</v>
      </c>
      <c r="AC23" s="10" t="s">
        <v>38</v>
      </c>
      <c r="AD23" s="10" t="s">
        <v>38</v>
      </c>
      <c r="AE23" s="10" t="s">
        <v>38</v>
      </c>
      <c r="AF23" s="10" t="s">
        <v>39</v>
      </c>
      <c r="AG23" s="44" t="str">
        <f t="shared" si="12"/>
        <v>WO</v>
      </c>
      <c r="AH23" s="10" t="s">
        <v>38</v>
      </c>
      <c r="AI23" s="10" t="s">
        <v>38</v>
      </c>
      <c r="AJ23" s="10" t="s">
        <v>38</v>
      </c>
      <c r="AK23" s="10" t="s">
        <v>38</v>
      </c>
      <c r="AL23" s="64" t="s">
        <v>38</v>
      </c>
      <c r="AM23" s="29"/>
      <c r="AN23" s="29"/>
      <c r="AO23" s="29"/>
      <c r="AP23" s="21"/>
      <c r="AQ23" s="24"/>
      <c r="AR23" s="10">
        <v>14</v>
      </c>
      <c r="AS23" s="10" t="s">
        <v>15</v>
      </c>
      <c r="AT23" s="10" t="str">
        <f t="shared" si="2"/>
        <v>February</v>
      </c>
      <c r="AU23" s="10">
        <v>1014</v>
      </c>
      <c r="AV23" s="9">
        <f t="shared" si="3"/>
        <v>21</v>
      </c>
      <c r="AW23" s="16">
        <f t="shared" si="4"/>
        <v>3</v>
      </c>
      <c r="AX23" s="16">
        <f t="shared" si="5"/>
        <v>0</v>
      </c>
      <c r="AY23" s="16">
        <f t="shared" si="6"/>
        <v>4</v>
      </c>
      <c r="AZ23" s="16">
        <f t="shared" si="7"/>
        <v>28</v>
      </c>
      <c r="BA23" s="16">
        <f>FebReport[[#This Row],[Days]]-FebReport[[#This Row],[Absent]]</f>
        <v>25</v>
      </c>
      <c r="BB23" s="19">
        <v>14000</v>
      </c>
      <c r="BC23" s="20">
        <f>FebReport[[#This Row],[Salary ]]/FebReport[[#This Row],[Days]]</f>
        <v>500</v>
      </c>
      <c r="BD23" s="20">
        <f>FebReport[[#This Row],[Per Day Salary ]]*FebReport[[#This Row],[Absent]]</f>
        <v>1500</v>
      </c>
      <c r="BE23" s="20">
        <f>FebReport[[#This Row],[Salary ]]-FebReport[[#This Row],[Deduction]]</f>
        <v>12500</v>
      </c>
      <c r="BF23" s="20"/>
      <c r="BG23" s="24"/>
      <c r="BH23" s="22"/>
      <c r="BI23" s="22"/>
      <c r="BJ23" s="22"/>
      <c r="BK23" s="22"/>
      <c r="BL23" s="22"/>
      <c r="BM23" s="22"/>
      <c r="BN23" s="22"/>
    </row>
    <row r="24" spans="4:66" x14ac:dyDescent="0.25">
      <c r="F24" s="21"/>
      <c r="G24" s="8">
        <v>15</v>
      </c>
      <c r="H24" s="10" t="s">
        <v>16</v>
      </c>
      <c r="I24" s="10">
        <v>1015</v>
      </c>
      <c r="J24" s="35">
        <f t="shared" si="8"/>
        <v>4</v>
      </c>
      <c r="K24" s="10" t="s">
        <v>38</v>
      </c>
      <c r="L24" s="44" t="str">
        <f t="shared" si="9"/>
        <v>WO</v>
      </c>
      <c r="M24" s="10" t="s">
        <v>38</v>
      </c>
      <c r="N24" s="10" t="s">
        <v>38</v>
      </c>
      <c r="O24" s="10" t="s">
        <v>40</v>
      </c>
      <c r="P24" s="10" t="s">
        <v>38</v>
      </c>
      <c r="Q24" s="10" t="s">
        <v>38</v>
      </c>
      <c r="R24" s="10" t="s">
        <v>38</v>
      </c>
      <c r="S24" s="44" t="str">
        <f t="shared" si="10"/>
        <v>WO</v>
      </c>
      <c r="T24" s="10" t="s">
        <v>38</v>
      </c>
      <c r="U24" s="10" t="s">
        <v>38</v>
      </c>
      <c r="V24" s="10" t="s">
        <v>40</v>
      </c>
      <c r="W24" s="10" t="s">
        <v>38</v>
      </c>
      <c r="X24" s="10" t="s">
        <v>38</v>
      </c>
      <c r="Y24" s="10" t="s">
        <v>38</v>
      </c>
      <c r="Z24" s="44" t="str">
        <f t="shared" si="11"/>
        <v>WO</v>
      </c>
      <c r="AA24" s="10" t="s">
        <v>38</v>
      </c>
      <c r="AB24" s="10" t="s">
        <v>38</v>
      </c>
      <c r="AC24" s="10" t="s">
        <v>40</v>
      </c>
      <c r="AD24" s="10" t="s">
        <v>38</v>
      </c>
      <c r="AE24" s="10" t="s">
        <v>38</v>
      </c>
      <c r="AF24" s="10" t="s">
        <v>38</v>
      </c>
      <c r="AG24" s="44" t="str">
        <f t="shared" si="12"/>
        <v>WO</v>
      </c>
      <c r="AH24" s="10" t="s">
        <v>38</v>
      </c>
      <c r="AI24" s="10" t="s">
        <v>38</v>
      </c>
      <c r="AJ24" s="10" t="s">
        <v>38</v>
      </c>
      <c r="AK24" s="10" t="s">
        <v>38</v>
      </c>
      <c r="AL24" s="64" t="s">
        <v>38</v>
      </c>
      <c r="AM24" s="29"/>
      <c r="AN24" s="29"/>
      <c r="AO24" s="29"/>
      <c r="AP24" s="21"/>
      <c r="AQ24" s="24"/>
      <c r="AR24" s="10">
        <v>15</v>
      </c>
      <c r="AS24" s="10" t="s">
        <v>16</v>
      </c>
      <c r="AT24" s="10" t="str">
        <f t="shared" si="2"/>
        <v>February</v>
      </c>
      <c r="AU24" s="10">
        <v>1015</v>
      </c>
      <c r="AV24" s="9">
        <f t="shared" si="3"/>
        <v>21</v>
      </c>
      <c r="AW24" s="16">
        <f t="shared" si="4"/>
        <v>0</v>
      </c>
      <c r="AX24" s="16">
        <f t="shared" si="5"/>
        <v>3</v>
      </c>
      <c r="AY24" s="16">
        <f t="shared" si="6"/>
        <v>4</v>
      </c>
      <c r="AZ24" s="16">
        <f t="shared" si="7"/>
        <v>28</v>
      </c>
      <c r="BA24" s="16">
        <f>FebReport[[#This Row],[Days]]-FebReport[[#This Row],[Absent]]</f>
        <v>28</v>
      </c>
      <c r="BB24" s="19">
        <v>72000</v>
      </c>
      <c r="BC24" s="20">
        <f>FebReport[[#This Row],[Salary ]]/FebReport[[#This Row],[Days]]</f>
        <v>2571.4285714285716</v>
      </c>
      <c r="BD24" s="20">
        <f>FebReport[[#This Row],[Per Day Salary ]]*FebReport[[#This Row],[Absent]]</f>
        <v>0</v>
      </c>
      <c r="BE24" s="20">
        <f>FebReport[[#This Row],[Salary ]]-FebReport[[#This Row],[Deduction]]</f>
        <v>72000</v>
      </c>
      <c r="BF24" s="20"/>
      <c r="BG24" s="24"/>
      <c r="BH24" s="22"/>
      <c r="BI24" s="22"/>
      <c r="BJ24" s="22"/>
      <c r="BK24" s="22"/>
      <c r="BL24" s="22"/>
      <c r="BM24" s="22"/>
      <c r="BN24" s="22"/>
    </row>
    <row r="25" spans="4:66" x14ac:dyDescent="0.25">
      <c r="F25" s="21"/>
      <c r="G25" s="8">
        <v>16</v>
      </c>
      <c r="H25" s="10" t="s">
        <v>17</v>
      </c>
      <c r="I25" s="10">
        <v>1016</v>
      </c>
      <c r="J25" s="35">
        <f t="shared" si="8"/>
        <v>4</v>
      </c>
      <c r="K25" s="10" t="s">
        <v>38</v>
      </c>
      <c r="L25" s="44" t="str">
        <f t="shared" si="9"/>
        <v>WO</v>
      </c>
      <c r="M25" s="10" t="s">
        <v>38</v>
      </c>
      <c r="N25" s="10" t="s">
        <v>40</v>
      </c>
      <c r="O25" s="10" t="s">
        <v>38</v>
      </c>
      <c r="P25" s="10" t="s">
        <v>38</v>
      </c>
      <c r="Q25" s="10" t="s">
        <v>38</v>
      </c>
      <c r="R25" s="10" t="s">
        <v>38</v>
      </c>
      <c r="S25" s="44" t="str">
        <f t="shared" si="10"/>
        <v>WO</v>
      </c>
      <c r="T25" s="10" t="s">
        <v>38</v>
      </c>
      <c r="U25" s="10" t="s">
        <v>40</v>
      </c>
      <c r="V25" s="10" t="s">
        <v>38</v>
      </c>
      <c r="W25" s="10" t="s">
        <v>38</v>
      </c>
      <c r="X25" s="10" t="s">
        <v>38</v>
      </c>
      <c r="Y25" s="10" t="s">
        <v>38</v>
      </c>
      <c r="Z25" s="44" t="str">
        <f t="shared" si="11"/>
        <v>WO</v>
      </c>
      <c r="AA25" s="10" t="s">
        <v>38</v>
      </c>
      <c r="AB25" s="10" t="s">
        <v>40</v>
      </c>
      <c r="AC25" s="10" t="s">
        <v>38</v>
      </c>
      <c r="AD25" s="10" t="s">
        <v>38</v>
      </c>
      <c r="AE25" s="10" t="s">
        <v>38</v>
      </c>
      <c r="AF25" s="10" t="s">
        <v>38</v>
      </c>
      <c r="AG25" s="44" t="str">
        <f t="shared" si="12"/>
        <v>WO</v>
      </c>
      <c r="AH25" s="10" t="s">
        <v>38</v>
      </c>
      <c r="AI25" s="10" t="s">
        <v>38</v>
      </c>
      <c r="AJ25" s="10" t="s">
        <v>38</v>
      </c>
      <c r="AK25" s="10" t="s">
        <v>38</v>
      </c>
      <c r="AL25" s="64" t="s">
        <v>40</v>
      </c>
      <c r="AM25" s="29"/>
      <c r="AN25" s="29"/>
      <c r="AO25" s="29"/>
      <c r="AP25" s="21"/>
      <c r="AQ25" s="24"/>
      <c r="AR25" s="10">
        <v>16</v>
      </c>
      <c r="AS25" s="10" t="s">
        <v>17</v>
      </c>
      <c r="AT25" s="10" t="str">
        <f t="shared" si="2"/>
        <v>February</v>
      </c>
      <c r="AU25" s="10">
        <v>1016</v>
      </c>
      <c r="AV25" s="9">
        <f t="shared" si="3"/>
        <v>20</v>
      </c>
      <c r="AW25" s="16">
        <f t="shared" si="4"/>
        <v>0</v>
      </c>
      <c r="AX25" s="16">
        <f t="shared" si="5"/>
        <v>4</v>
      </c>
      <c r="AY25" s="16">
        <f t="shared" si="6"/>
        <v>4</v>
      </c>
      <c r="AZ25" s="16">
        <f t="shared" si="7"/>
        <v>28</v>
      </c>
      <c r="BA25" s="16">
        <f>FebReport[[#This Row],[Days]]-FebReport[[#This Row],[Absent]]</f>
        <v>28</v>
      </c>
      <c r="BB25" s="19">
        <v>79000</v>
      </c>
      <c r="BC25" s="20">
        <f>FebReport[[#This Row],[Salary ]]/FebReport[[#This Row],[Days]]</f>
        <v>2821.4285714285716</v>
      </c>
      <c r="BD25" s="20">
        <f>FebReport[[#This Row],[Per Day Salary ]]*FebReport[[#This Row],[Absent]]</f>
        <v>0</v>
      </c>
      <c r="BE25" s="20">
        <f>FebReport[[#This Row],[Salary ]]-FebReport[[#This Row],[Deduction]]</f>
        <v>79000</v>
      </c>
      <c r="BF25" s="20"/>
      <c r="BG25" s="24"/>
      <c r="BH25" s="22"/>
      <c r="BI25" s="22"/>
      <c r="BJ25" s="22"/>
      <c r="BK25" s="22"/>
      <c r="BL25" s="22"/>
      <c r="BM25" s="22"/>
      <c r="BN25" s="22"/>
    </row>
    <row r="26" spans="4:66" x14ac:dyDescent="0.25">
      <c r="F26" s="21"/>
      <c r="G26" s="8">
        <v>17</v>
      </c>
      <c r="H26" s="10" t="s">
        <v>18</v>
      </c>
      <c r="I26" s="10">
        <v>1017</v>
      </c>
      <c r="J26" s="35">
        <f t="shared" si="8"/>
        <v>4</v>
      </c>
      <c r="K26" s="10" t="s">
        <v>38</v>
      </c>
      <c r="L26" s="44" t="str">
        <f t="shared" si="9"/>
        <v>WO</v>
      </c>
      <c r="M26" s="10" t="s">
        <v>38</v>
      </c>
      <c r="N26" s="10" t="s">
        <v>38</v>
      </c>
      <c r="O26" s="10" t="s">
        <v>38</v>
      </c>
      <c r="P26" s="10" t="s">
        <v>38</v>
      </c>
      <c r="Q26" s="10" t="s">
        <v>38</v>
      </c>
      <c r="R26" s="10" t="s">
        <v>39</v>
      </c>
      <c r="S26" s="44" t="str">
        <f t="shared" si="10"/>
        <v>WO</v>
      </c>
      <c r="T26" s="10" t="s">
        <v>38</v>
      </c>
      <c r="U26" s="10" t="s">
        <v>38</v>
      </c>
      <c r="V26" s="10" t="s">
        <v>38</v>
      </c>
      <c r="W26" s="10" t="s">
        <v>38</v>
      </c>
      <c r="X26" s="10" t="s">
        <v>38</v>
      </c>
      <c r="Y26" s="10" t="s">
        <v>39</v>
      </c>
      <c r="Z26" s="44" t="str">
        <f t="shared" si="11"/>
        <v>WO</v>
      </c>
      <c r="AA26" s="10" t="s">
        <v>38</v>
      </c>
      <c r="AB26" s="10" t="s">
        <v>38</v>
      </c>
      <c r="AC26" s="10" t="s">
        <v>38</v>
      </c>
      <c r="AD26" s="10" t="s">
        <v>38</v>
      </c>
      <c r="AE26" s="10" t="s">
        <v>38</v>
      </c>
      <c r="AF26" s="10" t="s">
        <v>39</v>
      </c>
      <c r="AG26" s="44" t="str">
        <f t="shared" si="12"/>
        <v>WO</v>
      </c>
      <c r="AH26" s="10" t="s">
        <v>38</v>
      </c>
      <c r="AI26" s="10" t="s">
        <v>38</v>
      </c>
      <c r="AJ26" s="10" t="s">
        <v>39</v>
      </c>
      <c r="AK26" s="10" t="s">
        <v>38</v>
      </c>
      <c r="AL26" s="64" t="s">
        <v>38</v>
      </c>
      <c r="AM26" s="29"/>
      <c r="AN26" s="29"/>
      <c r="AO26" s="29"/>
      <c r="AP26" s="21"/>
      <c r="AQ26" s="24"/>
      <c r="AR26" s="10">
        <v>17</v>
      </c>
      <c r="AS26" s="10" t="s">
        <v>18</v>
      </c>
      <c r="AT26" s="10" t="str">
        <f t="shared" si="2"/>
        <v>February</v>
      </c>
      <c r="AU26" s="10">
        <v>1017</v>
      </c>
      <c r="AV26" s="9">
        <f t="shared" si="3"/>
        <v>20</v>
      </c>
      <c r="AW26" s="16">
        <f t="shared" si="4"/>
        <v>4</v>
      </c>
      <c r="AX26" s="16">
        <f t="shared" si="5"/>
        <v>0</v>
      </c>
      <c r="AY26" s="16">
        <f t="shared" si="6"/>
        <v>4</v>
      </c>
      <c r="AZ26" s="16">
        <f t="shared" si="7"/>
        <v>28</v>
      </c>
      <c r="BA26" s="16">
        <f>FebReport[[#This Row],[Days]]-FebReport[[#This Row],[Absent]]</f>
        <v>24</v>
      </c>
      <c r="BB26" s="19">
        <v>33000</v>
      </c>
      <c r="BC26" s="20">
        <f>FebReport[[#This Row],[Salary ]]/FebReport[[#This Row],[Days]]</f>
        <v>1178.5714285714287</v>
      </c>
      <c r="BD26" s="20">
        <f>FebReport[[#This Row],[Per Day Salary ]]*FebReport[[#This Row],[Absent]]</f>
        <v>4714.2857142857147</v>
      </c>
      <c r="BE26" s="20">
        <f>FebReport[[#This Row],[Salary ]]-FebReport[[#This Row],[Deduction]]</f>
        <v>28285.714285714286</v>
      </c>
      <c r="BF26" s="20"/>
      <c r="BG26" s="24"/>
      <c r="BH26" s="22"/>
      <c r="BI26" s="22"/>
      <c r="BJ26" s="22"/>
      <c r="BK26" s="22"/>
      <c r="BL26" s="22"/>
      <c r="BM26" s="22"/>
      <c r="BN26" s="22"/>
    </row>
    <row r="27" spans="4:66" x14ac:dyDescent="0.25">
      <c r="F27" s="21"/>
      <c r="G27" s="8">
        <v>18</v>
      </c>
      <c r="H27" s="10" t="s">
        <v>41</v>
      </c>
      <c r="I27" s="10">
        <v>1018</v>
      </c>
      <c r="J27" s="35">
        <f t="shared" si="8"/>
        <v>4</v>
      </c>
      <c r="K27" s="10" t="s">
        <v>38</v>
      </c>
      <c r="L27" s="44" t="str">
        <f t="shared" si="9"/>
        <v>WO</v>
      </c>
      <c r="M27" s="10" t="s">
        <v>38</v>
      </c>
      <c r="N27" s="10" t="s">
        <v>38</v>
      </c>
      <c r="O27" s="10" t="s">
        <v>38</v>
      </c>
      <c r="P27" s="10" t="s">
        <v>39</v>
      </c>
      <c r="Q27" s="10" t="s">
        <v>38</v>
      </c>
      <c r="R27" s="10" t="s">
        <v>38</v>
      </c>
      <c r="S27" s="44" t="str">
        <f t="shared" si="10"/>
        <v>WO</v>
      </c>
      <c r="T27" s="10" t="s">
        <v>38</v>
      </c>
      <c r="U27" s="10" t="s">
        <v>38</v>
      </c>
      <c r="V27" s="10" t="s">
        <v>38</v>
      </c>
      <c r="W27" s="10" t="s">
        <v>39</v>
      </c>
      <c r="X27" s="10" t="s">
        <v>38</v>
      </c>
      <c r="Y27" s="10" t="s">
        <v>38</v>
      </c>
      <c r="Z27" s="44" t="str">
        <f t="shared" si="11"/>
        <v>WO</v>
      </c>
      <c r="AA27" s="10" t="s">
        <v>38</v>
      </c>
      <c r="AB27" s="10" t="s">
        <v>38</v>
      </c>
      <c r="AC27" s="10" t="s">
        <v>38</v>
      </c>
      <c r="AD27" s="10" t="s">
        <v>39</v>
      </c>
      <c r="AE27" s="10" t="s">
        <v>38</v>
      </c>
      <c r="AF27" s="10" t="s">
        <v>38</v>
      </c>
      <c r="AG27" s="44" t="str">
        <f t="shared" si="12"/>
        <v>WO</v>
      </c>
      <c r="AH27" s="10" t="s">
        <v>40</v>
      </c>
      <c r="AI27" s="10" t="s">
        <v>38</v>
      </c>
      <c r="AJ27" s="10" t="s">
        <v>38</v>
      </c>
      <c r="AK27" s="10" t="s">
        <v>38</v>
      </c>
      <c r="AL27" s="64" t="s">
        <v>38</v>
      </c>
      <c r="AM27" s="29"/>
      <c r="AN27" s="29"/>
      <c r="AO27" s="29"/>
      <c r="AP27" s="21"/>
      <c r="AQ27" s="24"/>
      <c r="AR27" s="10">
        <v>18</v>
      </c>
      <c r="AS27" s="10" t="s">
        <v>41</v>
      </c>
      <c r="AT27" s="10" t="str">
        <f t="shared" si="2"/>
        <v>February</v>
      </c>
      <c r="AU27" s="10">
        <v>1018</v>
      </c>
      <c r="AV27" s="9">
        <f t="shared" si="3"/>
        <v>20</v>
      </c>
      <c r="AW27" s="16">
        <f t="shared" si="4"/>
        <v>3</v>
      </c>
      <c r="AX27" s="16">
        <f t="shared" si="5"/>
        <v>1</v>
      </c>
      <c r="AY27" s="16">
        <f t="shared" si="6"/>
        <v>4</v>
      </c>
      <c r="AZ27" s="16">
        <f t="shared" si="7"/>
        <v>28</v>
      </c>
      <c r="BA27" s="16">
        <f>FebReport[[#This Row],[Days]]-FebReport[[#This Row],[Absent]]</f>
        <v>25</v>
      </c>
      <c r="BB27" s="19">
        <v>12000</v>
      </c>
      <c r="BC27" s="20">
        <f>FebReport[[#This Row],[Salary ]]/FebReport[[#This Row],[Days]]</f>
        <v>428.57142857142856</v>
      </c>
      <c r="BD27" s="20">
        <f>FebReport[[#This Row],[Per Day Salary ]]*FebReport[[#This Row],[Absent]]</f>
        <v>1285.7142857142858</v>
      </c>
      <c r="BE27" s="20">
        <f>FebReport[[#This Row],[Salary ]]-FebReport[[#This Row],[Deduction]]</f>
        <v>10714.285714285714</v>
      </c>
      <c r="BF27" s="20"/>
      <c r="BG27" s="24"/>
      <c r="BH27" s="22"/>
      <c r="BI27" s="22"/>
      <c r="BJ27" s="22"/>
      <c r="BK27" s="22"/>
      <c r="BL27" s="22"/>
      <c r="BM27" s="22"/>
      <c r="BN27" s="22"/>
    </row>
    <row r="28" spans="4:66" x14ac:dyDescent="0.25">
      <c r="F28" s="21"/>
      <c r="G28" s="8">
        <v>19</v>
      </c>
      <c r="H28" s="10" t="s">
        <v>19</v>
      </c>
      <c r="I28" s="10">
        <v>1019</v>
      </c>
      <c r="J28" s="35">
        <f t="shared" si="8"/>
        <v>4</v>
      </c>
      <c r="K28" s="10" t="s">
        <v>38</v>
      </c>
      <c r="L28" s="44" t="str">
        <f t="shared" si="9"/>
        <v>WO</v>
      </c>
      <c r="M28" s="10" t="s">
        <v>38</v>
      </c>
      <c r="N28" s="10" t="s">
        <v>40</v>
      </c>
      <c r="O28" s="10" t="s">
        <v>38</v>
      </c>
      <c r="P28" s="10" t="s">
        <v>38</v>
      </c>
      <c r="Q28" s="10" t="s">
        <v>38</v>
      </c>
      <c r="R28" s="10" t="s">
        <v>38</v>
      </c>
      <c r="S28" s="44" t="str">
        <f t="shared" si="10"/>
        <v>WO</v>
      </c>
      <c r="T28" s="10" t="s">
        <v>38</v>
      </c>
      <c r="U28" s="10" t="s">
        <v>40</v>
      </c>
      <c r="V28" s="10" t="s">
        <v>38</v>
      </c>
      <c r="W28" s="10" t="s">
        <v>38</v>
      </c>
      <c r="X28" s="10" t="s">
        <v>38</v>
      </c>
      <c r="Y28" s="10" t="s">
        <v>38</v>
      </c>
      <c r="Z28" s="44" t="str">
        <f t="shared" si="11"/>
        <v>WO</v>
      </c>
      <c r="AA28" s="10" t="s">
        <v>38</v>
      </c>
      <c r="AB28" s="10" t="s">
        <v>40</v>
      </c>
      <c r="AC28" s="10" t="s">
        <v>38</v>
      </c>
      <c r="AD28" s="10" t="s">
        <v>38</v>
      </c>
      <c r="AE28" s="10" t="s">
        <v>38</v>
      </c>
      <c r="AF28" s="10" t="s">
        <v>38</v>
      </c>
      <c r="AG28" s="44" t="str">
        <f t="shared" si="12"/>
        <v>WO</v>
      </c>
      <c r="AH28" s="10" t="s">
        <v>38</v>
      </c>
      <c r="AI28" s="10" t="s">
        <v>38</v>
      </c>
      <c r="AJ28" s="10" t="s">
        <v>38</v>
      </c>
      <c r="AK28" s="10" t="s">
        <v>40</v>
      </c>
      <c r="AL28" s="64" t="s">
        <v>38</v>
      </c>
      <c r="AM28" s="29"/>
      <c r="AN28" s="29"/>
      <c r="AO28" s="29"/>
      <c r="AP28" s="21"/>
      <c r="AQ28" s="24"/>
      <c r="AR28" s="10">
        <v>19</v>
      </c>
      <c r="AS28" s="10" t="s">
        <v>19</v>
      </c>
      <c r="AT28" s="10" t="str">
        <f t="shared" si="2"/>
        <v>February</v>
      </c>
      <c r="AU28" s="10">
        <v>1019</v>
      </c>
      <c r="AV28" s="9">
        <f t="shared" si="3"/>
        <v>20</v>
      </c>
      <c r="AW28" s="16">
        <f t="shared" si="4"/>
        <v>0</v>
      </c>
      <c r="AX28" s="16">
        <f t="shared" si="5"/>
        <v>4</v>
      </c>
      <c r="AY28" s="16">
        <f t="shared" si="6"/>
        <v>4</v>
      </c>
      <c r="AZ28" s="16">
        <f t="shared" si="7"/>
        <v>28</v>
      </c>
      <c r="BA28" s="16">
        <f>FebReport[[#This Row],[Days]]-FebReport[[#This Row],[Absent]]</f>
        <v>28</v>
      </c>
      <c r="BB28" s="19">
        <v>19000</v>
      </c>
      <c r="BC28" s="20">
        <f>FebReport[[#This Row],[Salary ]]/FebReport[[#This Row],[Days]]</f>
        <v>678.57142857142856</v>
      </c>
      <c r="BD28" s="20">
        <f>FebReport[[#This Row],[Per Day Salary ]]*FebReport[[#This Row],[Absent]]</f>
        <v>0</v>
      </c>
      <c r="BE28" s="20">
        <f>FebReport[[#This Row],[Salary ]]-FebReport[[#This Row],[Deduction]]</f>
        <v>19000</v>
      </c>
      <c r="BF28" s="20"/>
      <c r="BG28" s="24"/>
      <c r="BH28" s="22"/>
      <c r="BI28" s="22"/>
      <c r="BJ28" s="22"/>
      <c r="BK28" s="22"/>
      <c r="BL28" s="22"/>
      <c r="BM28" s="22"/>
      <c r="BN28" s="22"/>
    </row>
    <row r="29" spans="4:66" ht="16.5" thickBot="1" x14ac:dyDescent="0.3">
      <c r="F29" s="21"/>
      <c r="G29" s="11">
        <v>20</v>
      </c>
      <c r="H29" s="12" t="s">
        <v>24</v>
      </c>
      <c r="I29" s="12">
        <v>1020</v>
      </c>
      <c r="J29" s="36">
        <f t="shared" si="8"/>
        <v>4</v>
      </c>
      <c r="K29" s="55" t="s">
        <v>38</v>
      </c>
      <c r="L29" s="45" t="str">
        <f t="shared" si="9"/>
        <v>WO</v>
      </c>
      <c r="M29" s="39" t="s">
        <v>40</v>
      </c>
      <c r="N29" s="39" t="s">
        <v>38</v>
      </c>
      <c r="O29" s="39" t="s">
        <v>38</v>
      </c>
      <c r="P29" s="39" t="s">
        <v>38</v>
      </c>
      <c r="Q29" s="39" t="s">
        <v>38</v>
      </c>
      <c r="R29" s="39" t="s">
        <v>38</v>
      </c>
      <c r="S29" s="45" t="str">
        <f t="shared" si="10"/>
        <v>WO</v>
      </c>
      <c r="T29" s="39" t="s">
        <v>40</v>
      </c>
      <c r="U29" s="39" t="s">
        <v>38</v>
      </c>
      <c r="V29" s="39" t="s">
        <v>38</v>
      </c>
      <c r="W29" s="39" t="s">
        <v>38</v>
      </c>
      <c r="X29" s="39" t="s">
        <v>38</v>
      </c>
      <c r="Y29" s="39" t="s">
        <v>38</v>
      </c>
      <c r="Z29" s="45" t="str">
        <f t="shared" si="11"/>
        <v>WO</v>
      </c>
      <c r="AA29" s="39" t="s">
        <v>40</v>
      </c>
      <c r="AB29" s="39" t="s">
        <v>38</v>
      </c>
      <c r="AC29" s="39" t="s">
        <v>38</v>
      </c>
      <c r="AD29" s="39" t="s">
        <v>38</v>
      </c>
      <c r="AE29" s="39" t="s">
        <v>38</v>
      </c>
      <c r="AF29" s="39" t="s">
        <v>38</v>
      </c>
      <c r="AG29" s="45" t="str">
        <f t="shared" si="12"/>
        <v>WO</v>
      </c>
      <c r="AH29" s="39" t="s">
        <v>39</v>
      </c>
      <c r="AI29" s="39" t="s">
        <v>38</v>
      </c>
      <c r="AJ29" s="39" t="s">
        <v>38</v>
      </c>
      <c r="AK29" s="39" t="s">
        <v>38</v>
      </c>
      <c r="AL29" s="63" t="s">
        <v>38</v>
      </c>
      <c r="AM29" s="29"/>
      <c r="AN29" s="29"/>
      <c r="AO29" s="29"/>
      <c r="AP29" s="21"/>
      <c r="AQ29" s="24"/>
      <c r="AR29" s="10">
        <v>20</v>
      </c>
      <c r="AS29" s="10" t="s">
        <v>24</v>
      </c>
      <c r="AT29" s="10" t="str">
        <f t="shared" si="2"/>
        <v>February</v>
      </c>
      <c r="AU29" s="10">
        <v>1020</v>
      </c>
      <c r="AV29" s="9">
        <f t="shared" si="3"/>
        <v>20</v>
      </c>
      <c r="AW29" s="16">
        <f t="shared" si="4"/>
        <v>1</v>
      </c>
      <c r="AX29" s="16">
        <f t="shared" si="5"/>
        <v>3</v>
      </c>
      <c r="AY29" s="16">
        <f t="shared" si="6"/>
        <v>4</v>
      </c>
      <c r="AZ29" s="16">
        <f t="shared" si="7"/>
        <v>28</v>
      </c>
      <c r="BA29" s="16">
        <f>FebReport[[#This Row],[Days]]-FebReport[[#This Row],[Absent]]</f>
        <v>27</v>
      </c>
      <c r="BB29" s="19">
        <v>17000</v>
      </c>
      <c r="BC29" s="20">
        <f>FebReport[[#This Row],[Salary ]]/FebReport[[#This Row],[Days]]</f>
        <v>607.14285714285711</v>
      </c>
      <c r="BD29" s="20">
        <f>FebReport[[#This Row],[Per Day Salary ]]*FebReport[[#This Row],[Absent]]</f>
        <v>607.14285714285711</v>
      </c>
      <c r="BE29" s="20">
        <f>FebReport[[#This Row],[Salary ]]-FebReport[[#This Row],[Deduction]]</f>
        <v>16392.857142857141</v>
      </c>
      <c r="BF29" s="20"/>
      <c r="BG29" s="24"/>
      <c r="BH29" s="22"/>
      <c r="BI29" s="22"/>
      <c r="BJ29" s="22"/>
      <c r="BK29" s="22"/>
      <c r="BL29" s="22"/>
      <c r="BM29" s="22"/>
      <c r="BN29" s="22"/>
    </row>
    <row r="30" spans="4:66" x14ac:dyDescent="0.25"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2"/>
      <c r="BI30" s="22"/>
      <c r="BJ30" s="22"/>
      <c r="BK30" s="22"/>
      <c r="BL30" s="22"/>
      <c r="BM30" s="22"/>
      <c r="BN30" s="22"/>
    </row>
    <row r="31" spans="4:66" s="22" customFormat="1" x14ac:dyDescent="0.25">
      <c r="D31" s="3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</row>
    <row r="32" spans="4:66" s="22" customFormat="1" x14ac:dyDescent="0.25">
      <c r="D32" s="30"/>
    </row>
    <row r="33" spans="6:66" x14ac:dyDescent="0.25"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H33" s="22"/>
      <c r="BI33" s="22"/>
      <c r="BJ33" s="22"/>
      <c r="BK33" s="22"/>
      <c r="BL33" s="22"/>
      <c r="BM33" s="22"/>
      <c r="BN33" s="22"/>
    </row>
    <row r="34" spans="6:66" x14ac:dyDescent="0.25"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H34" s="22"/>
      <c r="BI34" s="22"/>
      <c r="BJ34" s="22"/>
      <c r="BK34" s="22"/>
      <c r="BL34" s="22"/>
      <c r="BM34" s="22"/>
      <c r="BN34" s="22"/>
    </row>
    <row r="35" spans="6:66" x14ac:dyDescent="0.25"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H35" s="22"/>
      <c r="BI35" s="22"/>
      <c r="BJ35" s="22"/>
      <c r="BK35" s="22"/>
      <c r="BL35" s="22"/>
      <c r="BM35" s="22"/>
      <c r="BN35" s="22"/>
    </row>
    <row r="36" spans="6:66" x14ac:dyDescent="0.25"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H36" s="22"/>
      <c r="BI36" s="22"/>
      <c r="BJ36" s="22"/>
      <c r="BK36" s="22"/>
      <c r="BL36" s="22"/>
      <c r="BM36" s="22"/>
      <c r="BN36" s="22"/>
    </row>
    <row r="37" spans="6:66" x14ac:dyDescent="0.25"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H37" s="22"/>
      <c r="BI37" s="22"/>
      <c r="BJ37" s="22"/>
      <c r="BK37" s="22"/>
      <c r="BL37" s="22"/>
      <c r="BM37" s="22"/>
      <c r="BN37" s="22"/>
    </row>
    <row r="38" spans="6:66" x14ac:dyDescent="0.25"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H38" s="22"/>
      <c r="BI38" s="22"/>
      <c r="BJ38" s="22"/>
      <c r="BK38" s="22"/>
      <c r="BL38" s="22"/>
      <c r="BM38" s="22"/>
      <c r="BN38" s="22"/>
    </row>
    <row r="39" spans="6:66" x14ac:dyDescent="0.25"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H39" s="22"/>
      <c r="BI39" s="22"/>
      <c r="BJ39" s="22"/>
      <c r="BK39" s="22"/>
      <c r="BL39" s="22"/>
      <c r="BM39" s="22"/>
      <c r="BN39" s="22"/>
    </row>
    <row r="40" spans="6:66" x14ac:dyDescent="0.25"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H40" s="22"/>
      <c r="BI40" s="22"/>
      <c r="BJ40" s="22"/>
      <c r="BK40" s="22"/>
      <c r="BL40" s="22"/>
      <c r="BM40" s="22"/>
      <c r="BN40" s="22"/>
    </row>
    <row r="41" spans="6:66" x14ac:dyDescent="0.25"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H41" s="22"/>
      <c r="BI41" s="22"/>
      <c r="BJ41" s="22"/>
      <c r="BK41" s="22"/>
      <c r="BL41" s="22"/>
      <c r="BM41" s="22"/>
      <c r="BN41" s="22"/>
    </row>
    <row r="42" spans="6:66" x14ac:dyDescent="0.25"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H42" s="22"/>
      <c r="BI42" s="22"/>
      <c r="BJ42" s="22"/>
      <c r="BK42" s="22"/>
      <c r="BL42" s="22"/>
      <c r="BM42" s="22"/>
      <c r="BN42" s="22"/>
    </row>
    <row r="43" spans="6:66" x14ac:dyDescent="0.25"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H43" s="22"/>
      <c r="BI43" s="22"/>
      <c r="BJ43" s="22"/>
      <c r="BK43" s="22"/>
      <c r="BL43" s="22"/>
      <c r="BM43" s="22"/>
      <c r="BN43" s="22"/>
    </row>
    <row r="44" spans="6:66" x14ac:dyDescent="0.25"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H44" s="22"/>
      <c r="BI44" s="22"/>
      <c r="BJ44" s="22"/>
      <c r="BK44" s="22"/>
      <c r="BL44" s="22"/>
      <c r="BM44" s="22"/>
      <c r="BN44" s="22"/>
    </row>
    <row r="45" spans="6:66" x14ac:dyDescent="0.25"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H45" s="22"/>
      <c r="BI45" s="22"/>
      <c r="BJ45" s="22"/>
      <c r="BK45" s="22"/>
      <c r="BL45" s="22"/>
      <c r="BM45" s="22"/>
      <c r="BN45" s="22"/>
    </row>
    <row r="46" spans="6:66" x14ac:dyDescent="0.25"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H46" s="22"/>
      <c r="BI46" s="22"/>
      <c r="BJ46" s="22"/>
      <c r="BK46" s="22"/>
      <c r="BL46" s="22"/>
      <c r="BM46" s="22"/>
      <c r="BN46" s="22"/>
    </row>
    <row r="47" spans="6:66" x14ac:dyDescent="0.25"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H47" s="22"/>
      <c r="BI47" s="22"/>
      <c r="BJ47" s="22"/>
      <c r="BK47" s="22"/>
      <c r="BL47" s="22"/>
      <c r="BM47" s="22"/>
      <c r="BN47" s="22"/>
    </row>
    <row r="48" spans="6:66" x14ac:dyDescent="0.25"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H48" s="22"/>
      <c r="BI48" s="22"/>
      <c r="BJ48" s="22"/>
      <c r="BK48" s="22"/>
      <c r="BL48" s="22"/>
      <c r="BM48" s="22"/>
      <c r="BN48" s="22"/>
    </row>
    <row r="49" spans="6:66" x14ac:dyDescent="0.25"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H49" s="22"/>
      <c r="BI49" s="22"/>
      <c r="BJ49" s="22"/>
      <c r="BK49" s="22"/>
      <c r="BL49" s="22"/>
      <c r="BM49" s="22"/>
      <c r="BN49" s="22"/>
    </row>
    <row r="50" spans="6:66" x14ac:dyDescent="0.25"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H50" s="22"/>
      <c r="BI50" s="22"/>
      <c r="BJ50" s="22"/>
      <c r="BK50" s="22"/>
      <c r="BL50" s="22"/>
      <c r="BM50" s="22"/>
      <c r="BN50" s="22"/>
    </row>
    <row r="51" spans="6:66" x14ac:dyDescent="0.25"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H51" s="22"/>
      <c r="BI51" s="22"/>
      <c r="BJ51" s="22"/>
      <c r="BK51" s="22"/>
      <c r="BL51" s="22"/>
      <c r="BM51" s="22"/>
      <c r="BN51" s="22"/>
    </row>
    <row r="52" spans="6:66" x14ac:dyDescent="0.25"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H52" s="22"/>
      <c r="BI52" s="22"/>
      <c r="BJ52" s="22"/>
      <c r="BK52" s="22"/>
      <c r="BL52" s="22"/>
      <c r="BM52" s="22"/>
      <c r="BN52" s="22"/>
    </row>
    <row r="53" spans="6:66" x14ac:dyDescent="0.25"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H53" s="22"/>
      <c r="BI53" s="22"/>
      <c r="BJ53" s="22"/>
      <c r="BK53" s="22"/>
      <c r="BL53" s="22"/>
      <c r="BM53" s="22"/>
      <c r="BN53" s="22"/>
    </row>
    <row r="54" spans="6:66" x14ac:dyDescent="0.25"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H54" s="22"/>
      <c r="BI54" s="22"/>
      <c r="BJ54" s="22"/>
      <c r="BK54" s="22"/>
      <c r="BL54" s="22"/>
      <c r="BM54" s="22"/>
      <c r="BN54" s="22"/>
    </row>
    <row r="55" spans="6:66" x14ac:dyDescent="0.25"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H55" s="22"/>
      <c r="BI55" s="22"/>
      <c r="BJ55" s="22"/>
      <c r="BK55" s="22"/>
      <c r="BL55" s="22"/>
      <c r="BM55" s="22"/>
      <c r="BN55" s="22"/>
    </row>
    <row r="56" spans="6:66" x14ac:dyDescent="0.25"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H56" s="22"/>
      <c r="BI56" s="22"/>
      <c r="BJ56" s="22"/>
      <c r="BK56" s="22"/>
      <c r="BL56" s="22"/>
      <c r="BM56" s="22"/>
      <c r="BN56" s="22"/>
    </row>
    <row r="57" spans="6:66" x14ac:dyDescent="0.25"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H57" s="22"/>
      <c r="BI57" s="22"/>
      <c r="BJ57" s="22"/>
      <c r="BK57" s="22"/>
      <c r="BL57" s="22"/>
      <c r="BM57" s="22"/>
      <c r="BN57" s="22"/>
    </row>
    <row r="58" spans="6:66" x14ac:dyDescent="0.25"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H58" s="22"/>
      <c r="BI58" s="22"/>
      <c r="BJ58" s="22"/>
      <c r="BK58" s="22"/>
      <c r="BL58" s="22"/>
      <c r="BM58" s="22"/>
      <c r="BN58" s="22"/>
    </row>
    <row r="59" spans="6:66" x14ac:dyDescent="0.25"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H59" s="22"/>
      <c r="BI59" s="22"/>
      <c r="BJ59" s="22"/>
      <c r="BK59" s="22"/>
      <c r="BL59" s="22"/>
      <c r="BM59" s="22"/>
      <c r="BN59" s="22"/>
    </row>
    <row r="60" spans="6:66" x14ac:dyDescent="0.25"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H60" s="22"/>
      <c r="BI60" s="22"/>
      <c r="BJ60" s="22"/>
      <c r="BK60" s="22"/>
      <c r="BL60" s="22"/>
      <c r="BM60" s="22"/>
      <c r="BN60" s="22"/>
    </row>
    <row r="61" spans="6:66" x14ac:dyDescent="0.25"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H61" s="22"/>
      <c r="BI61" s="22"/>
      <c r="BJ61" s="22"/>
      <c r="BK61" s="22"/>
      <c r="BL61" s="22"/>
      <c r="BM61" s="22"/>
      <c r="BN61" s="22"/>
    </row>
    <row r="62" spans="6:66" x14ac:dyDescent="0.25"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H62" s="22"/>
      <c r="BI62" s="22"/>
      <c r="BJ62" s="22"/>
      <c r="BK62" s="22"/>
      <c r="BL62" s="22"/>
      <c r="BM62" s="22"/>
      <c r="BN62" s="22"/>
    </row>
    <row r="63" spans="6:66" x14ac:dyDescent="0.25"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H63" s="22"/>
      <c r="BI63" s="22"/>
      <c r="BJ63" s="22"/>
      <c r="BK63" s="22"/>
      <c r="BL63" s="22"/>
      <c r="BM63" s="22"/>
      <c r="BN63" s="22"/>
    </row>
    <row r="64" spans="6:66" x14ac:dyDescent="0.25"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H64" s="22"/>
      <c r="BI64" s="22"/>
      <c r="BJ64" s="22"/>
      <c r="BK64" s="22"/>
      <c r="BL64" s="22"/>
      <c r="BM64" s="22"/>
      <c r="BN64" s="22"/>
    </row>
    <row r="65" spans="6:66" x14ac:dyDescent="0.25"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H65" s="22"/>
      <c r="BI65" s="22"/>
      <c r="BJ65" s="22"/>
      <c r="BK65" s="22"/>
      <c r="BL65" s="22"/>
      <c r="BM65" s="22"/>
      <c r="BN65" s="22"/>
    </row>
    <row r="66" spans="6:66" x14ac:dyDescent="0.25"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H66" s="22"/>
      <c r="BI66" s="22"/>
      <c r="BJ66" s="22"/>
      <c r="BK66" s="22"/>
      <c r="BL66" s="22"/>
      <c r="BM66" s="22"/>
      <c r="BN66" s="22"/>
    </row>
    <row r="67" spans="6:66" x14ac:dyDescent="0.25"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H67" s="22"/>
      <c r="BI67" s="22"/>
      <c r="BJ67" s="22"/>
      <c r="BK67" s="22"/>
      <c r="BL67" s="22"/>
      <c r="BM67" s="22"/>
      <c r="BN67" s="22"/>
    </row>
    <row r="68" spans="6:66" x14ac:dyDescent="0.25"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H68" s="22"/>
      <c r="BI68" s="22"/>
      <c r="BJ68" s="22"/>
      <c r="BK68" s="22"/>
      <c r="BL68" s="22"/>
      <c r="BM68" s="22"/>
      <c r="BN68" s="22"/>
    </row>
    <row r="69" spans="6:66" x14ac:dyDescent="0.25"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H69" s="22"/>
      <c r="BI69" s="22"/>
      <c r="BJ69" s="22"/>
      <c r="BK69" s="22"/>
      <c r="BL69" s="22"/>
      <c r="BM69" s="22"/>
      <c r="BN69" s="22"/>
    </row>
    <row r="70" spans="6:66" x14ac:dyDescent="0.25"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H70" s="22"/>
      <c r="BI70" s="22"/>
      <c r="BJ70" s="22"/>
      <c r="BK70" s="22"/>
      <c r="BL70" s="22"/>
      <c r="BM70" s="22"/>
      <c r="BN70" s="22"/>
    </row>
    <row r="71" spans="6:66" x14ac:dyDescent="0.25"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H71" s="22"/>
      <c r="BI71" s="22"/>
      <c r="BJ71" s="22"/>
      <c r="BK71" s="22"/>
      <c r="BL71" s="22"/>
      <c r="BM71" s="22"/>
      <c r="BN71" s="22"/>
    </row>
    <row r="72" spans="6:66" x14ac:dyDescent="0.25"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H72" s="22"/>
      <c r="BI72" s="22"/>
      <c r="BJ72" s="22"/>
      <c r="BK72" s="22"/>
      <c r="BL72" s="22"/>
      <c r="BM72" s="22"/>
      <c r="BN72" s="22"/>
    </row>
    <row r="73" spans="6:66" x14ac:dyDescent="0.25"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H73" s="22"/>
      <c r="BI73" s="22"/>
      <c r="BJ73" s="22"/>
      <c r="BK73" s="22"/>
      <c r="BL73" s="22"/>
      <c r="BM73" s="22"/>
      <c r="BN73" s="22"/>
    </row>
    <row r="74" spans="6:66" x14ac:dyDescent="0.25"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H74" s="22"/>
      <c r="BI74" s="22"/>
      <c r="BJ74" s="22"/>
      <c r="BK74" s="22"/>
      <c r="BL74" s="22"/>
      <c r="BM74" s="22"/>
      <c r="BN74" s="22"/>
    </row>
    <row r="75" spans="6:66" x14ac:dyDescent="0.25"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H75" s="22"/>
      <c r="BI75" s="22"/>
      <c r="BJ75" s="22"/>
      <c r="BK75" s="22"/>
      <c r="BL75" s="22"/>
      <c r="BM75" s="22"/>
      <c r="BN75" s="22"/>
    </row>
    <row r="76" spans="6:66" x14ac:dyDescent="0.25"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H76" s="22"/>
      <c r="BI76" s="22"/>
      <c r="BJ76" s="22"/>
      <c r="BK76" s="22"/>
      <c r="BL76" s="22"/>
      <c r="BM76" s="22"/>
      <c r="BN76" s="22"/>
    </row>
    <row r="77" spans="6:66" x14ac:dyDescent="0.25"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H77" s="22"/>
      <c r="BI77" s="22"/>
      <c r="BJ77" s="22"/>
      <c r="BK77" s="22"/>
      <c r="BL77" s="22"/>
      <c r="BM77" s="22"/>
      <c r="BN77" s="22"/>
    </row>
    <row r="78" spans="6:66" x14ac:dyDescent="0.25"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H78" s="22"/>
      <c r="BI78" s="22"/>
      <c r="BJ78" s="22"/>
      <c r="BK78" s="22"/>
      <c r="BL78" s="22"/>
      <c r="BM78" s="22"/>
      <c r="BN78" s="22"/>
    </row>
    <row r="79" spans="6:66" x14ac:dyDescent="0.25"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H79" s="22"/>
      <c r="BI79" s="22"/>
      <c r="BJ79" s="22"/>
      <c r="BK79" s="22"/>
      <c r="BL79" s="22"/>
      <c r="BM79" s="22"/>
      <c r="BN79" s="22"/>
    </row>
    <row r="80" spans="6:66" x14ac:dyDescent="0.25"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H80" s="22"/>
      <c r="BI80" s="22"/>
      <c r="BJ80" s="22"/>
      <c r="BK80" s="22"/>
      <c r="BL80" s="22"/>
      <c r="BM80" s="22"/>
      <c r="BN80" s="22"/>
    </row>
    <row r="81" spans="6:66" x14ac:dyDescent="0.25"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H81" s="22"/>
      <c r="BI81" s="22"/>
      <c r="BJ81" s="22"/>
      <c r="BK81" s="22"/>
      <c r="BL81" s="22"/>
      <c r="BM81" s="22"/>
      <c r="BN81" s="22"/>
    </row>
    <row r="82" spans="6:66" x14ac:dyDescent="0.25"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H82" s="22"/>
      <c r="BI82" s="22"/>
      <c r="BJ82" s="22"/>
      <c r="BK82" s="22"/>
      <c r="BL82" s="22"/>
      <c r="BM82" s="22"/>
      <c r="BN82" s="22"/>
    </row>
    <row r="83" spans="6:66" x14ac:dyDescent="0.25"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H83" s="22"/>
      <c r="BI83" s="22"/>
      <c r="BJ83" s="22"/>
      <c r="BK83" s="22"/>
      <c r="BL83" s="22"/>
      <c r="BM83" s="22"/>
      <c r="BN83" s="22"/>
    </row>
    <row r="84" spans="6:66" x14ac:dyDescent="0.25"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H84" s="22"/>
      <c r="BI84" s="22"/>
      <c r="BJ84" s="22"/>
      <c r="BK84" s="22"/>
      <c r="BL84" s="22"/>
      <c r="BM84" s="22"/>
      <c r="BN84" s="22"/>
    </row>
    <row r="85" spans="6:66" x14ac:dyDescent="0.25"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H85" s="22"/>
      <c r="BI85" s="22"/>
      <c r="BJ85" s="22"/>
      <c r="BK85" s="22"/>
      <c r="BL85" s="22"/>
      <c r="BM85" s="22"/>
      <c r="BN85" s="22"/>
    </row>
    <row r="86" spans="6:66" x14ac:dyDescent="0.25"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H86" s="22"/>
      <c r="BI86" s="22"/>
      <c r="BJ86" s="22"/>
      <c r="BK86" s="22"/>
      <c r="BL86" s="22"/>
      <c r="BM86" s="22"/>
      <c r="BN86" s="22"/>
    </row>
    <row r="87" spans="6:66" x14ac:dyDescent="0.25"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H87" s="22"/>
      <c r="BI87" s="22"/>
      <c r="BJ87" s="22"/>
      <c r="BK87" s="22"/>
      <c r="BL87" s="22"/>
      <c r="BM87" s="22"/>
      <c r="BN87" s="22"/>
    </row>
    <row r="88" spans="6:66" x14ac:dyDescent="0.25"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H88" s="22"/>
      <c r="BI88" s="22"/>
      <c r="BJ88" s="22"/>
      <c r="BK88" s="22"/>
      <c r="BL88" s="22"/>
      <c r="BM88" s="22"/>
      <c r="BN88" s="22"/>
    </row>
    <row r="89" spans="6:66" x14ac:dyDescent="0.25"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H89" s="22"/>
      <c r="BI89" s="22"/>
      <c r="BJ89" s="22"/>
      <c r="BK89" s="22"/>
      <c r="BL89" s="22"/>
      <c r="BM89" s="22"/>
      <c r="BN89" s="22"/>
    </row>
    <row r="90" spans="6:66" x14ac:dyDescent="0.25"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H90" s="22"/>
      <c r="BI90" s="22"/>
      <c r="BJ90" s="22"/>
      <c r="BK90" s="22"/>
      <c r="BL90" s="22"/>
      <c r="BM90" s="22"/>
      <c r="BN90" s="22"/>
    </row>
    <row r="91" spans="6:66" x14ac:dyDescent="0.25"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H91" s="22"/>
      <c r="BI91" s="22"/>
      <c r="BJ91" s="22"/>
      <c r="BK91" s="22"/>
      <c r="BL91" s="22"/>
      <c r="BM91" s="22"/>
      <c r="BN91" s="22"/>
    </row>
    <row r="92" spans="6:66" x14ac:dyDescent="0.25"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H92" s="22"/>
      <c r="BI92" s="22"/>
      <c r="BJ92" s="22"/>
      <c r="BK92" s="22"/>
      <c r="BL92" s="22"/>
      <c r="BM92" s="22"/>
      <c r="BN92" s="22"/>
    </row>
    <row r="93" spans="6:66" x14ac:dyDescent="0.25"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H93" s="22"/>
      <c r="BI93" s="22"/>
      <c r="BJ93" s="22"/>
      <c r="BK93" s="22"/>
      <c r="BL93" s="22"/>
      <c r="BM93" s="22"/>
      <c r="BN93" s="22"/>
    </row>
    <row r="94" spans="6:66" x14ac:dyDescent="0.25"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H94" s="22"/>
      <c r="BI94" s="22"/>
      <c r="BJ94" s="22"/>
      <c r="BK94" s="22"/>
      <c r="BL94" s="22"/>
      <c r="BM94" s="22"/>
      <c r="BN94" s="22"/>
    </row>
    <row r="95" spans="6:66" x14ac:dyDescent="0.25"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H95" s="22"/>
      <c r="BI95" s="22"/>
      <c r="BJ95" s="22"/>
      <c r="BK95" s="22"/>
      <c r="BL95" s="22"/>
      <c r="BM95" s="22"/>
      <c r="BN95" s="22"/>
    </row>
    <row r="96" spans="6:66" x14ac:dyDescent="0.25"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H96" s="22"/>
      <c r="BI96" s="22"/>
      <c r="BJ96" s="22"/>
      <c r="BK96" s="22"/>
      <c r="BL96" s="22"/>
      <c r="BM96" s="22"/>
      <c r="BN96" s="22"/>
    </row>
    <row r="97" spans="6:66" x14ac:dyDescent="0.25"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H97" s="22"/>
      <c r="BI97" s="22"/>
      <c r="BJ97" s="22"/>
      <c r="BK97" s="22"/>
      <c r="BL97" s="22"/>
      <c r="BM97" s="22"/>
      <c r="BN97" s="22"/>
    </row>
    <row r="98" spans="6:66" x14ac:dyDescent="0.25"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H98" s="22"/>
      <c r="BI98" s="22"/>
      <c r="BJ98" s="22"/>
      <c r="BK98" s="22"/>
      <c r="BL98" s="22"/>
      <c r="BM98" s="22"/>
      <c r="BN98" s="22"/>
    </row>
    <row r="99" spans="6:66" x14ac:dyDescent="0.25"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H99" s="22"/>
      <c r="BI99" s="22"/>
      <c r="BJ99" s="22"/>
      <c r="BK99" s="22"/>
      <c r="BL99" s="22"/>
      <c r="BM99" s="22"/>
      <c r="BN99" s="22"/>
    </row>
    <row r="100" spans="6:66" x14ac:dyDescent="0.25"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H100" s="22"/>
      <c r="BI100" s="22"/>
      <c r="BJ100" s="22"/>
      <c r="BK100" s="22"/>
      <c r="BL100" s="22"/>
      <c r="BM100" s="22"/>
      <c r="BN100" s="22"/>
    </row>
    <row r="101" spans="6:66" x14ac:dyDescent="0.25"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H101" s="22"/>
      <c r="BI101" s="22"/>
      <c r="BJ101" s="22"/>
      <c r="BK101" s="22"/>
      <c r="BL101" s="22"/>
      <c r="BM101" s="22"/>
      <c r="BN101" s="22"/>
    </row>
    <row r="102" spans="6:66" x14ac:dyDescent="0.25"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H102" s="22"/>
      <c r="BI102" s="22"/>
      <c r="BJ102" s="22"/>
      <c r="BK102" s="22"/>
      <c r="BL102" s="22"/>
      <c r="BM102" s="22"/>
      <c r="BN102" s="22"/>
    </row>
    <row r="103" spans="6:66" x14ac:dyDescent="0.25"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H103" s="22"/>
      <c r="BI103" s="22"/>
      <c r="BJ103" s="22"/>
      <c r="BK103" s="22"/>
      <c r="BL103" s="22"/>
      <c r="BM103" s="22"/>
      <c r="BN103" s="22"/>
    </row>
    <row r="104" spans="6:66" x14ac:dyDescent="0.25"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H104" s="22"/>
      <c r="BI104" s="22"/>
      <c r="BJ104" s="22"/>
      <c r="BK104" s="22"/>
      <c r="BL104" s="22"/>
      <c r="BM104" s="22"/>
      <c r="BN104" s="22"/>
    </row>
    <row r="105" spans="6:66" x14ac:dyDescent="0.25"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H105" s="22"/>
      <c r="BI105" s="22"/>
      <c r="BJ105" s="22"/>
      <c r="BK105" s="22"/>
      <c r="BL105" s="22"/>
      <c r="BM105" s="22"/>
      <c r="BN105" s="22"/>
    </row>
    <row r="106" spans="6:66" x14ac:dyDescent="0.25"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H106" s="22"/>
      <c r="BI106" s="22"/>
      <c r="BJ106" s="22"/>
      <c r="BK106" s="22"/>
      <c r="BL106" s="22"/>
      <c r="BM106" s="22"/>
      <c r="BN106" s="22"/>
    </row>
    <row r="107" spans="6:66" x14ac:dyDescent="0.25"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H107" s="22"/>
      <c r="BI107" s="22"/>
      <c r="BJ107" s="22"/>
      <c r="BK107" s="22"/>
      <c r="BL107" s="22"/>
      <c r="BM107" s="22"/>
      <c r="BN107" s="22"/>
    </row>
    <row r="108" spans="6:66" x14ac:dyDescent="0.25"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H108" s="22"/>
      <c r="BI108" s="22"/>
      <c r="BJ108" s="22"/>
      <c r="BK108" s="22"/>
      <c r="BL108" s="22"/>
      <c r="BM108" s="22"/>
      <c r="BN108" s="22"/>
    </row>
    <row r="109" spans="6:66" x14ac:dyDescent="0.25"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H109" s="22"/>
      <c r="BI109" s="22"/>
      <c r="BJ109" s="22"/>
      <c r="BK109" s="22"/>
      <c r="BL109" s="22"/>
      <c r="BM109" s="22"/>
      <c r="BN109" s="22"/>
    </row>
    <row r="110" spans="6:66" x14ac:dyDescent="0.25"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H110" s="22"/>
      <c r="BI110" s="22"/>
      <c r="BJ110" s="22"/>
      <c r="BK110" s="22"/>
      <c r="BL110" s="22"/>
      <c r="BM110" s="22"/>
      <c r="BN110" s="22"/>
    </row>
    <row r="111" spans="6:66" x14ac:dyDescent="0.25"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H111" s="22"/>
      <c r="BI111" s="22"/>
      <c r="BJ111" s="22"/>
      <c r="BK111" s="22"/>
      <c r="BL111" s="22"/>
      <c r="BM111" s="22"/>
      <c r="BN111" s="22"/>
    </row>
    <row r="112" spans="6:66" x14ac:dyDescent="0.25"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H112" s="22"/>
      <c r="BI112" s="22"/>
      <c r="BJ112" s="22"/>
      <c r="BK112" s="22"/>
      <c r="BL112" s="22"/>
      <c r="BM112" s="22"/>
      <c r="BN112" s="22"/>
    </row>
    <row r="113" spans="6:66" x14ac:dyDescent="0.25"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H113" s="22"/>
      <c r="BI113" s="22"/>
      <c r="BJ113" s="22"/>
      <c r="BK113" s="22"/>
      <c r="BL113" s="22"/>
      <c r="BM113" s="22"/>
      <c r="BN113" s="22"/>
    </row>
    <row r="114" spans="6:66" x14ac:dyDescent="0.25"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H114" s="22"/>
      <c r="BI114" s="22"/>
      <c r="BJ114" s="22"/>
      <c r="BK114" s="22"/>
      <c r="BL114" s="22"/>
      <c r="BM114" s="22"/>
      <c r="BN114" s="22"/>
    </row>
    <row r="115" spans="6:66" x14ac:dyDescent="0.25"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H115" s="22"/>
      <c r="BI115" s="22"/>
      <c r="BJ115" s="22"/>
      <c r="BK115" s="22"/>
      <c r="BL115" s="22"/>
      <c r="BM115" s="22"/>
      <c r="BN115" s="22"/>
    </row>
    <row r="116" spans="6:66" x14ac:dyDescent="0.25"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H116" s="22"/>
      <c r="BI116" s="22"/>
      <c r="BJ116" s="22"/>
      <c r="BK116" s="22"/>
      <c r="BL116" s="22"/>
      <c r="BM116" s="22"/>
      <c r="BN116" s="22"/>
    </row>
    <row r="117" spans="6:66" x14ac:dyDescent="0.25"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H117" s="22"/>
      <c r="BI117" s="22"/>
      <c r="BJ117" s="22"/>
      <c r="BK117" s="22"/>
      <c r="BL117" s="22"/>
      <c r="BM117" s="22"/>
      <c r="BN117" s="22"/>
    </row>
    <row r="118" spans="6:66" x14ac:dyDescent="0.25"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H118" s="22"/>
      <c r="BI118" s="22"/>
      <c r="BJ118" s="22"/>
      <c r="BK118" s="22"/>
      <c r="BL118" s="22"/>
      <c r="BM118" s="22"/>
      <c r="BN118" s="22"/>
    </row>
    <row r="119" spans="6:66" x14ac:dyDescent="0.25"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H119" s="22"/>
      <c r="BI119" s="22"/>
      <c r="BJ119" s="22"/>
      <c r="BK119" s="22"/>
      <c r="BL119" s="22"/>
      <c r="BM119" s="22"/>
      <c r="BN119" s="22"/>
    </row>
    <row r="120" spans="6:66" x14ac:dyDescent="0.25"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H120" s="22"/>
      <c r="BI120" s="22"/>
      <c r="BJ120" s="22"/>
      <c r="BK120" s="22"/>
      <c r="BL120" s="22"/>
      <c r="BM120" s="22"/>
      <c r="BN120" s="22"/>
    </row>
    <row r="121" spans="6:66" x14ac:dyDescent="0.25"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H121" s="22"/>
      <c r="BI121" s="22"/>
      <c r="BJ121" s="22"/>
      <c r="BK121" s="22"/>
      <c r="BL121" s="22"/>
      <c r="BM121" s="22"/>
      <c r="BN121" s="22"/>
    </row>
    <row r="122" spans="6:66" x14ac:dyDescent="0.25"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H122" s="22"/>
      <c r="BI122" s="22"/>
      <c r="BJ122" s="22"/>
      <c r="BK122" s="22"/>
      <c r="BL122" s="22"/>
      <c r="BM122" s="22"/>
      <c r="BN122" s="22"/>
    </row>
    <row r="123" spans="6:66" x14ac:dyDescent="0.25"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H123" s="22"/>
      <c r="BI123" s="22"/>
      <c r="BJ123" s="22"/>
      <c r="BK123" s="22"/>
      <c r="BL123" s="22"/>
      <c r="BM123" s="22"/>
      <c r="BN123" s="22"/>
    </row>
    <row r="124" spans="6:66" x14ac:dyDescent="0.25"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H124" s="22"/>
      <c r="BI124" s="22"/>
      <c r="BJ124" s="22"/>
      <c r="BK124" s="22"/>
      <c r="BL124" s="22"/>
      <c r="BM124" s="22"/>
      <c r="BN124" s="22"/>
    </row>
    <row r="125" spans="6:66" x14ac:dyDescent="0.25"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H125" s="22"/>
      <c r="BI125" s="22"/>
      <c r="BJ125" s="22"/>
      <c r="BK125" s="22"/>
      <c r="BL125" s="22"/>
      <c r="BM125" s="22"/>
      <c r="BN125" s="22"/>
    </row>
    <row r="126" spans="6:66" x14ac:dyDescent="0.25"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H126" s="22"/>
      <c r="BI126" s="22"/>
      <c r="BJ126" s="22"/>
      <c r="BK126" s="22"/>
      <c r="BL126" s="22"/>
      <c r="BM126" s="22"/>
      <c r="BN126" s="22"/>
    </row>
    <row r="127" spans="6:66" x14ac:dyDescent="0.25"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H127" s="22"/>
      <c r="BI127" s="22"/>
      <c r="BJ127" s="22"/>
      <c r="BK127" s="22"/>
      <c r="BL127" s="22"/>
      <c r="BM127" s="22"/>
      <c r="BN127" s="22"/>
    </row>
    <row r="128" spans="6:66" x14ac:dyDescent="0.25"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H128" s="22"/>
      <c r="BI128" s="22"/>
      <c r="BJ128" s="22"/>
      <c r="BK128" s="22"/>
      <c r="BL128" s="22"/>
      <c r="BM128" s="22"/>
      <c r="BN128" s="22"/>
    </row>
    <row r="129" spans="6:66" x14ac:dyDescent="0.25"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H129" s="22"/>
      <c r="BI129" s="22"/>
      <c r="BJ129" s="22"/>
      <c r="BK129" s="22"/>
      <c r="BL129" s="22"/>
      <c r="BM129" s="22"/>
      <c r="BN129" s="22"/>
    </row>
    <row r="130" spans="6:66" x14ac:dyDescent="0.25"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H130" s="22"/>
      <c r="BI130" s="22"/>
      <c r="BJ130" s="22"/>
      <c r="BK130" s="22"/>
      <c r="BL130" s="22"/>
      <c r="BM130" s="22"/>
      <c r="BN130" s="22"/>
    </row>
    <row r="131" spans="6:66" x14ac:dyDescent="0.25"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H131" s="22"/>
      <c r="BI131" s="22"/>
      <c r="BJ131" s="22"/>
      <c r="BK131" s="22"/>
      <c r="BL131" s="22"/>
      <c r="BM131" s="22"/>
      <c r="BN131" s="22"/>
    </row>
    <row r="132" spans="6:66" x14ac:dyDescent="0.25"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H132" s="22"/>
      <c r="BI132" s="22"/>
      <c r="BJ132" s="22"/>
      <c r="BK132" s="22"/>
      <c r="BL132" s="22"/>
      <c r="BM132" s="22"/>
      <c r="BN132" s="22"/>
    </row>
    <row r="133" spans="6:66" x14ac:dyDescent="0.25"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H133" s="22"/>
      <c r="BI133" s="22"/>
      <c r="BJ133" s="22"/>
      <c r="BK133" s="22"/>
      <c r="BL133" s="22"/>
      <c r="BM133" s="22"/>
      <c r="BN133" s="22"/>
    </row>
    <row r="134" spans="6:66" x14ac:dyDescent="0.25"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H134" s="22"/>
      <c r="BI134" s="22"/>
      <c r="BJ134" s="22"/>
      <c r="BK134" s="22"/>
      <c r="BL134" s="22"/>
      <c r="BM134" s="22"/>
      <c r="BN134" s="22"/>
    </row>
    <row r="135" spans="6:66" x14ac:dyDescent="0.25"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H135" s="22"/>
      <c r="BI135" s="22"/>
      <c r="BJ135" s="22"/>
      <c r="BK135" s="22"/>
      <c r="BL135" s="22"/>
      <c r="BM135" s="22"/>
      <c r="BN135" s="22"/>
    </row>
    <row r="136" spans="6:66" x14ac:dyDescent="0.25"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H136" s="22"/>
      <c r="BI136" s="22"/>
      <c r="BJ136" s="22"/>
      <c r="BK136" s="22"/>
      <c r="BL136" s="22"/>
      <c r="BM136" s="22"/>
      <c r="BN136" s="22"/>
    </row>
    <row r="137" spans="6:66" x14ac:dyDescent="0.25"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H137" s="22"/>
      <c r="BI137" s="22"/>
      <c r="BJ137" s="22"/>
      <c r="BK137" s="22"/>
      <c r="BL137" s="22"/>
      <c r="BM137" s="22"/>
      <c r="BN137" s="22"/>
    </row>
    <row r="138" spans="6:66" x14ac:dyDescent="0.25"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H138" s="22"/>
      <c r="BI138" s="22"/>
      <c r="BJ138" s="22"/>
      <c r="BK138" s="22"/>
      <c r="BL138" s="22"/>
      <c r="BM138" s="22"/>
      <c r="BN138" s="22"/>
    </row>
    <row r="139" spans="6:66" x14ac:dyDescent="0.25"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H139" s="22"/>
      <c r="BI139" s="22"/>
      <c r="BJ139" s="22"/>
      <c r="BK139" s="22"/>
      <c r="BL139" s="22"/>
      <c r="BM139" s="22"/>
      <c r="BN139" s="22"/>
    </row>
    <row r="140" spans="6:66" x14ac:dyDescent="0.25"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H140" s="22"/>
      <c r="BI140" s="22"/>
      <c r="BJ140" s="22"/>
      <c r="BK140" s="22"/>
      <c r="BL140" s="22"/>
      <c r="BM140" s="22"/>
      <c r="BN140" s="22"/>
    </row>
    <row r="141" spans="6:66" x14ac:dyDescent="0.25"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H141" s="22"/>
      <c r="BI141" s="22"/>
      <c r="BJ141" s="22"/>
      <c r="BK141" s="22"/>
      <c r="BL141" s="22"/>
      <c r="BM141" s="22"/>
      <c r="BN141" s="22"/>
    </row>
    <row r="142" spans="6:66" x14ac:dyDescent="0.25"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H142" s="22"/>
      <c r="BI142" s="22"/>
      <c r="BJ142" s="22"/>
      <c r="BK142" s="22"/>
      <c r="BL142" s="22"/>
      <c r="BM142" s="22"/>
      <c r="BN142" s="22"/>
    </row>
    <row r="143" spans="6:66" x14ac:dyDescent="0.25"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H143" s="22"/>
      <c r="BI143" s="22"/>
      <c r="BJ143" s="22"/>
      <c r="BK143" s="22"/>
      <c r="BL143" s="22"/>
      <c r="BM143" s="22"/>
      <c r="BN143" s="22"/>
    </row>
    <row r="144" spans="6:66" x14ac:dyDescent="0.25"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H144" s="22"/>
      <c r="BI144" s="22"/>
      <c r="BJ144" s="22"/>
      <c r="BK144" s="22"/>
      <c r="BL144" s="22"/>
      <c r="BM144" s="22"/>
      <c r="BN144" s="22"/>
    </row>
    <row r="145" spans="6:66" x14ac:dyDescent="0.25"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H145" s="22"/>
      <c r="BI145" s="22"/>
      <c r="BJ145" s="22"/>
      <c r="BK145" s="22"/>
      <c r="BL145" s="22"/>
      <c r="BM145" s="22"/>
      <c r="BN145" s="22"/>
    </row>
    <row r="146" spans="6:66" x14ac:dyDescent="0.25"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H146" s="22"/>
      <c r="BI146" s="22"/>
      <c r="BJ146" s="22"/>
      <c r="BK146" s="22"/>
      <c r="BL146" s="22"/>
      <c r="BM146" s="22"/>
      <c r="BN146" s="22"/>
    </row>
    <row r="147" spans="6:66" x14ac:dyDescent="0.25"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H147" s="22"/>
      <c r="BI147" s="22"/>
      <c r="BJ147" s="22"/>
      <c r="BK147" s="22"/>
      <c r="BL147" s="22"/>
      <c r="BM147" s="22"/>
      <c r="BN147" s="22"/>
    </row>
    <row r="148" spans="6:66" x14ac:dyDescent="0.25"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H148" s="22"/>
      <c r="BI148" s="22"/>
      <c r="BJ148" s="22"/>
      <c r="BK148" s="22"/>
      <c r="BL148" s="22"/>
      <c r="BM148" s="22"/>
      <c r="BN148" s="22"/>
    </row>
    <row r="149" spans="6:66" x14ac:dyDescent="0.25"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H149" s="22"/>
      <c r="BI149" s="22"/>
      <c r="BJ149" s="22"/>
      <c r="BK149" s="22"/>
      <c r="BL149" s="22"/>
      <c r="BM149" s="22"/>
      <c r="BN149" s="22"/>
    </row>
    <row r="150" spans="6:66" x14ac:dyDescent="0.25"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H150" s="22"/>
      <c r="BI150" s="22"/>
      <c r="BJ150" s="22"/>
      <c r="BK150" s="22"/>
      <c r="BL150" s="22"/>
      <c r="BM150" s="22"/>
      <c r="BN150" s="22"/>
    </row>
    <row r="151" spans="6:66" x14ac:dyDescent="0.25"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H151" s="22"/>
      <c r="BI151" s="22"/>
      <c r="BJ151" s="22"/>
      <c r="BK151" s="22"/>
      <c r="BL151" s="22"/>
      <c r="BM151" s="22"/>
      <c r="BN151" s="22"/>
    </row>
    <row r="152" spans="6:66" x14ac:dyDescent="0.25"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H152" s="22"/>
      <c r="BI152" s="22"/>
      <c r="BJ152" s="22"/>
      <c r="BK152" s="22"/>
      <c r="BL152" s="22"/>
      <c r="BM152" s="22"/>
      <c r="BN152" s="22"/>
    </row>
    <row r="153" spans="6:66" x14ac:dyDescent="0.25"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H153" s="22"/>
      <c r="BI153" s="22"/>
      <c r="BJ153" s="22"/>
      <c r="BK153" s="22"/>
      <c r="BL153" s="22"/>
      <c r="BM153" s="22"/>
      <c r="BN153" s="22"/>
    </row>
    <row r="154" spans="6:66" x14ac:dyDescent="0.25"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H154" s="22"/>
      <c r="BI154" s="22"/>
      <c r="BJ154" s="22"/>
      <c r="BK154" s="22"/>
      <c r="BL154" s="22"/>
      <c r="BM154" s="22"/>
      <c r="BN154" s="22"/>
    </row>
    <row r="155" spans="6:66" x14ac:dyDescent="0.25"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H155" s="22"/>
      <c r="BI155" s="22"/>
      <c r="BJ155" s="22"/>
      <c r="BK155" s="22"/>
      <c r="BL155" s="22"/>
      <c r="BM155" s="22"/>
      <c r="BN155" s="22"/>
    </row>
    <row r="156" spans="6:66" x14ac:dyDescent="0.25"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H156" s="22"/>
      <c r="BI156" s="22"/>
      <c r="BJ156" s="22"/>
      <c r="BK156" s="22"/>
      <c r="BL156" s="22"/>
      <c r="BM156" s="22"/>
      <c r="BN156" s="22"/>
    </row>
    <row r="157" spans="6:66" x14ac:dyDescent="0.25"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H157" s="22"/>
      <c r="BI157" s="22"/>
      <c r="BJ157" s="22"/>
      <c r="BK157" s="22"/>
      <c r="BL157" s="22"/>
      <c r="BM157" s="22"/>
      <c r="BN157" s="22"/>
    </row>
    <row r="158" spans="6:66" x14ac:dyDescent="0.25"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H158" s="22"/>
      <c r="BI158" s="22"/>
      <c r="BJ158" s="22"/>
      <c r="BK158" s="22"/>
      <c r="BL158" s="22"/>
      <c r="BM158" s="22"/>
      <c r="BN158" s="22"/>
    </row>
    <row r="159" spans="6:66" x14ac:dyDescent="0.25"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H159" s="22"/>
      <c r="BI159" s="22"/>
      <c r="BJ159" s="22"/>
      <c r="BK159" s="22"/>
      <c r="BL159" s="22"/>
      <c r="BM159" s="22"/>
      <c r="BN159" s="22"/>
    </row>
    <row r="160" spans="6:66" x14ac:dyDescent="0.25"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H160" s="22"/>
      <c r="BI160" s="22"/>
      <c r="BJ160" s="22"/>
      <c r="BK160" s="22"/>
      <c r="BL160" s="22"/>
      <c r="BM160" s="22"/>
      <c r="BN160" s="22"/>
    </row>
    <row r="161" spans="6:66" x14ac:dyDescent="0.25"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H161" s="22"/>
      <c r="BI161" s="22"/>
      <c r="BJ161" s="22"/>
      <c r="BK161" s="22"/>
      <c r="BL161" s="22"/>
      <c r="BM161" s="22"/>
      <c r="BN161" s="22"/>
    </row>
    <row r="162" spans="6:66" x14ac:dyDescent="0.25"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H162" s="22"/>
      <c r="BI162" s="22"/>
      <c r="BJ162" s="22"/>
      <c r="BK162" s="22"/>
      <c r="BL162" s="22"/>
      <c r="BM162" s="22"/>
      <c r="BN162" s="22"/>
    </row>
    <row r="163" spans="6:66" x14ac:dyDescent="0.25"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H163" s="22"/>
      <c r="BI163" s="22"/>
      <c r="BJ163" s="22"/>
      <c r="BK163" s="22"/>
      <c r="BL163" s="22"/>
      <c r="BM163" s="22"/>
      <c r="BN163" s="22"/>
    </row>
    <row r="164" spans="6:66" x14ac:dyDescent="0.25"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H164" s="22"/>
      <c r="BI164" s="22"/>
      <c r="BJ164" s="22"/>
      <c r="BK164" s="22"/>
      <c r="BL164" s="22"/>
      <c r="BM164" s="22"/>
      <c r="BN164" s="22"/>
    </row>
    <row r="165" spans="6:66" x14ac:dyDescent="0.25"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H165" s="22"/>
      <c r="BI165" s="22"/>
      <c r="BJ165" s="22"/>
      <c r="BK165" s="22"/>
      <c r="BL165" s="22"/>
      <c r="BM165" s="22"/>
      <c r="BN165" s="22"/>
    </row>
    <row r="166" spans="6:66" x14ac:dyDescent="0.25"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H166" s="22"/>
      <c r="BI166" s="22"/>
      <c r="BJ166" s="22"/>
      <c r="BK166" s="22"/>
      <c r="BL166" s="22"/>
      <c r="BM166" s="22"/>
      <c r="BN166" s="22"/>
    </row>
    <row r="167" spans="6:66" x14ac:dyDescent="0.25"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H167" s="22"/>
      <c r="BI167" s="22"/>
      <c r="BJ167" s="22"/>
      <c r="BK167" s="22"/>
      <c r="BL167" s="22"/>
      <c r="BM167" s="22"/>
      <c r="BN167" s="22"/>
    </row>
    <row r="168" spans="6:66" x14ac:dyDescent="0.25"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H168" s="22"/>
      <c r="BI168" s="22"/>
      <c r="BJ168" s="22"/>
      <c r="BK168" s="22"/>
      <c r="BL168" s="22"/>
      <c r="BM168" s="22"/>
      <c r="BN168" s="22"/>
    </row>
    <row r="169" spans="6:66" x14ac:dyDescent="0.25"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H169" s="22"/>
      <c r="BI169" s="22"/>
      <c r="BJ169" s="22"/>
      <c r="BK169" s="22"/>
      <c r="BL169" s="22"/>
      <c r="BM169" s="22"/>
      <c r="BN169" s="22"/>
    </row>
    <row r="170" spans="6:66" x14ac:dyDescent="0.25"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H170" s="22"/>
      <c r="BI170" s="22"/>
      <c r="BJ170" s="22"/>
      <c r="BK170" s="22"/>
      <c r="BL170" s="22"/>
      <c r="BM170" s="22"/>
      <c r="BN170" s="22"/>
    </row>
    <row r="171" spans="6:66" x14ac:dyDescent="0.25"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H171" s="22"/>
      <c r="BI171" s="22"/>
      <c r="BJ171" s="22"/>
      <c r="BK171" s="22"/>
      <c r="BL171" s="22"/>
      <c r="BM171" s="22"/>
      <c r="BN171" s="22"/>
    </row>
    <row r="172" spans="6:66" x14ac:dyDescent="0.25"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H172" s="22"/>
      <c r="BI172" s="22"/>
      <c r="BJ172" s="22"/>
      <c r="BK172" s="22"/>
      <c r="BL172" s="22"/>
      <c r="BM172" s="22"/>
      <c r="BN172" s="22"/>
    </row>
    <row r="173" spans="6:66" x14ac:dyDescent="0.25"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H173" s="22"/>
      <c r="BI173" s="22"/>
      <c r="BJ173" s="22"/>
      <c r="BK173" s="22"/>
      <c r="BL173" s="22"/>
      <c r="BM173" s="22"/>
      <c r="BN173" s="22"/>
    </row>
    <row r="174" spans="6:66" x14ac:dyDescent="0.25"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H174" s="22"/>
      <c r="BI174" s="22"/>
      <c r="BJ174" s="22"/>
      <c r="BK174" s="22"/>
      <c r="BL174" s="22"/>
      <c r="BM174" s="22"/>
      <c r="BN174" s="22"/>
    </row>
    <row r="175" spans="6:66" x14ac:dyDescent="0.25"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H175" s="22"/>
      <c r="BI175" s="22"/>
      <c r="BJ175" s="22"/>
      <c r="BK175" s="22"/>
      <c r="BL175" s="22"/>
      <c r="BM175" s="22"/>
      <c r="BN175" s="22"/>
    </row>
    <row r="176" spans="6:66" x14ac:dyDescent="0.25"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H176" s="22"/>
      <c r="BI176" s="22"/>
      <c r="BJ176" s="22"/>
      <c r="BK176" s="22"/>
      <c r="BL176" s="22"/>
      <c r="BM176" s="22"/>
      <c r="BN176" s="22"/>
    </row>
    <row r="177" spans="6:66" x14ac:dyDescent="0.25"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H177" s="22"/>
      <c r="BI177" s="22"/>
      <c r="BJ177" s="22"/>
      <c r="BK177" s="22"/>
      <c r="BL177" s="22"/>
      <c r="BM177" s="22"/>
      <c r="BN177" s="22"/>
    </row>
    <row r="178" spans="6:66" x14ac:dyDescent="0.25"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H178" s="22"/>
      <c r="BI178" s="22"/>
      <c r="BJ178" s="22"/>
      <c r="BK178" s="22"/>
      <c r="BL178" s="22"/>
      <c r="BM178" s="22"/>
      <c r="BN178" s="22"/>
    </row>
    <row r="179" spans="6:66" x14ac:dyDescent="0.25"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H179" s="22"/>
      <c r="BI179" s="22"/>
      <c r="BJ179" s="22"/>
      <c r="BK179" s="22"/>
      <c r="BL179" s="22"/>
      <c r="BM179" s="22"/>
      <c r="BN179" s="22"/>
    </row>
    <row r="180" spans="6:66" x14ac:dyDescent="0.25"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H180" s="22"/>
      <c r="BI180" s="22"/>
      <c r="BJ180" s="22"/>
      <c r="BK180" s="22"/>
      <c r="BL180" s="22"/>
      <c r="BM180" s="22"/>
      <c r="BN180" s="22"/>
    </row>
    <row r="181" spans="6:66" x14ac:dyDescent="0.25"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H181" s="22"/>
      <c r="BI181" s="22"/>
      <c r="BJ181" s="22"/>
      <c r="BK181" s="22"/>
      <c r="BL181" s="22"/>
      <c r="BM181" s="22"/>
      <c r="BN181" s="22"/>
    </row>
    <row r="182" spans="6:66" x14ac:dyDescent="0.25"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H182" s="22"/>
      <c r="BI182" s="22"/>
      <c r="BJ182" s="22"/>
      <c r="BK182" s="22"/>
      <c r="BL182" s="22"/>
      <c r="BM182" s="22"/>
      <c r="BN182" s="22"/>
    </row>
    <row r="183" spans="6:66" x14ac:dyDescent="0.25"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H183" s="22"/>
      <c r="BI183" s="22"/>
      <c r="BJ183" s="22"/>
      <c r="BK183" s="22"/>
      <c r="BL183" s="22"/>
      <c r="BM183" s="22"/>
      <c r="BN183" s="22"/>
    </row>
    <row r="184" spans="6:66" x14ac:dyDescent="0.25"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H184" s="22"/>
      <c r="BI184" s="22"/>
      <c r="BJ184" s="22"/>
      <c r="BK184" s="22"/>
      <c r="BL184" s="22"/>
      <c r="BM184" s="22"/>
      <c r="BN184" s="22"/>
    </row>
    <row r="185" spans="6:66" x14ac:dyDescent="0.25"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H185" s="22"/>
      <c r="BI185" s="22"/>
      <c r="BJ185" s="22"/>
      <c r="BK185" s="22"/>
      <c r="BL185" s="22"/>
      <c r="BM185" s="22"/>
      <c r="BN185" s="22"/>
    </row>
    <row r="186" spans="6:66" x14ac:dyDescent="0.25"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H186" s="22"/>
      <c r="BI186" s="22"/>
      <c r="BJ186" s="22"/>
      <c r="BK186" s="22"/>
      <c r="BL186" s="22"/>
      <c r="BM186" s="22"/>
      <c r="BN186" s="22"/>
    </row>
    <row r="187" spans="6:66" x14ac:dyDescent="0.25"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H187" s="22"/>
      <c r="BI187" s="22"/>
      <c r="BJ187" s="22"/>
      <c r="BK187" s="22"/>
      <c r="BL187" s="22"/>
      <c r="BM187" s="22"/>
      <c r="BN187" s="22"/>
    </row>
    <row r="188" spans="6:66" x14ac:dyDescent="0.25"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H188" s="22"/>
      <c r="BI188" s="22"/>
      <c r="BJ188" s="22"/>
      <c r="BK188" s="22"/>
      <c r="BL188" s="22"/>
      <c r="BM188" s="22"/>
      <c r="BN188" s="22"/>
    </row>
    <row r="189" spans="6:66" x14ac:dyDescent="0.25"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H189" s="22"/>
      <c r="BI189" s="22"/>
      <c r="BJ189" s="22"/>
      <c r="BK189" s="22"/>
      <c r="BL189" s="22"/>
      <c r="BM189" s="22"/>
      <c r="BN189" s="22"/>
    </row>
    <row r="190" spans="6:66" x14ac:dyDescent="0.25"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H190" s="22"/>
      <c r="BI190" s="22"/>
      <c r="BJ190" s="22"/>
      <c r="BK190" s="22"/>
      <c r="BL190" s="22"/>
      <c r="BM190" s="22"/>
      <c r="BN190" s="22"/>
    </row>
    <row r="191" spans="6:66" x14ac:dyDescent="0.25"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H191" s="22"/>
      <c r="BI191" s="22"/>
      <c r="BJ191" s="22"/>
      <c r="BK191" s="22"/>
      <c r="BL191" s="22"/>
      <c r="BM191" s="22"/>
      <c r="BN191" s="22"/>
    </row>
    <row r="192" spans="6:66" x14ac:dyDescent="0.25"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H192" s="22"/>
      <c r="BI192" s="22"/>
      <c r="BJ192" s="22"/>
      <c r="BK192" s="22"/>
      <c r="BL192" s="22"/>
      <c r="BM192" s="22"/>
      <c r="BN192" s="22"/>
    </row>
    <row r="193" spans="6:66" x14ac:dyDescent="0.25"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H193" s="22"/>
      <c r="BI193" s="22"/>
      <c r="BJ193" s="22"/>
      <c r="BK193" s="22"/>
      <c r="BL193" s="22"/>
      <c r="BM193" s="22"/>
      <c r="BN193" s="22"/>
    </row>
    <row r="194" spans="6:66" x14ac:dyDescent="0.25"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H194" s="22"/>
      <c r="BI194" s="22"/>
      <c r="BJ194" s="22"/>
      <c r="BK194" s="22"/>
      <c r="BL194" s="22"/>
      <c r="BM194" s="22"/>
      <c r="BN194" s="22"/>
    </row>
    <row r="195" spans="6:66" x14ac:dyDescent="0.25">
      <c r="BH195" s="22"/>
      <c r="BI195" s="22"/>
      <c r="BJ195" s="22"/>
      <c r="BK195" s="22"/>
      <c r="BL195" s="22"/>
      <c r="BM195" s="22"/>
      <c r="BN195" s="22"/>
    </row>
    <row r="196" spans="6:66" x14ac:dyDescent="0.25">
      <c r="BH196" s="22"/>
      <c r="BI196" s="22"/>
      <c r="BJ196" s="22"/>
      <c r="BK196" s="22"/>
      <c r="BL196" s="22"/>
      <c r="BM196" s="22"/>
      <c r="BN196" s="22"/>
    </row>
    <row r="197" spans="6:66" x14ac:dyDescent="0.25">
      <c r="BH197" s="22"/>
      <c r="BI197" s="22"/>
      <c r="BJ197" s="22"/>
      <c r="BK197" s="22"/>
      <c r="BL197" s="22"/>
      <c r="BM197" s="22"/>
      <c r="BN197" s="22"/>
    </row>
    <row r="198" spans="6:66" x14ac:dyDescent="0.25">
      <c r="BH198" s="22"/>
      <c r="BI198" s="22"/>
      <c r="BJ198" s="22"/>
      <c r="BK198" s="22"/>
      <c r="BL198" s="22"/>
      <c r="BM198" s="22"/>
      <c r="BN198" s="22"/>
    </row>
    <row r="199" spans="6:66" x14ac:dyDescent="0.25">
      <c r="BH199" s="22"/>
      <c r="BI199" s="22"/>
      <c r="BJ199" s="22"/>
      <c r="BK199" s="22"/>
      <c r="BL199" s="22"/>
      <c r="BM199" s="22"/>
      <c r="BN199" s="22"/>
    </row>
    <row r="200" spans="6:66" x14ac:dyDescent="0.25">
      <c r="BH200" s="22"/>
      <c r="BI200" s="22"/>
      <c r="BJ200" s="22"/>
      <c r="BK200" s="22"/>
      <c r="BL200" s="22"/>
      <c r="BM200" s="22"/>
      <c r="BN200" s="22"/>
    </row>
    <row r="201" spans="6:66" x14ac:dyDescent="0.25">
      <c r="BH201" s="22"/>
      <c r="BI201" s="22"/>
      <c r="BJ201" s="22"/>
      <c r="BK201" s="22"/>
      <c r="BL201" s="22"/>
      <c r="BM201" s="22"/>
      <c r="BN201" s="22"/>
    </row>
    <row r="202" spans="6:66" x14ac:dyDescent="0.25">
      <c r="BH202" s="22"/>
      <c r="BI202" s="22"/>
      <c r="BJ202" s="22"/>
      <c r="BK202" s="22"/>
      <c r="BL202" s="22"/>
      <c r="BM202" s="22"/>
      <c r="BN202" s="22"/>
    </row>
    <row r="203" spans="6:66" x14ac:dyDescent="0.25">
      <c r="BH203" s="22"/>
      <c r="BI203" s="22"/>
      <c r="BJ203" s="22"/>
      <c r="BK203" s="22"/>
      <c r="BL203" s="22"/>
      <c r="BM203" s="22"/>
      <c r="BN203" s="22"/>
    </row>
    <row r="204" spans="6:66" x14ac:dyDescent="0.25">
      <c r="BH204" s="22"/>
      <c r="BI204" s="22"/>
      <c r="BJ204" s="22"/>
      <c r="BK204" s="22"/>
      <c r="BL204" s="22"/>
      <c r="BM204" s="22"/>
      <c r="BN204" s="22"/>
    </row>
    <row r="205" spans="6:66" x14ac:dyDescent="0.25">
      <c r="BH205" s="22"/>
      <c r="BI205" s="22"/>
      <c r="BJ205" s="22"/>
      <c r="BK205" s="22"/>
      <c r="BL205" s="22"/>
      <c r="BM205" s="22"/>
      <c r="BN205" s="22"/>
    </row>
    <row r="206" spans="6:66" x14ac:dyDescent="0.25">
      <c r="BH206" s="22"/>
      <c r="BI206" s="22"/>
      <c r="BJ206" s="22"/>
      <c r="BK206" s="22"/>
      <c r="BL206" s="22"/>
      <c r="BM206" s="22"/>
      <c r="BN206" s="22"/>
    </row>
    <row r="207" spans="6:66" x14ac:dyDescent="0.25">
      <c r="BH207" s="22"/>
      <c r="BI207" s="22"/>
      <c r="BJ207" s="22"/>
      <c r="BK207" s="22"/>
      <c r="BL207" s="22"/>
      <c r="BM207" s="22"/>
      <c r="BN207" s="22"/>
    </row>
    <row r="208" spans="6:66" x14ac:dyDescent="0.25">
      <c r="BH208" s="22"/>
      <c r="BI208" s="22"/>
      <c r="BJ208" s="22"/>
      <c r="BK208" s="22"/>
      <c r="BL208" s="22"/>
      <c r="BM208" s="22"/>
      <c r="BN208" s="22"/>
    </row>
    <row r="209" spans="60:66" x14ac:dyDescent="0.25">
      <c r="BH209" s="22"/>
      <c r="BI209" s="22"/>
      <c r="BJ209" s="22"/>
      <c r="BK209" s="22"/>
      <c r="BL209" s="22"/>
      <c r="BM209" s="22"/>
      <c r="BN209" s="22"/>
    </row>
    <row r="210" spans="60:66" x14ac:dyDescent="0.25">
      <c r="BH210" s="22"/>
      <c r="BI210" s="22"/>
      <c r="BJ210" s="22"/>
      <c r="BK210" s="22"/>
      <c r="BL210" s="22"/>
      <c r="BM210" s="22"/>
      <c r="BN210" s="22"/>
    </row>
    <row r="211" spans="60:66" x14ac:dyDescent="0.25">
      <c r="BH211" s="22"/>
      <c r="BI211" s="22"/>
      <c r="BJ211" s="22"/>
      <c r="BK211" s="22"/>
      <c r="BL211" s="22"/>
      <c r="BM211" s="22"/>
      <c r="BN211" s="22"/>
    </row>
    <row r="212" spans="60:66" x14ac:dyDescent="0.25">
      <c r="BH212" s="22"/>
      <c r="BI212" s="22"/>
      <c r="BJ212" s="22"/>
      <c r="BK212" s="22"/>
      <c r="BL212" s="22"/>
      <c r="BM212" s="22"/>
      <c r="BN212" s="22"/>
    </row>
    <row r="213" spans="60:66" x14ac:dyDescent="0.25">
      <c r="BH213" s="22"/>
      <c r="BI213" s="22"/>
      <c r="BJ213" s="22"/>
      <c r="BK213" s="22"/>
      <c r="BL213" s="22"/>
      <c r="BM213" s="22"/>
      <c r="BN213" s="22"/>
    </row>
    <row r="214" spans="60:66" x14ac:dyDescent="0.25">
      <c r="BH214" s="22"/>
      <c r="BI214" s="22"/>
      <c r="BJ214" s="22"/>
      <c r="BK214" s="22"/>
      <c r="BL214" s="22"/>
      <c r="BM214" s="22"/>
      <c r="BN214" s="22"/>
    </row>
    <row r="215" spans="60:66" x14ac:dyDescent="0.25">
      <c r="BH215" s="22"/>
      <c r="BI215" s="22"/>
      <c r="BJ215" s="22"/>
      <c r="BK215" s="22"/>
      <c r="BL215" s="22"/>
      <c r="BM215" s="22"/>
      <c r="BN215" s="22"/>
    </row>
    <row r="216" spans="60:66" x14ac:dyDescent="0.25">
      <c r="BH216" s="22"/>
      <c r="BI216" s="22"/>
      <c r="BJ216" s="22"/>
      <c r="BK216" s="22"/>
      <c r="BL216" s="22"/>
      <c r="BM216" s="22"/>
      <c r="BN216" s="22"/>
    </row>
    <row r="217" spans="60:66" x14ac:dyDescent="0.25">
      <c r="BH217" s="22"/>
      <c r="BI217" s="22"/>
      <c r="BJ217" s="22"/>
      <c r="BK217" s="22"/>
      <c r="BL217" s="22"/>
      <c r="BM217" s="22"/>
      <c r="BN217" s="22"/>
    </row>
    <row r="218" spans="60:66" x14ac:dyDescent="0.25">
      <c r="BH218" s="22"/>
      <c r="BI218" s="22"/>
      <c r="BJ218" s="22"/>
      <c r="BK218" s="22"/>
      <c r="BL218" s="22"/>
      <c r="BM218" s="22"/>
      <c r="BN218" s="22"/>
    </row>
    <row r="219" spans="60:66" x14ac:dyDescent="0.25">
      <c r="BH219" s="22"/>
      <c r="BI219" s="22"/>
      <c r="BJ219" s="22"/>
      <c r="BK219" s="22"/>
      <c r="BL219" s="22"/>
      <c r="BM219" s="22"/>
      <c r="BN219" s="22"/>
    </row>
    <row r="220" spans="60:66" x14ac:dyDescent="0.25">
      <c r="BH220" s="22"/>
      <c r="BI220" s="22"/>
      <c r="BJ220" s="22"/>
      <c r="BK220" s="22"/>
      <c r="BL220" s="22"/>
      <c r="BM220" s="22"/>
      <c r="BN220" s="22"/>
    </row>
    <row r="221" spans="60:66" x14ac:dyDescent="0.25">
      <c r="BH221" s="22"/>
      <c r="BI221" s="22"/>
      <c r="BJ221" s="22"/>
      <c r="BK221" s="22"/>
      <c r="BL221" s="22"/>
      <c r="BM221" s="22"/>
      <c r="BN221" s="22"/>
    </row>
    <row r="222" spans="60:66" x14ac:dyDescent="0.25">
      <c r="BH222" s="22"/>
      <c r="BI222" s="22"/>
      <c r="BJ222" s="22"/>
      <c r="BK222" s="22"/>
      <c r="BL222" s="22"/>
      <c r="BM222" s="22"/>
      <c r="BN222" s="22"/>
    </row>
    <row r="223" spans="60:66" x14ac:dyDescent="0.25">
      <c r="BH223" s="22"/>
      <c r="BI223" s="22"/>
      <c r="BJ223" s="22"/>
      <c r="BK223" s="22"/>
      <c r="BL223" s="22"/>
      <c r="BM223" s="22"/>
      <c r="BN223" s="22"/>
    </row>
    <row r="224" spans="60:66" x14ac:dyDescent="0.25">
      <c r="BH224" s="22"/>
      <c r="BI224" s="22"/>
      <c r="BJ224" s="22"/>
      <c r="BK224" s="22"/>
      <c r="BL224" s="22"/>
      <c r="BM224" s="22"/>
      <c r="BN224" s="22"/>
    </row>
    <row r="225" spans="60:66" x14ac:dyDescent="0.25">
      <c r="BH225" s="22"/>
      <c r="BI225" s="22"/>
      <c r="BJ225" s="22"/>
      <c r="BK225" s="22"/>
      <c r="BL225" s="22"/>
      <c r="BM225" s="22"/>
      <c r="BN225" s="22"/>
    </row>
    <row r="226" spans="60:66" x14ac:dyDescent="0.25">
      <c r="BH226" s="22"/>
      <c r="BI226" s="22"/>
      <c r="BJ226" s="22"/>
      <c r="BK226" s="22"/>
      <c r="BL226" s="22"/>
      <c r="BM226" s="22"/>
      <c r="BN226" s="22"/>
    </row>
    <row r="227" spans="60:66" x14ac:dyDescent="0.25">
      <c r="BH227" s="22"/>
      <c r="BI227" s="22"/>
      <c r="BJ227" s="22"/>
      <c r="BK227" s="22"/>
      <c r="BL227" s="22"/>
      <c r="BM227" s="22"/>
      <c r="BN227" s="22"/>
    </row>
    <row r="228" spans="60:66" x14ac:dyDescent="0.25">
      <c r="BH228" s="22"/>
      <c r="BI228" s="22"/>
      <c r="BJ228" s="22"/>
      <c r="BK228" s="22"/>
      <c r="BL228" s="22"/>
      <c r="BM228" s="22"/>
      <c r="BN228" s="22"/>
    </row>
    <row r="229" spans="60:66" x14ac:dyDescent="0.25">
      <c r="BH229" s="22"/>
      <c r="BI229" s="22"/>
      <c r="BJ229" s="22"/>
      <c r="BK229" s="22"/>
      <c r="BL229" s="22"/>
      <c r="BM229" s="22"/>
      <c r="BN229" s="22"/>
    </row>
    <row r="230" spans="60:66" x14ac:dyDescent="0.25">
      <c r="BH230" s="22"/>
      <c r="BI230" s="22"/>
      <c r="BJ230" s="22"/>
      <c r="BK230" s="22"/>
      <c r="BL230" s="22"/>
      <c r="BM230" s="22"/>
      <c r="BN230" s="22"/>
    </row>
    <row r="231" spans="60:66" x14ac:dyDescent="0.25">
      <c r="BH231" s="22"/>
      <c r="BI231" s="22"/>
      <c r="BJ231" s="22"/>
      <c r="BK231" s="22"/>
      <c r="BL231" s="22"/>
      <c r="BM231" s="22"/>
      <c r="BN231" s="22"/>
    </row>
    <row r="232" spans="60:66" x14ac:dyDescent="0.25">
      <c r="BH232" s="22"/>
      <c r="BI232" s="22"/>
      <c r="BJ232" s="22"/>
      <c r="BK232" s="22"/>
      <c r="BL232" s="22"/>
      <c r="BM232" s="22"/>
      <c r="BN232" s="22"/>
    </row>
    <row r="233" spans="60:66" x14ac:dyDescent="0.25">
      <c r="BH233" s="22"/>
      <c r="BI233" s="22"/>
      <c r="BJ233" s="22"/>
      <c r="BK233" s="22"/>
      <c r="BL233" s="22"/>
      <c r="BM233" s="22"/>
      <c r="BN233" s="22"/>
    </row>
    <row r="234" spans="60:66" x14ac:dyDescent="0.25">
      <c r="BH234" s="22"/>
      <c r="BI234" s="22"/>
      <c r="BJ234" s="22"/>
      <c r="BK234" s="22"/>
      <c r="BL234" s="22"/>
      <c r="BM234" s="22"/>
      <c r="BN234" s="22"/>
    </row>
    <row r="235" spans="60:66" x14ac:dyDescent="0.25">
      <c r="BH235" s="22"/>
      <c r="BI235" s="22"/>
      <c r="BJ235" s="22"/>
      <c r="BK235" s="22"/>
      <c r="BL235" s="22"/>
      <c r="BM235" s="22"/>
      <c r="BN235" s="22"/>
    </row>
    <row r="236" spans="60:66" x14ac:dyDescent="0.25">
      <c r="BH236" s="22"/>
      <c r="BI236" s="22"/>
      <c r="BJ236" s="22"/>
      <c r="BK236" s="22"/>
      <c r="BL236" s="22"/>
      <c r="BM236" s="22"/>
      <c r="BN236" s="22"/>
    </row>
    <row r="237" spans="60:66" x14ac:dyDescent="0.25">
      <c r="BH237" s="22"/>
      <c r="BI237" s="22"/>
      <c r="BJ237" s="22"/>
      <c r="BK237" s="22"/>
      <c r="BL237" s="22"/>
      <c r="BM237" s="22"/>
      <c r="BN237" s="22"/>
    </row>
    <row r="238" spans="60:66" x14ac:dyDescent="0.25">
      <c r="BH238" s="22"/>
      <c r="BI238" s="22"/>
      <c r="BJ238" s="22"/>
      <c r="BK238" s="22"/>
      <c r="BL238" s="22"/>
      <c r="BM238" s="22"/>
      <c r="BN238" s="22"/>
    </row>
    <row r="239" spans="60:66" x14ac:dyDescent="0.25">
      <c r="BH239" s="22"/>
      <c r="BI239" s="22"/>
      <c r="BJ239" s="22"/>
      <c r="BK239" s="22"/>
      <c r="BL239" s="22"/>
      <c r="BM239" s="22"/>
      <c r="BN239" s="22"/>
    </row>
    <row r="240" spans="60:66" x14ac:dyDescent="0.25">
      <c r="BH240" s="22"/>
      <c r="BI240" s="22"/>
      <c r="BJ240" s="22"/>
      <c r="BK240" s="22"/>
      <c r="BL240" s="22"/>
      <c r="BM240" s="22"/>
      <c r="BN240" s="22"/>
    </row>
    <row r="241" spans="60:66" x14ac:dyDescent="0.25">
      <c r="BH241" s="22"/>
      <c r="BI241" s="22"/>
      <c r="BJ241" s="22"/>
      <c r="BK241" s="22"/>
      <c r="BL241" s="22"/>
      <c r="BM241" s="22"/>
      <c r="BN241" s="22"/>
    </row>
    <row r="242" spans="60:66" x14ac:dyDescent="0.25">
      <c r="BH242" s="22"/>
      <c r="BI242" s="22"/>
      <c r="BJ242" s="22"/>
      <c r="BK242" s="22"/>
      <c r="BL242" s="22"/>
      <c r="BM242" s="22"/>
      <c r="BN242" s="22"/>
    </row>
    <row r="243" spans="60:66" x14ac:dyDescent="0.25">
      <c r="BH243" s="22"/>
      <c r="BI243" s="22"/>
      <c r="BJ243" s="22"/>
      <c r="BK243" s="22"/>
      <c r="BL243" s="22"/>
      <c r="BM243" s="22"/>
      <c r="BN243" s="22"/>
    </row>
    <row r="244" spans="60:66" x14ac:dyDescent="0.25">
      <c r="BH244" s="22"/>
      <c r="BI244" s="22"/>
      <c r="BJ244" s="22"/>
      <c r="BK244" s="22"/>
      <c r="BL244" s="22"/>
      <c r="BM244" s="22"/>
      <c r="BN244" s="22"/>
    </row>
    <row r="245" spans="60:66" x14ac:dyDescent="0.25">
      <c r="BH245" s="22"/>
      <c r="BI245" s="22"/>
      <c r="BJ245" s="22"/>
      <c r="BK245" s="22"/>
      <c r="BL245" s="22"/>
      <c r="BM245" s="22"/>
      <c r="BN245" s="22"/>
    </row>
    <row r="246" spans="60:66" x14ac:dyDescent="0.25">
      <c r="BH246" s="22"/>
      <c r="BI246" s="22"/>
      <c r="BJ246" s="22"/>
      <c r="BK246" s="22"/>
      <c r="BL246" s="22"/>
      <c r="BM246" s="22"/>
      <c r="BN246" s="22"/>
    </row>
    <row r="247" spans="60:66" x14ac:dyDescent="0.25">
      <c r="BH247" s="22"/>
      <c r="BI247" s="22"/>
      <c r="BJ247" s="22"/>
      <c r="BK247" s="22"/>
      <c r="BL247" s="22"/>
      <c r="BM247" s="22"/>
      <c r="BN247" s="22"/>
    </row>
  </sheetData>
  <conditionalFormatting sqref="K10:AO29">
    <cfRule type="containsText" dxfId="162" priority="12" operator="containsText" text="L">
      <formula>NOT(ISERROR(SEARCH("L",K10)))</formula>
    </cfRule>
    <cfRule type="containsText" dxfId="161" priority="13" operator="containsText" text="A">
      <formula>NOT(ISERROR(SEARCH("A",K10)))</formula>
    </cfRule>
    <cfRule type="containsText" dxfId="160" priority="14" operator="containsText" text="P">
      <formula>NOT(ISERROR(SEARCH("P",K10)))</formula>
    </cfRule>
  </conditionalFormatting>
  <conditionalFormatting sqref="L10:L29 J10:J29">
    <cfRule type="containsText" dxfId="159" priority="55" operator="containsText" text="WO">
      <formula>NOT(ISERROR(SEARCH("WO",J10)))</formula>
    </cfRule>
  </conditionalFormatting>
  <conditionalFormatting sqref="L10:L29">
    <cfRule type="containsText" dxfId="158" priority="52" operator="containsText" text="L">
      <formula>NOT(ISERROR(SEARCH("L",L10)))</formula>
    </cfRule>
    <cfRule type="containsText" dxfId="157" priority="53" operator="containsText" text="A">
      <formula>NOT(ISERROR(SEARCH("A",L10)))</formula>
    </cfRule>
    <cfRule type="containsText" dxfId="156" priority="54" operator="containsText" text="P">
      <formula>NOT(ISERROR(SEARCH("P",L10)))</formula>
    </cfRule>
  </conditionalFormatting>
  <conditionalFormatting sqref="S10:S29">
    <cfRule type="containsText" dxfId="155" priority="9" operator="containsText" text="L">
      <formula>NOT(ISERROR(SEARCH("L",S10)))</formula>
    </cfRule>
    <cfRule type="containsText" dxfId="154" priority="10" operator="containsText" text="A">
      <formula>NOT(ISERROR(SEARCH("A",S10)))</formula>
    </cfRule>
    <cfRule type="containsText" dxfId="153" priority="11" operator="containsText" text="P">
      <formula>NOT(ISERROR(SEARCH("P",S10)))</formula>
    </cfRule>
    <cfRule type="containsText" dxfId="152" priority="15" operator="containsText" text="WO">
      <formula>NOT(ISERROR(SEARCH("WO",S10)))</formula>
    </cfRule>
  </conditionalFormatting>
  <conditionalFormatting sqref="Z10:Z29">
    <cfRule type="containsText" dxfId="151" priority="5" operator="containsText" text="L">
      <formula>NOT(ISERROR(SEARCH("L",Z10)))</formula>
    </cfRule>
    <cfRule type="containsText" dxfId="150" priority="6" operator="containsText" text="A">
      <formula>NOT(ISERROR(SEARCH("A",Z10)))</formula>
    </cfRule>
    <cfRule type="containsText" dxfId="149" priority="7" operator="containsText" text="P">
      <formula>NOT(ISERROR(SEARCH("P",Z10)))</formula>
    </cfRule>
    <cfRule type="containsText" dxfId="148" priority="8" operator="containsText" text="WO">
      <formula>NOT(ISERROR(SEARCH("WO",Z10)))</formula>
    </cfRule>
  </conditionalFormatting>
  <conditionalFormatting sqref="AG10:AG29">
    <cfRule type="containsText" dxfId="147" priority="1" operator="containsText" text="L">
      <formula>NOT(ISERROR(SEARCH("L",AG10)))</formula>
    </cfRule>
    <cfRule type="containsText" dxfId="146" priority="2" operator="containsText" text="A">
      <formula>NOT(ISERROR(SEARCH("A",AG10)))</formula>
    </cfRule>
    <cfRule type="containsText" dxfId="145" priority="3" operator="containsText" text="P">
      <formula>NOT(ISERROR(SEARCH("P",AG10)))</formula>
    </cfRule>
    <cfRule type="containsText" dxfId="144" priority="4" operator="containsText" text="WO">
      <formula>NOT(ISERROR(SEARCH("WO",AG10)))</formula>
    </cfRule>
  </conditionalFormatting>
  <dataValidations count="1">
    <dataValidation type="list" allowBlank="1" showInputMessage="1" showErrorMessage="1" sqref="K10:K29 AH10:AL29 AA10:AF29 T10:Y29 M10:R29" xr:uid="{05AEA5EC-A50E-44B8-9274-13D7EFF232B7}">
      <formula1>"P, A, 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07B6191-29DB-4E8E-BBFD-AFE782447766}">
          <x14:formula1>
            <xm:f>Sheet2!$A$1:$A$12</xm:f>
          </x14:formula1>
          <xm:sqref>H6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E89AB6C-ACFF-4C74-B166-22B9E442C7D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Feb!AV10:AY10</xm:f>
              <xm:sqref>BF10</xm:sqref>
            </x14:sparkline>
            <x14:sparkline>
              <xm:f>Feb!AV11:AY11</xm:f>
              <xm:sqref>BF11</xm:sqref>
            </x14:sparkline>
            <x14:sparkline>
              <xm:f>Feb!AV12:AY12</xm:f>
              <xm:sqref>BF12</xm:sqref>
            </x14:sparkline>
            <x14:sparkline>
              <xm:f>Feb!AV13:AY13</xm:f>
              <xm:sqref>BF13</xm:sqref>
            </x14:sparkline>
            <x14:sparkline>
              <xm:f>Feb!AV14:AY14</xm:f>
              <xm:sqref>BF14</xm:sqref>
            </x14:sparkline>
            <x14:sparkline>
              <xm:f>Feb!AV15:AY15</xm:f>
              <xm:sqref>BF15</xm:sqref>
            </x14:sparkline>
            <x14:sparkline>
              <xm:f>Feb!AV16:AY16</xm:f>
              <xm:sqref>BF16</xm:sqref>
            </x14:sparkline>
            <x14:sparkline>
              <xm:f>Feb!AV17:AY17</xm:f>
              <xm:sqref>BF17</xm:sqref>
            </x14:sparkline>
            <x14:sparkline>
              <xm:f>Feb!AV18:AY18</xm:f>
              <xm:sqref>BF18</xm:sqref>
            </x14:sparkline>
            <x14:sparkline>
              <xm:f>Feb!AV19:AY19</xm:f>
              <xm:sqref>BF19</xm:sqref>
            </x14:sparkline>
            <x14:sparkline>
              <xm:f>Feb!AV20:AY20</xm:f>
              <xm:sqref>BF20</xm:sqref>
            </x14:sparkline>
            <x14:sparkline>
              <xm:f>Feb!AV21:AY21</xm:f>
              <xm:sqref>BF21</xm:sqref>
            </x14:sparkline>
            <x14:sparkline>
              <xm:f>Feb!AV22:AY22</xm:f>
              <xm:sqref>BF22</xm:sqref>
            </x14:sparkline>
            <x14:sparkline>
              <xm:f>Feb!AV23:AY23</xm:f>
              <xm:sqref>BF23</xm:sqref>
            </x14:sparkline>
            <x14:sparkline>
              <xm:f>Feb!AV24:AY24</xm:f>
              <xm:sqref>BF24</xm:sqref>
            </x14:sparkline>
            <x14:sparkline>
              <xm:f>Feb!AV25:AY25</xm:f>
              <xm:sqref>BF25</xm:sqref>
            </x14:sparkline>
            <x14:sparkline>
              <xm:f>Feb!AV26:AY26</xm:f>
              <xm:sqref>BF26</xm:sqref>
            </x14:sparkline>
            <x14:sparkline>
              <xm:f>Feb!AV27:AY27</xm:f>
              <xm:sqref>BF27</xm:sqref>
            </x14:sparkline>
            <x14:sparkline>
              <xm:f>Feb!AV28:AY28</xm:f>
              <xm:sqref>BF28</xm:sqref>
            </x14:sparkline>
            <x14:sparkline>
              <xm:f>Feb!AV29:AY29</xm:f>
              <xm:sqref>BF29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55A8D-B004-414B-8B16-ACF872420E7D}">
  <dimension ref="E1:BO247"/>
  <sheetViews>
    <sheetView zoomScale="85" zoomScaleNormal="85" workbookViewId="0"/>
  </sheetViews>
  <sheetFormatPr defaultRowHeight="15.75" x14ac:dyDescent="0.25"/>
  <cols>
    <col min="1" max="4" width="9.140625" style="3"/>
    <col min="5" max="5" width="9.140625" style="22"/>
    <col min="6" max="6" width="9.140625" style="3"/>
    <col min="7" max="7" width="9.28515625" style="3" bestFit="1" customWidth="1"/>
    <col min="8" max="8" width="26.85546875" style="3" customWidth="1"/>
    <col min="9" max="9" width="15" style="3" customWidth="1"/>
    <col min="10" max="10" width="19.28515625" style="3" customWidth="1"/>
    <col min="11" max="11" width="9.140625" style="3"/>
    <col min="12" max="12" width="9.28515625" style="3" bestFit="1" customWidth="1"/>
    <col min="13" max="13" width="13.7109375" style="3" customWidth="1"/>
    <col min="14" max="41" width="9.28515625" style="3" bestFit="1" customWidth="1"/>
    <col min="42" max="42" width="9.140625" style="3"/>
    <col min="43" max="43" width="9.140625" style="22"/>
    <col min="44" max="44" width="9.140625" style="3"/>
    <col min="45" max="46" width="15.42578125" style="3" customWidth="1"/>
    <col min="47" max="47" width="15.5703125" style="3" customWidth="1"/>
    <col min="48" max="48" width="10.7109375" style="3" customWidth="1"/>
    <col min="49" max="49" width="10.28515625" style="3" customWidth="1"/>
    <col min="50" max="50" width="9.140625" style="3"/>
    <col min="51" max="51" width="11.5703125" style="3" customWidth="1"/>
    <col min="52" max="52" width="9.140625" style="3"/>
    <col min="53" max="53" width="13.7109375" style="3" customWidth="1"/>
    <col min="54" max="54" width="13.5703125" style="3" customWidth="1"/>
    <col min="55" max="55" width="17.85546875" style="3" customWidth="1"/>
    <col min="56" max="56" width="15" style="3" customWidth="1"/>
    <col min="57" max="57" width="18.140625" style="3" customWidth="1"/>
    <col min="58" max="58" width="54.7109375" style="3" customWidth="1"/>
    <col min="59" max="59" width="9.140625" style="22"/>
    <col min="60" max="16384" width="9.140625" style="3"/>
  </cols>
  <sheetData>
    <row r="1" spans="6:67" x14ac:dyDescent="0.25">
      <c r="BH1" s="22"/>
      <c r="BI1" s="22"/>
      <c r="BJ1" s="22"/>
      <c r="BK1" s="22"/>
      <c r="BL1" s="22"/>
      <c r="BM1" s="22"/>
      <c r="BN1" s="22"/>
      <c r="BO1" s="22"/>
    </row>
    <row r="2" spans="6:67" x14ac:dyDescent="0.25">
      <c r="BH2" s="22"/>
      <c r="BI2" s="22"/>
      <c r="BJ2" s="22"/>
      <c r="BK2" s="22"/>
      <c r="BL2" s="22"/>
      <c r="BM2" s="22"/>
      <c r="BN2" s="22"/>
    </row>
    <row r="3" spans="6:67" x14ac:dyDescent="0.25">
      <c r="BH3" s="22"/>
      <c r="BI3" s="22"/>
      <c r="BJ3" s="22"/>
      <c r="BK3" s="22"/>
      <c r="BL3" s="22"/>
      <c r="BM3" s="22"/>
      <c r="BN3" s="22"/>
    </row>
    <row r="4" spans="6:67" s="22" customFormat="1" x14ac:dyDescent="0.25"/>
    <row r="5" spans="6:67" s="22" customFormat="1" x14ac:dyDescent="0.25"/>
    <row r="6" spans="6:67" s="22" customFormat="1" x14ac:dyDescent="0.25">
      <c r="G6" s="25" t="s">
        <v>22</v>
      </c>
      <c r="H6" s="26">
        <v>45717</v>
      </c>
      <c r="I6" s="27">
        <f>(DATEDIF($H$6,$M$6,"D"))+1</f>
        <v>31</v>
      </c>
      <c r="J6" s="25" t="str">
        <f>TEXT(H6,"MMMM")</f>
        <v>March</v>
      </c>
      <c r="K6" s="25"/>
      <c r="L6" s="25" t="s">
        <v>23</v>
      </c>
      <c r="M6" s="26">
        <f>EOMONTH(H6,0)</f>
        <v>45747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6:67" x14ac:dyDescent="0.25"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2"/>
      <c r="BI7" s="22"/>
      <c r="BJ7" s="22"/>
      <c r="BK7" s="22"/>
      <c r="BL7" s="22"/>
      <c r="BM7" s="22"/>
      <c r="BN7" s="22"/>
    </row>
    <row r="8" spans="6:67" x14ac:dyDescent="0.25">
      <c r="F8" s="21"/>
      <c r="G8" s="5"/>
      <c r="H8" s="5" t="s">
        <v>25</v>
      </c>
      <c r="I8" s="5"/>
      <c r="J8" s="5" t="s">
        <v>26</v>
      </c>
      <c r="K8" s="5" t="str">
        <f>TEXT(K9,"DDD")</f>
        <v>Sat</v>
      </c>
      <c r="L8" s="5" t="str">
        <f t="shared" ref="L8:AO8" si="0">TEXT(L9,"DDD")</f>
        <v>Sun</v>
      </c>
      <c r="M8" s="5" t="str">
        <f t="shared" si="0"/>
        <v>Mon</v>
      </c>
      <c r="N8" s="5" t="str">
        <f t="shared" si="0"/>
        <v>Tue</v>
      </c>
      <c r="O8" s="5" t="str">
        <f t="shared" si="0"/>
        <v>Wed</v>
      </c>
      <c r="P8" s="5" t="str">
        <f t="shared" si="0"/>
        <v>Thu</v>
      </c>
      <c r="Q8" s="5" t="str">
        <f t="shared" si="0"/>
        <v>Fri</v>
      </c>
      <c r="R8" s="5" t="str">
        <f t="shared" si="0"/>
        <v>Sat</v>
      </c>
      <c r="S8" s="5" t="str">
        <f t="shared" si="0"/>
        <v>Sun</v>
      </c>
      <c r="T8" s="5" t="str">
        <f t="shared" si="0"/>
        <v>Mon</v>
      </c>
      <c r="U8" s="5" t="str">
        <f t="shared" si="0"/>
        <v>Tue</v>
      </c>
      <c r="V8" s="5" t="str">
        <f t="shared" si="0"/>
        <v>Wed</v>
      </c>
      <c r="W8" s="5" t="str">
        <f t="shared" si="0"/>
        <v>Thu</v>
      </c>
      <c r="X8" s="5" t="str">
        <f t="shared" si="0"/>
        <v>Fri</v>
      </c>
      <c r="Y8" s="5" t="str">
        <f t="shared" si="0"/>
        <v>Sat</v>
      </c>
      <c r="Z8" s="5" t="str">
        <f t="shared" si="0"/>
        <v>Sun</v>
      </c>
      <c r="AA8" s="5" t="str">
        <f t="shared" si="0"/>
        <v>Mon</v>
      </c>
      <c r="AB8" s="5" t="str">
        <f t="shared" si="0"/>
        <v>Tue</v>
      </c>
      <c r="AC8" s="5" t="str">
        <f t="shared" si="0"/>
        <v>Wed</v>
      </c>
      <c r="AD8" s="5" t="str">
        <f t="shared" si="0"/>
        <v>Thu</v>
      </c>
      <c r="AE8" s="5" t="str">
        <f t="shared" si="0"/>
        <v>Fri</v>
      </c>
      <c r="AF8" s="5" t="str">
        <f t="shared" si="0"/>
        <v>Sat</v>
      </c>
      <c r="AG8" s="5" t="str">
        <f t="shared" si="0"/>
        <v>Sun</v>
      </c>
      <c r="AH8" s="5" t="str">
        <f t="shared" si="0"/>
        <v>Mon</v>
      </c>
      <c r="AI8" s="5" t="str">
        <f t="shared" si="0"/>
        <v>Tue</v>
      </c>
      <c r="AJ8" s="5" t="str">
        <f t="shared" si="0"/>
        <v>Wed</v>
      </c>
      <c r="AK8" s="5" t="str">
        <f t="shared" si="0"/>
        <v>Thu</v>
      </c>
      <c r="AL8" s="5" t="str">
        <f t="shared" si="0"/>
        <v>Fri</v>
      </c>
      <c r="AM8" s="5" t="str">
        <f t="shared" si="0"/>
        <v>Sat</v>
      </c>
      <c r="AN8" s="5" t="str">
        <f t="shared" si="0"/>
        <v>Sun</v>
      </c>
      <c r="AO8" s="67" t="str">
        <f t="shared" si="0"/>
        <v>Mon</v>
      </c>
      <c r="AP8" s="21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2"/>
      <c r="BI8" s="22"/>
      <c r="BJ8" s="22"/>
      <c r="BK8" s="22"/>
      <c r="BL8" s="22"/>
      <c r="BM8" s="22"/>
      <c r="BN8" s="22"/>
    </row>
    <row r="9" spans="6:67" ht="16.5" thickBot="1" x14ac:dyDescent="0.3">
      <c r="F9" s="21"/>
      <c r="G9" s="13" t="s">
        <v>0</v>
      </c>
      <c r="H9" s="13" t="s">
        <v>1</v>
      </c>
      <c r="I9" s="13" t="s">
        <v>2</v>
      </c>
      <c r="J9" s="57" t="s">
        <v>21</v>
      </c>
      <c r="K9" s="15">
        <f>H6</f>
        <v>45717</v>
      </c>
      <c r="L9" s="15">
        <f>IF(K9&lt;$M$6,K9+1,"")</f>
        <v>45718</v>
      </c>
      <c r="M9" s="15">
        <f t="shared" ref="M9:AO9" si="1">IF(L9&lt;$M$6,L9+1,"")</f>
        <v>45719</v>
      </c>
      <c r="N9" s="15">
        <f t="shared" si="1"/>
        <v>45720</v>
      </c>
      <c r="O9" s="15">
        <f t="shared" si="1"/>
        <v>45721</v>
      </c>
      <c r="P9" s="15">
        <f t="shared" si="1"/>
        <v>45722</v>
      </c>
      <c r="Q9" s="15">
        <f t="shared" si="1"/>
        <v>45723</v>
      </c>
      <c r="R9" s="15">
        <f t="shared" si="1"/>
        <v>45724</v>
      </c>
      <c r="S9" s="15">
        <f t="shared" si="1"/>
        <v>45725</v>
      </c>
      <c r="T9" s="15">
        <f t="shared" si="1"/>
        <v>45726</v>
      </c>
      <c r="U9" s="15">
        <f t="shared" si="1"/>
        <v>45727</v>
      </c>
      <c r="V9" s="15">
        <f t="shared" si="1"/>
        <v>45728</v>
      </c>
      <c r="W9" s="15">
        <f t="shared" si="1"/>
        <v>45729</v>
      </c>
      <c r="X9" s="15">
        <f t="shared" si="1"/>
        <v>45730</v>
      </c>
      <c r="Y9" s="15">
        <f t="shared" si="1"/>
        <v>45731</v>
      </c>
      <c r="Z9" s="15">
        <f t="shared" si="1"/>
        <v>45732</v>
      </c>
      <c r="AA9" s="15">
        <f t="shared" si="1"/>
        <v>45733</v>
      </c>
      <c r="AB9" s="15">
        <f t="shared" si="1"/>
        <v>45734</v>
      </c>
      <c r="AC9" s="15">
        <f t="shared" si="1"/>
        <v>45735</v>
      </c>
      <c r="AD9" s="15">
        <f t="shared" si="1"/>
        <v>45736</v>
      </c>
      <c r="AE9" s="15">
        <f t="shared" si="1"/>
        <v>45737</v>
      </c>
      <c r="AF9" s="15">
        <f t="shared" si="1"/>
        <v>45738</v>
      </c>
      <c r="AG9" s="15">
        <f t="shared" si="1"/>
        <v>45739</v>
      </c>
      <c r="AH9" s="15">
        <f t="shared" si="1"/>
        <v>45740</v>
      </c>
      <c r="AI9" s="15">
        <f t="shared" si="1"/>
        <v>45741</v>
      </c>
      <c r="AJ9" s="15">
        <f t="shared" si="1"/>
        <v>45742</v>
      </c>
      <c r="AK9" s="15">
        <f t="shared" si="1"/>
        <v>45743</v>
      </c>
      <c r="AL9" s="15">
        <f t="shared" si="1"/>
        <v>45744</v>
      </c>
      <c r="AM9" s="15">
        <f t="shared" si="1"/>
        <v>45745</v>
      </c>
      <c r="AN9" s="15">
        <f t="shared" si="1"/>
        <v>45746</v>
      </c>
      <c r="AO9" s="59">
        <f t="shared" si="1"/>
        <v>45747</v>
      </c>
      <c r="AP9" s="21"/>
      <c r="AQ9" s="24"/>
      <c r="AR9" s="18" t="s">
        <v>0</v>
      </c>
      <c r="AS9" s="18" t="s">
        <v>1</v>
      </c>
      <c r="AT9" s="18" t="s">
        <v>37</v>
      </c>
      <c r="AU9" s="18" t="s">
        <v>2</v>
      </c>
      <c r="AV9" s="18" t="s">
        <v>27</v>
      </c>
      <c r="AW9" s="18" t="s">
        <v>28</v>
      </c>
      <c r="AX9" s="18" t="s">
        <v>29</v>
      </c>
      <c r="AY9" s="18" t="s">
        <v>30</v>
      </c>
      <c r="AZ9" s="18" t="s">
        <v>26</v>
      </c>
      <c r="BA9" s="18" t="s">
        <v>31</v>
      </c>
      <c r="BB9" s="18" t="s">
        <v>32</v>
      </c>
      <c r="BC9" s="18" t="s">
        <v>33</v>
      </c>
      <c r="BD9" s="18" t="s">
        <v>34</v>
      </c>
      <c r="BE9" s="18" t="s">
        <v>35</v>
      </c>
      <c r="BF9" s="18" t="s">
        <v>36</v>
      </c>
      <c r="BG9" s="24"/>
      <c r="BH9" s="22"/>
      <c r="BI9" s="22"/>
      <c r="BJ9" s="22"/>
      <c r="BK9" s="22"/>
      <c r="BL9" s="22"/>
      <c r="BM9" s="22"/>
      <c r="BN9" s="22"/>
    </row>
    <row r="10" spans="6:67" x14ac:dyDescent="0.25">
      <c r="F10" s="21"/>
      <c r="G10" s="6">
        <v>1</v>
      </c>
      <c r="H10" s="7" t="s">
        <v>3</v>
      </c>
      <c r="I10" s="7">
        <v>1001</v>
      </c>
      <c r="J10" s="58">
        <f>COUNTIF($J$8:$AO$8,"SUN")</f>
        <v>5</v>
      </c>
      <c r="K10" s="56" t="s">
        <v>38</v>
      </c>
      <c r="L10" s="43" t="str">
        <f>IF(L$8="SUN","WO","")</f>
        <v>WO</v>
      </c>
      <c r="M10" s="51" t="s">
        <v>39</v>
      </c>
      <c r="N10" s="51" t="s">
        <v>38</v>
      </c>
      <c r="O10" s="51" t="s">
        <v>38</v>
      </c>
      <c r="P10" s="51" t="s">
        <v>38</v>
      </c>
      <c r="Q10" s="51" t="s">
        <v>38</v>
      </c>
      <c r="R10" s="51" t="s">
        <v>38</v>
      </c>
      <c r="S10" s="43" t="str">
        <f>IF(S$8="SUN","WO","")</f>
        <v>WO</v>
      </c>
      <c r="T10" s="51" t="s">
        <v>38</v>
      </c>
      <c r="U10" s="51" t="s">
        <v>38</v>
      </c>
      <c r="V10" s="51" t="s">
        <v>39</v>
      </c>
      <c r="W10" s="51" t="s">
        <v>38</v>
      </c>
      <c r="X10" s="51" t="s">
        <v>38</v>
      </c>
      <c r="Y10" s="51" t="s">
        <v>38</v>
      </c>
      <c r="Z10" s="43" t="str">
        <f>IF(Z$8="SUN","WO","")</f>
        <v>WO</v>
      </c>
      <c r="AA10" s="51" t="s">
        <v>39</v>
      </c>
      <c r="AB10" s="51" t="s">
        <v>38</v>
      </c>
      <c r="AC10" s="51" t="s">
        <v>38</v>
      </c>
      <c r="AD10" s="51" t="s">
        <v>38</v>
      </c>
      <c r="AE10" s="51" t="s">
        <v>38</v>
      </c>
      <c r="AF10" s="51" t="s">
        <v>38</v>
      </c>
      <c r="AG10" s="43" t="str">
        <f>IF(AG$8="SUN","WO","")</f>
        <v>WO</v>
      </c>
      <c r="AH10" s="51" t="s">
        <v>38</v>
      </c>
      <c r="AI10" s="51" t="s">
        <v>38</v>
      </c>
      <c r="AJ10" s="51" t="s">
        <v>39</v>
      </c>
      <c r="AK10" s="51" t="s">
        <v>38</v>
      </c>
      <c r="AL10" s="51" t="s">
        <v>38</v>
      </c>
      <c r="AM10" s="51" t="s">
        <v>38</v>
      </c>
      <c r="AN10" s="43" t="str">
        <f>IF(AN$8="SUN","WO","")</f>
        <v>WO</v>
      </c>
      <c r="AO10" s="53" t="s">
        <v>38</v>
      </c>
      <c r="AP10" s="21"/>
      <c r="AQ10" s="24"/>
      <c r="AR10" s="10">
        <v>1</v>
      </c>
      <c r="AS10" s="9" t="s">
        <v>3</v>
      </c>
      <c r="AT10" s="9" t="str">
        <f t="shared" ref="AT10:AT29" si="2">$J$6</f>
        <v>March</v>
      </c>
      <c r="AU10" s="9">
        <v>1001</v>
      </c>
      <c r="AV10" s="9">
        <f t="shared" ref="AV10:AV29" si="3">COUNTIF($K10:$AO10,"P")</f>
        <v>22</v>
      </c>
      <c r="AW10" s="9">
        <f t="shared" ref="AW10:AW29" si="4">COUNTIF($K10:$AO10,"A")</f>
        <v>4</v>
      </c>
      <c r="AX10" s="9">
        <f t="shared" ref="AX10:AX29" si="5">COUNTIF($K10:$AO10,"L")</f>
        <v>0</v>
      </c>
      <c r="AY10" s="16">
        <f t="shared" ref="AY10:AY29" si="6">$J$10</f>
        <v>5</v>
      </c>
      <c r="AZ10" s="16">
        <f t="shared" ref="AZ10:AZ29" si="7">$I$6</f>
        <v>31</v>
      </c>
      <c r="BA10" s="16">
        <f>MarchReport[[#This Row],[Days]]-MarchReport[[#This Row],[Absent]]</f>
        <v>27</v>
      </c>
      <c r="BB10" s="19">
        <v>10000</v>
      </c>
      <c r="BC10" s="20">
        <f>MarchReport[[#This Row],[Salary ]]/MarchReport[[#This Row],[Days]]</f>
        <v>322.58064516129031</v>
      </c>
      <c r="BD10" s="20">
        <f>MarchReport[[#This Row],[Per Day Salary ]]*MarchReport[[#This Row],[Absent]]</f>
        <v>1290.3225806451612</v>
      </c>
      <c r="BE10" s="20">
        <f>MarchReport[[#This Row],[Salary ]]-MarchReport[[#This Row],[Deduction]]</f>
        <v>8709.677419354839</v>
      </c>
      <c r="BF10" s="20"/>
      <c r="BG10" s="24"/>
      <c r="BH10" s="22"/>
      <c r="BI10" s="22"/>
      <c r="BJ10" s="22"/>
      <c r="BK10" s="22"/>
      <c r="BL10" s="22"/>
      <c r="BM10" s="22"/>
      <c r="BN10" s="22"/>
    </row>
    <row r="11" spans="6:67" x14ac:dyDescent="0.25">
      <c r="F11" s="21"/>
      <c r="G11" s="8">
        <v>2</v>
      </c>
      <c r="H11" s="9" t="s">
        <v>4</v>
      </c>
      <c r="I11" s="10">
        <v>1002</v>
      </c>
      <c r="J11" s="47">
        <f t="shared" ref="J11:J29" si="8">COUNTIF($J$8:$AO$8,"SUN")</f>
        <v>5</v>
      </c>
      <c r="K11" s="10" t="s">
        <v>38</v>
      </c>
      <c r="L11" s="44" t="str">
        <f t="shared" ref="L11:L29" si="9">IF(L$8="SUN","WO","")</f>
        <v>WO</v>
      </c>
      <c r="M11" s="10" t="s">
        <v>38</v>
      </c>
      <c r="N11" s="10" t="s">
        <v>38</v>
      </c>
      <c r="O11" s="10" t="s">
        <v>38</v>
      </c>
      <c r="P11" s="10" t="s">
        <v>38</v>
      </c>
      <c r="Q11" s="10" t="s">
        <v>38</v>
      </c>
      <c r="R11" s="10" t="s">
        <v>40</v>
      </c>
      <c r="S11" s="44" t="str">
        <f t="shared" ref="S11:S29" si="10">IF(S$8="SUN","WO","")</f>
        <v>WO</v>
      </c>
      <c r="T11" s="10" t="s">
        <v>38</v>
      </c>
      <c r="U11" s="10" t="s">
        <v>38</v>
      </c>
      <c r="V11" s="10" t="s">
        <v>38</v>
      </c>
      <c r="W11" s="10" t="s">
        <v>38</v>
      </c>
      <c r="X11" s="10" t="s">
        <v>39</v>
      </c>
      <c r="Y11" s="10" t="s">
        <v>38</v>
      </c>
      <c r="Z11" s="44" t="str">
        <f t="shared" ref="Z11:Z29" si="11">IF(Z$8="SUN","WO","")</f>
        <v>WO</v>
      </c>
      <c r="AA11" s="10" t="s">
        <v>38</v>
      </c>
      <c r="AB11" s="10" t="s">
        <v>38</v>
      </c>
      <c r="AC11" s="10" t="s">
        <v>38</v>
      </c>
      <c r="AD11" s="10" t="s">
        <v>38</v>
      </c>
      <c r="AE11" s="10" t="s">
        <v>38</v>
      </c>
      <c r="AF11" s="10" t="s">
        <v>40</v>
      </c>
      <c r="AG11" s="44" t="str">
        <f t="shared" ref="AG11:AG29" si="12">IF(AG$8="SUN","WO","")</f>
        <v>WO</v>
      </c>
      <c r="AH11" s="10" t="s">
        <v>38</v>
      </c>
      <c r="AI11" s="10" t="s">
        <v>38</v>
      </c>
      <c r="AJ11" s="10" t="s">
        <v>38</v>
      </c>
      <c r="AK11" s="10" t="s">
        <v>38</v>
      </c>
      <c r="AL11" s="10" t="s">
        <v>39</v>
      </c>
      <c r="AM11" s="10" t="s">
        <v>38</v>
      </c>
      <c r="AN11" s="44" t="str">
        <f t="shared" ref="AN11:AN29" si="13">IF(AN$8="SUN","WO","")</f>
        <v>WO</v>
      </c>
      <c r="AO11" s="64" t="s">
        <v>38</v>
      </c>
      <c r="AP11" s="21"/>
      <c r="AQ11" s="24"/>
      <c r="AR11" s="10">
        <v>2</v>
      </c>
      <c r="AS11" s="9" t="s">
        <v>4</v>
      </c>
      <c r="AT11" s="9" t="str">
        <f t="shared" si="2"/>
        <v>March</v>
      </c>
      <c r="AU11" s="9">
        <v>1002</v>
      </c>
      <c r="AV11" s="9">
        <f t="shared" si="3"/>
        <v>22</v>
      </c>
      <c r="AW11" s="16">
        <f t="shared" si="4"/>
        <v>2</v>
      </c>
      <c r="AX11" s="16">
        <f t="shared" si="5"/>
        <v>2</v>
      </c>
      <c r="AY11" s="16">
        <f t="shared" si="6"/>
        <v>5</v>
      </c>
      <c r="AZ11" s="16">
        <f t="shared" si="7"/>
        <v>31</v>
      </c>
      <c r="BA11" s="16">
        <f>MarchReport[[#This Row],[Days]]-MarchReport[[#This Row],[Absent]]</f>
        <v>29</v>
      </c>
      <c r="BB11" s="19">
        <v>20000</v>
      </c>
      <c r="BC11" s="20">
        <f>MarchReport[[#This Row],[Salary ]]/MarchReport[[#This Row],[Days]]</f>
        <v>645.16129032258061</v>
      </c>
      <c r="BD11" s="20">
        <f>MarchReport[[#This Row],[Per Day Salary ]]*MarchReport[[#This Row],[Absent]]</f>
        <v>1290.3225806451612</v>
      </c>
      <c r="BE11" s="20">
        <f>MarchReport[[#This Row],[Salary ]]-MarchReport[[#This Row],[Deduction]]</f>
        <v>18709.677419354837</v>
      </c>
      <c r="BF11" s="20"/>
      <c r="BG11" s="24"/>
      <c r="BH11" s="22"/>
      <c r="BI11" s="22"/>
      <c r="BJ11" s="22"/>
      <c r="BK11" s="22"/>
      <c r="BL11" s="22"/>
      <c r="BM11" s="22"/>
      <c r="BN11" s="22"/>
    </row>
    <row r="12" spans="6:67" x14ac:dyDescent="0.25">
      <c r="F12" s="21"/>
      <c r="G12" s="8">
        <v>3</v>
      </c>
      <c r="H12" s="10" t="s">
        <v>5</v>
      </c>
      <c r="I12" s="10">
        <v>1003</v>
      </c>
      <c r="J12" s="47">
        <f t="shared" si="8"/>
        <v>5</v>
      </c>
      <c r="K12" s="10" t="s">
        <v>38</v>
      </c>
      <c r="L12" s="44" t="str">
        <f t="shared" si="9"/>
        <v>WO</v>
      </c>
      <c r="M12" s="10" t="s">
        <v>38</v>
      </c>
      <c r="N12" s="10" t="s">
        <v>40</v>
      </c>
      <c r="O12" s="10" t="s">
        <v>38</v>
      </c>
      <c r="P12" s="10" t="s">
        <v>38</v>
      </c>
      <c r="Q12" s="10" t="s">
        <v>38</v>
      </c>
      <c r="R12" s="10" t="s">
        <v>38</v>
      </c>
      <c r="S12" s="44" t="str">
        <f t="shared" si="10"/>
        <v>WO</v>
      </c>
      <c r="T12" s="10" t="s">
        <v>38</v>
      </c>
      <c r="U12" s="10" t="s">
        <v>40</v>
      </c>
      <c r="V12" s="10" t="s">
        <v>38</v>
      </c>
      <c r="W12" s="10" t="s">
        <v>38</v>
      </c>
      <c r="X12" s="10" t="s">
        <v>38</v>
      </c>
      <c r="Y12" s="10" t="s">
        <v>38</v>
      </c>
      <c r="Z12" s="44" t="str">
        <f t="shared" si="11"/>
        <v>WO</v>
      </c>
      <c r="AA12" s="10" t="s">
        <v>38</v>
      </c>
      <c r="AB12" s="10" t="s">
        <v>40</v>
      </c>
      <c r="AC12" s="10" t="s">
        <v>38</v>
      </c>
      <c r="AD12" s="10" t="s">
        <v>38</v>
      </c>
      <c r="AE12" s="10" t="s">
        <v>38</v>
      </c>
      <c r="AF12" s="10" t="s">
        <v>38</v>
      </c>
      <c r="AG12" s="44" t="str">
        <f t="shared" si="12"/>
        <v>WO</v>
      </c>
      <c r="AH12" s="10" t="s">
        <v>38</v>
      </c>
      <c r="AI12" s="10" t="s">
        <v>40</v>
      </c>
      <c r="AJ12" s="10" t="s">
        <v>38</v>
      </c>
      <c r="AK12" s="10" t="s">
        <v>38</v>
      </c>
      <c r="AL12" s="10" t="s">
        <v>38</v>
      </c>
      <c r="AM12" s="10" t="s">
        <v>38</v>
      </c>
      <c r="AN12" s="44" t="str">
        <f t="shared" si="13"/>
        <v>WO</v>
      </c>
      <c r="AO12" s="64" t="s">
        <v>38</v>
      </c>
      <c r="AP12" s="21"/>
      <c r="AQ12" s="24"/>
      <c r="AR12" s="10">
        <v>3</v>
      </c>
      <c r="AS12" s="10" t="s">
        <v>5</v>
      </c>
      <c r="AT12" s="10" t="str">
        <f t="shared" si="2"/>
        <v>March</v>
      </c>
      <c r="AU12" s="10">
        <v>1003</v>
      </c>
      <c r="AV12" s="9">
        <f t="shared" si="3"/>
        <v>22</v>
      </c>
      <c r="AW12" s="16">
        <f t="shared" si="4"/>
        <v>0</v>
      </c>
      <c r="AX12" s="16">
        <f t="shared" si="5"/>
        <v>4</v>
      </c>
      <c r="AY12" s="16">
        <f t="shared" si="6"/>
        <v>5</v>
      </c>
      <c r="AZ12" s="16">
        <f t="shared" si="7"/>
        <v>31</v>
      </c>
      <c r="BA12" s="16">
        <f>MarchReport[[#This Row],[Days]]-MarchReport[[#This Row],[Absent]]</f>
        <v>31</v>
      </c>
      <c r="BB12" s="19">
        <v>30000</v>
      </c>
      <c r="BC12" s="20">
        <f>MarchReport[[#This Row],[Salary ]]/MarchReport[[#This Row],[Days]]</f>
        <v>967.74193548387098</v>
      </c>
      <c r="BD12" s="20">
        <f>MarchReport[[#This Row],[Per Day Salary ]]*MarchReport[[#This Row],[Absent]]</f>
        <v>0</v>
      </c>
      <c r="BE12" s="20">
        <f>MarchReport[[#This Row],[Salary ]]-MarchReport[[#This Row],[Deduction]]</f>
        <v>30000</v>
      </c>
      <c r="BF12" s="20"/>
      <c r="BG12" s="24"/>
      <c r="BH12" s="22"/>
      <c r="BI12" s="22"/>
      <c r="BJ12" s="22"/>
      <c r="BK12" s="22"/>
      <c r="BL12" s="22"/>
      <c r="BM12" s="22"/>
      <c r="BN12" s="22"/>
    </row>
    <row r="13" spans="6:67" x14ac:dyDescent="0.25">
      <c r="F13" s="21"/>
      <c r="G13" s="8">
        <v>4</v>
      </c>
      <c r="H13" s="10" t="s">
        <v>6</v>
      </c>
      <c r="I13" s="10">
        <v>1004</v>
      </c>
      <c r="J13" s="47">
        <f t="shared" si="8"/>
        <v>5</v>
      </c>
      <c r="K13" s="10" t="s">
        <v>38</v>
      </c>
      <c r="L13" s="44" t="str">
        <f t="shared" si="9"/>
        <v>WO</v>
      </c>
      <c r="M13" s="10" t="s">
        <v>38</v>
      </c>
      <c r="N13" s="10" t="s">
        <v>38</v>
      </c>
      <c r="O13" s="10" t="s">
        <v>38</v>
      </c>
      <c r="P13" s="10" t="s">
        <v>38</v>
      </c>
      <c r="Q13" s="10" t="s">
        <v>38</v>
      </c>
      <c r="R13" s="10" t="s">
        <v>40</v>
      </c>
      <c r="S13" s="44" t="str">
        <f t="shared" si="10"/>
        <v>WO</v>
      </c>
      <c r="T13" s="10" t="s">
        <v>38</v>
      </c>
      <c r="U13" s="10" t="s">
        <v>38</v>
      </c>
      <c r="V13" s="10" t="s">
        <v>38</v>
      </c>
      <c r="W13" s="10" t="s">
        <v>38</v>
      </c>
      <c r="X13" s="10" t="s">
        <v>38</v>
      </c>
      <c r="Y13" s="10" t="s">
        <v>38</v>
      </c>
      <c r="Z13" s="44" t="str">
        <f t="shared" si="11"/>
        <v>WO</v>
      </c>
      <c r="AA13" s="10" t="s">
        <v>38</v>
      </c>
      <c r="AB13" s="10" t="s">
        <v>38</v>
      </c>
      <c r="AC13" s="10" t="s">
        <v>38</v>
      </c>
      <c r="AD13" s="10" t="s">
        <v>38</v>
      </c>
      <c r="AE13" s="10" t="s">
        <v>38</v>
      </c>
      <c r="AF13" s="10" t="s">
        <v>40</v>
      </c>
      <c r="AG13" s="44" t="str">
        <f t="shared" si="12"/>
        <v>WO</v>
      </c>
      <c r="AH13" s="10" t="s">
        <v>38</v>
      </c>
      <c r="AI13" s="10" t="s">
        <v>38</v>
      </c>
      <c r="AJ13" s="10" t="s">
        <v>38</v>
      </c>
      <c r="AK13" s="10" t="s">
        <v>38</v>
      </c>
      <c r="AL13" s="10" t="s">
        <v>38</v>
      </c>
      <c r="AM13" s="10" t="s">
        <v>38</v>
      </c>
      <c r="AN13" s="44" t="str">
        <f t="shared" si="13"/>
        <v>WO</v>
      </c>
      <c r="AO13" s="64" t="s">
        <v>38</v>
      </c>
      <c r="AP13" s="21"/>
      <c r="AQ13" s="24"/>
      <c r="AR13" s="10">
        <v>4</v>
      </c>
      <c r="AS13" s="10" t="s">
        <v>6</v>
      </c>
      <c r="AT13" s="10" t="str">
        <f t="shared" si="2"/>
        <v>March</v>
      </c>
      <c r="AU13" s="10">
        <v>1004</v>
      </c>
      <c r="AV13" s="9">
        <f t="shared" si="3"/>
        <v>24</v>
      </c>
      <c r="AW13" s="16">
        <f t="shared" si="4"/>
        <v>0</v>
      </c>
      <c r="AX13" s="16">
        <f t="shared" si="5"/>
        <v>2</v>
      </c>
      <c r="AY13" s="16">
        <f t="shared" si="6"/>
        <v>5</v>
      </c>
      <c r="AZ13" s="16">
        <f t="shared" si="7"/>
        <v>31</v>
      </c>
      <c r="BA13" s="16">
        <f>MarchReport[[#This Row],[Days]]-MarchReport[[#This Row],[Absent]]</f>
        <v>31</v>
      </c>
      <c r="BB13" s="19">
        <v>45000</v>
      </c>
      <c r="BC13" s="20">
        <f>MarchReport[[#This Row],[Salary ]]/MarchReport[[#This Row],[Days]]</f>
        <v>1451.6129032258063</v>
      </c>
      <c r="BD13" s="20">
        <f>MarchReport[[#This Row],[Per Day Salary ]]*MarchReport[[#This Row],[Absent]]</f>
        <v>0</v>
      </c>
      <c r="BE13" s="20">
        <f>MarchReport[[#This Row],[Salary ]]-MarchReport[[#This Row],[Deduction]]</f>
        <v>45000</v>
      </c>
      <c r="BF13" s="20"/>
      <c r="BG13" s="24"/>
      <c r="BH13" s="22"/>
      <c r="BI13" s="22"/>
      <c r="BJ13" s="22"/>
      <c r="BK13" s="22"/>
      <c r="BL13" s="22"/>
      <c r="BM13" s="22"/>
      <c r="BN13" s="22"/>
    </row>
    <row r="14" spans="6:67" x14ac:dyDescent="0.25">
      <c r="F14" s="21"/>
      <c r="G14" s="8">
        <v>5</v>
      </c>
      <c r="H14" s="10" t="s">
        <v>7</v>
      </c>
      <c r="I14" s="10">
        <v>1005</v>
      </c>
      <c r="J14" s="47">
        <f t="shared" si="8"/>
        <v>5</v>
      </c>
      <c r="K14" s="10" t="s">
        <v>38</v>
      </c>
      <c r="L14" s="44" t="str">
        <f t="shared" si="9"/>
        <v>WO</v>
      </c>
      <c r="M14" s="10" t="s">
        <v>38</v>
      </c>
      <c r="N14" s="10" t="s">
        <v>38</v>
      </c>
      <c r="O14" s="10" t="s">
        <v>39</v>
      </c>
      <c r="P14" s="10" t="s">
        <v>38</v>
      </c>
      <c r="Q14" s="10" t="s">
        <v>38</v>
      </c>
      <c r="R14" s="10" t="s">
        <v>38</v>
      </c>
      <c r="S14" s="44" t="str">
        <f t="shared" si="10"/>
        <v>WO</v>
      </c>
      <c r="T14" s="10" t="s">
        <v>38</v>
      </c>
      <c r="U14" s="10" t="s">
        <v>40</v>
      </c>
      <c r="V14" s="10" t="s">
        <v>38</v>
      </c>
      <c r="W14" s="10" t="s">
        <v>38</v>
      </c>
      <c r="X14" s="10" t="s">
        <v>38</v>
      </c>
      <c r="Y14" s="10" t="s">
        <v>38</v>
      </c>
      <c r="Z14" s="44" t="str">
        <f t="shared" si="11"/>
        <v>WO</v>
      </c>
      <c r="AA14" s="10" t="s">
        <v>38</v>
      </c>
      <c r="AB14" s="10" t="s">
        <v>38</v>
      </c>
      <c r="AC14" s="10" t="s">
        <v>39</v>
      </c>
      <c r="AD14" s="10" t="s">
        <v>38</v>
      </c>
      <c r="AE14" s="10" t="s">
        <v>38</v>
      </c>
      <c r="AF14" s="10" t="s">
        <v>38</v>
      </c>
      <c r="AG14" s="44" t="str">
        <f t="shared" si="12"/>
        <v>WO</v>
      </c>
      <c r="AH14" s="10" t="s">
        <v>38</v>
      </c>
      <c r="AI14" s="10" t="s">
        <v>40</v>
      </c>
      <c r="AJ14" s="10" t="s">
        <v>38</v>
      </c>
      <c r="AK14" s="10" t="s">
        <v>38</v>
      </c>
      <c r="AL14" s="10" t="s">
        <v>38</v>
      </c>
      <c r="AM14" s="10" t="s">
        <v>38</v>
      </c>
      <c r="AN14" s="44" t="str">
        <f t="shared" si="13"/>
        <v>WO</v>
      </c>
      <c r="AO14" s="64" t="s">
        <v>39</v>
      </c>
      <c r="AP14" s="21"/>
      <c r="AQ14" s="24"/>
      <c r="AR14" s="10">
        <v>5</v>
      </c>
      <c r="AS14" s="10" t="s">
        <v>7</v>
      </c>
      <c r="AT14" s="10" t="str">
        <f t="shared" si="2"/>
        <v>March</v>
      </c>
      <c r="AU14" s="10">
        <v>1005</v>
      </c>
      <c r="AV14" s="9">
        <f t="shared" si="3"/>
        <v>21</v>
      </c>
      <c r="AW14" s="16">
        <f t="shared" si="4"/>
        <v>3</v>
      </c>
      <c r="AX14" s="16">
        <f t="shared" si="5"/>
        <v>2</v>
      </c>
      <c r="AY14" s="16">
        <f t="shared" si="6"/>
        <v>5</v>
      </c>
      <c r="AZ14" s="16">
        <f t="shared" si="7"/>
        <v>31</v>
      </c>
      <c r="BA14" s="16">
        <f>MarchReport[[#This Row],[Days]]-MarchReport[[#This Row],[Absent]]</f>
        <v>28</v>
      </c>
      <c r="BB14" s="19">
        <v>62000</v>
      </c>
      <c r="BC14" s="20">
        <f>MarchReport[[#This Row],[Salary ]]/MarchReport[[#This Row],[Days]]</f>
        <v>2000</v>
      </c>
      <c r="BD14" s="20">
        <f>MarchReport[[#This Row],[Per Day Salary ]]*MarchReport[[#This Row],[Absent]]</f>
        <v>6000</v>
      </c>
      <c r="BE14" s="20">
        <f>MarchReport[[#This Row],[Salary ]]-MarchReport[[#This Row],[Deduction]]</f>
        <v>56000</v>
      </c>
      <c r="BF14" s="20"/>
      <c r="BG14" s="24"/>
      <c r="BH14" s="22"/>
      <c r="BI14" s="22"/>
      <c r="BJ14" s="22"/>
      <c r="BK14" s="22"/>
      <c r="BL14" s="22"/>
      <c r="BM14" s="22"/>
      <c r="BN14" s="22"/>
    </row>
    <row r="15" spans="6:67" x14ac:dyDescent="0.25">
      <c r="F15" s="21"/>
      <c r="G15" s="8">
        <v>6</v>
      </c>
      <c r="H15" s="10" t="s">
        <v>8</v>
      </c>
      <c r="I15" s="10">
        <v>1006</v>
      </c>
      <c r="J15" s="47">
        <f t="shared" si="8"/>
        <v>5</v>
      </c>
      <c r="K15" s="10" t="s">
        <v>39</v>
      </c>
      <c r="L15" s="44" t="str">
        <f t="shared" si="9"/>
        <v>WO</v>
      </c>
      <c r="M15" s="10" t="s">
        <v>38</v>
      </c>
      <c r="N15" s="10" t="s">
        <v>38</v>
      </c>
      <c r="O15" s="10" t="s">
        <v>38</v>
      </c>
      <c r="P15" s="10" t="s">
        <v>38</v>
      </c>
      <c r="Q15" s="10" t="s">
        <v>40</v>
      </c>
      <c r="R15" s="10" t="s">
        <v>38</v>
      </c>
      <c r="S15" s="44" t="str">
        <f t="shared" si="10"/>
        <v>WO</v>
      </c>
      <c r="T15" s="10" t="s">
        <v>38</v>
      </c>
      <c r="U15" s="10" t="s">
        <v>38</v>
      </c>
      <c r="V15" s="10" t="s">
        <v>38</v>
      </c>
      <c r="W15" s="10" t="s">
        <v>38</v>
      </c>
      <c r="X15" s="10" t="s">
        <v>38</v>
      </c>
      <c r="Y15" s="10" t="s">
        <v>39</v>
      </c>
      <c r="Z15" s="44" t="str">
        <f t="shared" si="11"/>
        <v>WO</v>
      </c>
      <c r="AA15" s="10" t="s">
        <v>38</v>
      </c>
      <c r="AB15" s="10" t="s">
        <v>38</v>
      </c>
      <c r="AC15" s="10" t="s">
        <v>38</v>
      </c>
      <c r="AD15" s="10" t="s">
        <v>38</v>
      </c>
      <c r="AE15" s="10" t="s">
        <v>40</v>
      </c>
      <c r="AF15" s="10" t="s">
        <v>38</v>
      </c>
      <c r="AG15" s="44" t="str">
        <f t="shared" si="12"/>
        <v>WO</v>
      </c>
      <c r="AH15" s="10" t="s">
        <v>38</v>
      </c>
      <c r="AI15" s="10" t="s">
        <v>38</v>
      </c>
      <c r="AJ15" s="10" t="s">
        <v>38</v>
      </c>
      <c r="AK15" s="10" t="s">
        <v>38</v>
      </c>
      <c r="AL15" s="10" t="s">
        <v>38</v>
      </c>
      <c r="AM15" s="10" t="s">
        <v>39</v>
      </c>
      <c r="AN15" s="44" t="str">
        <f t="shared" si="13"/>
        <v>WO</v>
      </c>
      <c r="AO15" s="64" t="s">
        <v>38</v>
      </c>
      <c r="AP15" s="21"/>
      <c r="AQ15" s="24"/>
      <c r="AR15" s="10">
        <v>6</v>
      </c>
      <c r="AS15" s="10" t="s">
        <v>8</v>
      </c>
      <c r="AT15" s="10" t="str">
        <f t="shared" si="2"/>
        <v>March</v>
      </c>
      <c r="AU15" s="10">
        <v>1006</v>
      </c>
      <c r="AV15" s="9">
        <f t="shared" si="3"/>
        <v>21</v>
      </c>
      <c r="AW15" s="16">
        <f t="shared" si="4"/>
        <v>3</v>
      </c>
      <c r="AX15" s="16">
        <f t="shared" si="5"/>
        <v>2</v>
      </c>
      <c r="AY15" s="16">
        <f t="shared" si="6"/>
        <v>5</v>
      </c>
      <c r="AZ15" s="16">
        <f t="shared" si="7"/>
        <v>31</v>
      </c>
      <c r="BA15" s="16">
        <f>MarchReport[[#This Row],[Days]]-MarchReport[[#This Row],[Absent]]</f>
        <v>28</v>
      </c>
      <c r="BB15" s="19">
        <v>13000</v>
      </c>
      <c r="BC15" s="20">
        <f>MarchReport[[#This Row],[Salary ]]/MarchReport[[#This Row],[Days]]</f>
        <v>419.35483870967744</v>
      </c>
      <c r="BD15" s="20">
        <f>MarchReport[[#This Row],[Per Day Salary ]]*MarchReport[[#This Row],[Absent]]</f>
        <v>1258.0645161290322</v>
      </c>
      <c r="BE15" s="20">
        <f>MarchReport[[#This Row],[Salary ]]-MarchReport[[#This Row],[Deduction]]</f>
        <v>11741.935483870968</v>
      </c>
      <c r="BF15" s="20"/>
      <c r="BG15" s="24"/>
      <c r="BH15" s="22"/>
      <c r="BI15" s="22"/>
      <c r="BJ15" s="22"/>
      <c r="BK15" s="22"/>
      <c r="BL15" s="22"/>
      <c r="BM15" s="22"/>
      <c r="BN15" s="22"/>
    </row>
    <row r="16" spans="6:67" x14ac:dyDescent="0.25">
      <c r="F16" s="21"/>
      <c r="G16" s="8">
        <v>7</v>
      </c>
      <c r="H16" s="10" t="s">
        <v>9</v>
      </c>
      <c r="I16" s="10">
        <v>1007</v>
      </c>
      <c r="J16" s="47">
        <f t="shared" si="8"/>
        <v>5</v>
      </c>
      <c r="K16" s="10" t="s">
        <v>38</v>
      </c>
      <c r="L16" s="44" t="str">
        <f t="shared" si="9"/>
        <v>WO</v>
      </c>
      <c r="M16" s="10" t="s">
        <v>38</v>
      </c>
      <c r="N16" s="10" t="s">
        <v>38</v>
      </c>
      <c r="O16" s="10" t="s">
        <v>39</v>
      </c>
      <c r="P16" s="10" t="s">
        <v>38</v>
      </c>
      <c r="Q16" s="10" t="s">
        <v>38</v>
      </c>
      <c r="R16" s="10" t="s">
        <v>38</v>
      </c>
      <c r="S16" s="44" t="str">
        <f t="shared" si="10"/>
        <v>WO</v>
      </c>
      <c r="T16" s="10" t="s">
        <v>38</v>
      </c>
      <c r="U16" s="10" t="s">
        <v>39</v>
      </c>
      <c r="V16" s="10" t="s">
        <v>38</v>
      </c>
      <c r="W16" s="10" t="s">
        <v>38</v>
      </c>
      <c r="X16" s="10" t="s">
        <v>38</v>
      </c>
      <c r="Y16" s="10" t="s">
        <v>38</v>
      </c>
      <c r="Z16" s="44" t="str">
        <f t="shared" si="11"/>
        <v>WO</v>
      </c>
      <c r="AA16" s="10" t="s">
        <v>38</v>
      </c>
      <c r="AB16" s="10" t="s">
        <v>38</v>
      </c>
      <c r="AC16" s="10" t="s">
        <v>39</v>
      </c>
      <c r="AD16" s="10" t="s">
        <v>38</v>
      </c>
      <c r="AE16" s="10" t="s">
        <v>38</v>
      </c>
      <c r="AF16" s="10" t="s">
        <v>38</v>
      </c>
      <c r="AG16" s="44" t="str">
        <f t="shared" si="12"/>
        <v>WO</v>
      </c>
      <c r="AH16" s="10" t="s">
        <v>38</v>
      </c>
      <c r="AI16" s="10" t="s">
        <v>39</v>
      </c>
      <c r="AJ16" s="10" t="s">
        <v>38</v>
      </c>
      <c r="AK16" s="10" t="s">
        <v>38</v>
      </c>
      <c r="AL16" s="10" t="s">
        <v>38</v>
      </c>
      <c r="AM16" s="10" t="s">
        <v>38</v>
      </c>
      <c r="AN16" s="44" t="str">
        <f t="shared" si="13"/>
        <v>WO</v>
      </c>
      <c r="AO16" s="64" t="s">
        <v>38</v>
      </c>
      <c r="AP16" s="21"/>
      <c r="AQ16" s="24"/>
      <c r="AR16" s="10">
        <v>7</v>
      </c>
      <c r="AS16" s="10" t="s">
        <v>9</v>
      </c>
      <c r="AT16" s="10" t="str">
        <f t="shared" si="2"/>
        <v>March</v>
      </c>
      <c r="AU16" s="10">
        <v>1007</v>
      </c>
      <c r="AV16" s="9">
        <f t="shared" si="3"/>
        <v>22</v>
      </c>
      <c r="AW16" s="16">
        <f t="shared" si="4"/>
        <v>4</v>
      </c>
      <c r="AX16" s="16">
        <f t="shared" si="5"/>
        <v>0</v>
      </c>
      <c r="AY16" s="16">
        <f t="shared" si="6"/>
        <v>5</v>
      </c>
      <c r="AZ16" s="16">
        <f t="shared" si="7"/>
        <v>31</v>
      </c>
      <c r="BA16" s="16">
        <f>MarchReport[[#This Row],[Days]]-MarchReport[[#This Row],[Absent]]</f>
        <v>27</v>
      </c>
      <c r="BB16" s="19">
        <v>48000</v>
      </c>
      <c r="BC16" s="20">
        <f>MarchReport[[#This Row],[Salary ]]/MarchReport[[#This Row],[Days]]</f>
        <v>1548.3870967741937</v>
      </c>
      <c r="BD16" s="20">
        <f>MarchReport[[#This Row],[Per Day Salary ]]*MarchReport[[#This Row],[Absent]]</f>
        <v>6193.5483870967746</v>
      </c>
      <c r="BE16" s="20">
        <f>MarchReport[[#This Row],[Salary ]]-MarchReport[[#This Row],[Deduction]]</f>
        <v>41806.451612903227</v>
      </c>
      <c r="BF16" s="20"/>
      <c r="BG16" s="24"/>
      <c r="BH16" s="22"/>
      <c r="BI16" s="22"/>
      <c r="BJ16" s="22"/>
      <c r="BK16" s="22"/>
      <c r="BL16" s="22"/>
      <c r="BM16" s="22"/>
      <c r="BN16" s="22"/>
    </row>
    <row r="17" spans="6:66" x14ac:dyDescent="0.25">
      <c r="F17" s="21"/>
      <c r="G17" s="8">
        <v>8</v>
      </c>
      <c r="H17" s="10" t="s">
        <v>10</v>
      </c>
      <c r="I17" s="10">
        <v>1008</v>
      </c>
      <c r="J17" s="47">
        <f t="shared" si="8"/>
        <v>5</v>
      </c>
      <c r="K17" s="10" t="s">
        <v>38</v>
      </c>
      <c r="L17" s="44" t="str">
        <f t="shared" si="9"/>
        <v>WO</v>
      </c>
      <c r="M17" s="10" t="s">
        <v>38</v>
      </c>
      <c r="N17" s="10" t="s">
        <v>38</v>
      </c>
      <c r="O17" s="10" t="s">
        <v>38</v>
      </c>
      <c r="P17" s="10" t="s">
        <v>39</v>
      </c>
      <c r="Q17" s="10" t="s">
        <v>38</v>
      </c>
      <c r="R17" s="10" t="s">
        <v>38</v>
      </c>
      <c r="S17" s="44" t="str">
        <f t="shared" si="10"/>
        <v>WO</v>
      </c>
      <c r="T17" s="10" t="s">
        <v>38</v>
      </c>
      <c r="U17" s="10" t="s">
        <v>38</v>
      </c>
      <c r="V17" s="10" t="s">
        <v>38</v>
      </c>
      <c r="W17" s="10" t="s">
        <v>38</v>
      </c>
      <c r="X17" s="10" t="s">
        <v>39</v>
      </c>
      <c r="Y17" s="10" t="s">
        <v>38</v>
      </c>
      <c r="Z17" s="44" t="str">
        <f t="shared" si="11"/>
        <v>WO</v>
      </c>
      <c r="AA17" s="10" t="s">
        <v>38</v>
      </c>
      <c r="AB17" s="10" t="s">
        <v>38</v>
      </c>
      <c r="AC17" s="10" t="s">
        <v>38</v>
      </c>
      <c r="AD17" s="10" t="s">
        <v>39</v>
      </c>
      <c r="AE17" s="10" t="s">
        <v>38</v>
      </c>
      <c r="AF17" s="10" t="s">
        <v>38</v>
      </c>
      <c r="AG17" s="44" t="str">
        <f t="shared" si="12"/>
        <v>WO</v>
      </c>
      <c r="AH17" s="10" t="s">
        <v>38</v>
      </c>
      <c r="AI17" s="10" t="s">
        <v>38</v>
      </c>
      <c r="AJ17" s="10" t="s">
        <v>38</v>
      </c>
      <c r="AK17" s="10" t="s">
        <v>38</v>
      </c>
      <c r="AL17" s="10" t="s">
        <v>39</v>
      </c>
      <c r="AM17" s="10" t="s">
        <v>38</v>
      </c>
      <c r="AN17" s="44" t="str">
        <f t="shared" si="13"/>
        <v>WO</v>
      </c>
      <c r="AO17" s="64" t="s">
        <v>38</v>
      </c>
      <c r="AP17" s="21"/>
      <c r="AQ17" s="24"/>
      <c r="AR17" s="10">
        <v>8</v>
      </c>
      <c r="AS17" s="10" t="s">
        <v>10</v>
      </c>
      <c r="AT17" s="10" t="str">
        <f t="shared" si="2"/>
        <v>March</v>
      </c>
      <c r="AU17" s="10">
        <v>1008</v>
      </c>
      <c r="AV17" s="9">
        <f t="shared" si="3"/>
        <v>22</v>
      </c>
      <c r="AW17" s="16">
        <f t="shared" si="4"/>
        <v>4</v>
      </c>
      <c r="AX17" s="16">
        <f t="shared" si="5"/>
        <v>0</v>
      </c>
      <c r="AY17" s="16">
        <f t="shared" si="6"/>
        <v>5</v>
      </c>
      <c r="AZ17" s="16">
        <f t="shared" si="7"/>
        <v>31</v>
      </c>
      <c r="BA17" s="16">
        <f>MarchReport[[#This Row],[Days]]-MarchReport[[#This Row],[Absent]]</f>
        <v>27</v>
      </c>
      <c r="BB17" s="19">
        <v>17000</v>
      </c>
      <c r="BC17" s="20">
        <f>MarchReport[[#This Row],[Salary ]]/MarchReport[[#This Row],[Days]]</f>
        <v>548.38709677419354</v>
      </c>
      <c r="BD17" s="20">
        <f>MarchReport[[#This Row],[Per Day Salary ]]*MarchReport[[#This Row],[Absent]]</f>
        <v>2193.5483870967741</v>
      </c>
      <c r="BE17" s="20">
        <f>MarchReport[[#This Row],[Salary ]]-MarchReport[[#This Row],[Deduction]]</f>
        <v>14806.451612903225</v>
      </c>
      <c r="BF17" s="20"/>
      <c r="BG17" s="24"/>
      <c r="BH17" s="22"/>
      <c r="BI17" s="22"/>
      <c r="BJ17" s="22"/>
      <c r="BK17" s="22"/>
      <c r="BL17" s="22"/>
      <c r="BM17" s="22"/>
      <c r="BN17" s="22"/>
    </row>
    <row r="18" spans="6:66" x14ac:dyDescent="0.25">
      <c r="F18" s="21"/>
      <c r="G18" s="8">
        <v>9</v>
      </c>
      <c r="H18" s="10" t="s">
        <v>11</v>
      </c>
      <c r="I18" s="10">
        <v>1009</v>
      </c>
      <c r="J18" s="47">
        <f t="shared" si="8"/>
        <v>5</v>
      </c>
      <c r="K18" s="10" t="s">
        <v>40</v>
      </c>
      <c r="L18" s="44" t="str">
        <f t="shared" si="9"/>
        <v>WO</v>
      </c>
      <c r="M18" s="10" t="s">
        <v>39</v>
      </c>
      <c r="N18" s="10" t="s">
        <v>38</v>
      </c>
      <c r="O18" s="10" t="s">
        <v>38</v>
      </c>
      <c r="P18" s="10" t="s">
        <v>38</v>
      </c>
      <c r="Q18" s="10" t="s">
        <v>38</v>
      </c>
      <c r="R18" s="10" t="s">
        <v>38</v>
      </c>
      <c r="S18" s="44" t="str">
        <f t="shared" si="10"/>
        <v>WO</v>
      </c>
      <c r="T18" s="10" t="s">
        <v>38</v>
      </c>
      <c r="U18" s="10" t="s">
        <v>38</v>
      </c>
      <c r="V18" s="10" t="s">
        <v>38</v>
      </c>
      <c r="W18" s="10" t="s">
        <v>38</v>
      </c>
      <c r="X18" s="10" t="s">
        <v>38</v>
      </c>
      <c r="Y18" s="10" t="s">
        <v>38</v>
      </c>
      <c r="Z18" s="44" t="str">
        <f t="shared" si="11"/>
        <v>WO</v>
      </c>
      <c r="AA18" s="10" t="s">
        <v>39</v>
      </c>
      <c r="AB18" s="10" t="s">
        <v>38</v>
      </c>
      <c r="AC18" s="10" t="s">
        <v>38</v>
      </c>
      <c r="AD18" s="10" t="s">
        <v>38</v>
      </c>
      <c r="AE18" s="10" t="s">
        <v>38</v>
      </c>
      <c r="AF18" s="10" t="s">
        <v>38</v>
      </c>
      <c r="AG18" s="44" t="str">
        <f t="shared" si="12"/>
        <v>WO</v>
      </c>
      <c r="AH18" s="10" t="s">
        <v>38</v>
      </c>
      <c r="AI18" s="10" t="s">
        <v>38</v>
      </c>
      <c r="AJ18" s="10" t="s">
        <v>38</v>
      </c>
      <c r="AK18" s="10" t="s">
        <v>38</v>
      </c>
      <c r="AL18" s="10" t="s">
        <v>38</v>
      </c>
      <c r="AM18" s="10" t="s">
        <v>38</v>
      </c>
      <c r="AN18" s="44" t="str">
        <f t="shared" si="13"/>
        <v>WO</v>
      </c>
      <c r="AO18" s="64" t="s">
        <v>38</v>
      </c>
      <c r="AP18" s="21"/>
      <c r="AQ18" s="24"/>
      <c r="AR18" s="10">
        <v>9</v>
      </c>
      <c r="AS18" s="10" t="s">
        <v>11</v>
      </c>
      <c r="AT18" s="10" t="str">
        <f t="shared" si="2"/>
        <v>March</v>
      </c>
      <c r="AU18" s="10">
        <v>1009</v>
      </c>
      <c r="AV18" s="9">
        <f t="shared" si="3"/>
        <v>23</v>
      </c>
      <c r="AW18" s="16">
        <f t="shared" si="4"/>
        <v>2</v>
      </c>
      <c r="AX18" s="16">
        <f t="shared" si="5"/>
        <v>1</v>
      </c>
      <c r="AY18" s="16">
        <f t="shared" si="6"/>
        <v>5</v>
      </c>
      <c r="AZ18" s="16">
        <f t="shared" si="7"/>
        <v>31</v>
      </c>
      <c r="BA18" s="16">
        <f>MarchReport[[#This Row],[Days]]-MarchReport[[#This Row],[Absent]]</f>
        <v>29</v>
      </c>
      <c r="BB18" s="19">
        <v>39000</v>
      </c>
      <c r="BC18" s="20">
        <f>MarchReport[[#This Row],[Salary ]]/MarchReport[[#This Row],[Days]]</f>
        <v>1258.0645161290322</v>
      </c>
      <c r="BD18" s="20">
        <f>MarchReport[[#This Row],[Per Day Salary ]]*MarchReport[[#This Row],[Absent]]</f>
        <v>2516.1290322580644</v>
      </c>
      <c r="BE18" s="20">
        <f>MarchReport[[#This Row],[Salary ]]-MarchReport[[#This Row],[Deduction]]</f>
        <v>36483.870967741939</v>
      </c>
      <c r="BF18" s="20"/>
      <c r="BG18" s="24"/>
      <c r="BH18" s="22"/>
      <c r="BI18" s="22"/>
      <c r="BJ18" s="22"/>
      <c r="BK18" s="22"/>
      <c r="BL18" s="22"/>
      <c r="BM18" s="22"/>
      <c r="BN18" s="22"/>
    </row>
    <row r="19" spans="6:66" x14ac:dyDescent="0.25">
      <c r="F19" s="21"/>
      <c r="G19" s="8">
        <v>10</v>
      </c>
      <c r="H19" s="10" t="s">
        <v>3</v>
      </c>
      <c r="I19" s="10">
        <v>1010</v>
      </c>
      <c r="J19" s="47">
        <f t="shared" si="8"/>
        <v>5</v>
      </c>
      <c r="K19" s="10" t="s">
        <v>38</v>
      </c>
      <c r="L19" s="44" t="str">
        <f t="shared" si="9"/>
        <v>WO</v>
      </c>
      <c r="M19" s="10" t="s">
        <v>40</v>
      </c>
      <c r="N19" s="10" t="s">
        <v>38</v>
      </c>
      <c r="O19" s="10" t="s">
        <v>38</v>
      </c>
      <c r="P19" s="10" t="s">
        <v>40</v>
      </c>
      <c r="Q19" s="10" t="s">
        <v>38</v>
      </c>
      <c r="R19" s="10" t="s">
        <v>38</v>
      </c>
      <c r="S19" s="44" t="str">
        <f t="shared" si="10"/>
        <v>WO</v>
      </c>
      <c r="T19" s="10" t="s">
        <v>39</v>
      </c>
      <c r="U19" s="10" t="s">
        <v>38</v>
      </c>
      <c r="V19" s="10" t="s">
        <v>38</v>
      </c>
      <c r="W19" s="10" t="s">
        <v>38</v>
      </c>
      <c r="X19" s="10" t="s">
        <v>38</v>
      </c>
      <c r="Y19" s="10" t="s">
        <v>38</v>
      </c>
      <c r="Z19" s="44" t="str">
        <f t="shared" si="11"/>
        <v>WO</v>
      </c>
      <c r="AA19" s="10" t="s">
        <v>40</v>
      </c>
      <c r="AB19" s="10" t="s">
        <v>38</v>
      </c>
      <c r="AC19" s="10" t="s">
        <v>38</v>
      </c>
      <c r="AD19" s="10" t="s">
        <v>40</v>
      </c>
      <c r="AE19" s="10" t="s">
        <v>38</v>
      </c>
      <c r="AF19" s="10" t="s">
        <v>38</v>
      </c>
      <c r="AG19" s="44" t="str">
        <f t="shared" si="12"/>
        <v>WO</v>
      </c>
      <c r="AH19" s="10" t="s">
        <v>39</v>
      </c>
      <c r="AI19" s="10" t="s">
        <v>38</v>
      </c>
      <c r="AJ19" s="10" t="s">
        <v>38</v>
      </c>
      <c r="AK19" s="10" t="s">
        <v>38</v>
      </c>
      <c r="AL19" s="10" t="s">
        <v>38</v>
      </c>
      <c r="AM19" s="10" t="s">
        <v>38</v>
      </c>
      <c r="AN19" s="44" t="str">
        <f t="shared" si="13"/>
        <v>WO</v>
      </c>
      <c r="AO19" s="64" t="s">
        <v>40</v>
      </c>
      <c r="AP19" s="21"/>
      <c r="AQ19" s="24"/>
      <c r="AR19" s="10">
        <v>10</v>
      </c>
      <c r="AS19" s="10" t="s">
        <v>3</v>
      </c>
      <c r="AT19" s="10" t="str">
        <f t="shared" si="2"/>
        <v>March</v>
      </c>
      <c r="AU19" s="10">
        <v>1010</v>
      </c>
      <c r="AV19" s="9">
        <f t="shared" si="3"/>
        <v>19</v>
      </c>
      <c r="AW19" s="16">
        <f t="shared" si="4"/>
        <v>2</v>
      </c>
      <c r="AX19" s="16">
        <f t="shared" si="5"/>
        <v>5</v>
      </c>
      <c r="AY19" s="16">
        <f t="shared" si="6"/>
        <v>5</v>
      </c>
      <c r="AZ19" s="16">
        <f t="shared" si="7"/>
        <v>31</v>
      </c>
      <c r="BA19" s="16">
        <f>MarchReport[[#This Row],[Days]]-MarchReport[[#This Row],[Absent]]</f>
        <v>29</v>
      </c>
      <c r="BB19" s="19">
        <v>72000</v>
      </c>
      <c r="BC19" s="20">
        <f>MarchReport[[#This Row],[Salary ]]/MarchReport[[#This Row],[Days]]</f>
        <v>2322.5806451612902</v>
      </c>
      <c r="BD19" s="20">
        <f>MarchReport[[#This Row],[Per Day Salary ]]*MarchReport[[#This Row],[Absent]]</f>
        <v>4645.1612903225805</v>
      </c>
      <c r="BE19" s="20">
        <f>MarchReport[[#This Row],[Salary ]]-MarchReport[[#This Row],[Deduction]]</f>
        <v>67354.838709677424</v>
      </c>
      <c r="BF19" s="20"/>
      <c r="BG19" s="24"/>
      <c r="BH19" s="22"/>
      <c r="BI19" s="22"/>
      <c r="BJ19" s="22"/>
      <c r="BK19" s="22"/>
      <c r="BL19" s="22"/>
      <c r="BM19" s="22"/>
      <c r="BN19" s="22"/>
    </row>
    <row r="20" spans="6:66" x14ac:dyDescent="0.25">
      <c r="F20" s="21"/>
      <c r="G20" s="8">
        <v>11</v>
      </c>
      <c r="H20" s="9" t="s">
        <v>12</v>
      </c>
      <c r="I20" s="10">
        <v>1011</v>
      </c>
      <c r="J20" s="47">
        <f t="shared" si="8"/>
        <v>5</v>
      </c>
      <c r="K20" s="10" t="s">
        <v>38</v>
      </c>
      <c r="L20" s="44" t="str">
        <f t="shared" si="9"/>
        <v>WO</v>
      </c>
      <c r="M20" s="10" t="s">
        <v>38</v>
      </c>
      <c r="N20" s="10" t="s">
        <v>38</v>
      </c>
      <c r="O20" s="10" t="s">
        <v>38</v>
      </c>
      <c r="P20" s="10" t="s">
        <v>38</v>
      </c>
      <c r="Q20" s="10" t="s">
        <v>39</v>
      </c>
      <c r="R20" s="10" t="s">
        <v>38</v>
      </c>
      <c r="S20" s="44" t="str">
        <f t="shared" si="10"/>
        <v>WO</v>
      </c>
      <c r="T20" s="10" t="s">
        <v>38</v>
      </c>
      <c r="U20" s="10" t="s">
        <v>38</v>
      </c>
      <c r="V20" s="10" t="s">
        <v>38</v>
      </c>
      <c r="W20" s="10" t="s">
        <v>38</v>
      </c>
      <c r="X20" s="10" t="s">
        <v>38</v>
      </c>
      <c r="Y20" s="10" t="s">
        <v>38</v>
      </c>
      <c r="Z20" s="44" t="str">
        <f t="shared" si="11"/>
        <v>WO</v>
      </c>
      <c r="AA20" s="10" t="s">
        <v>38</v>
      </c>
      <c r="AB20" s="10" t="s">
        <v>38</v>
      </c>
      <c r="AC20" s="10" t="s">
        <v>38</v>
      </c>
      <c r="AD20" s="10" t="s">
        <v>38</v>
      </c>
      <c r="AE20" s="10" t="s">
        <v>39</v>
      </c>
      <c r="AF20" s="10" t="s">
        <v>38</v>
      </c>
      <c r="AG20" s="44" t="str">
        <f t="shared" si="12"/>
        <v>WO</v>
      </c>
      <c r="AH20" s="10" t="s">
        <v>38</v>
      </c>
      <c r="AI20" s="10" t="s">
        <v>38</v>
      </c>
      <c r="AJ20" s="10" t="s">
        <v>38</v>
      </c>
      <c r="AK20" s="10" t="s">
        <v>38</v>
      </c>
      <c r="AL20" s="10" t="s">
        <v>38</v>
      </c>
      <c r="AM20" s="10" t="s">
        <v>38</v>
      </c>
      <c r="AN20" s="44" t="str">
        <f t="shared" si="13"/>
        <v>WO</v>
      </c>
      <c r="AO20" s="64" t="s">
        <v>38</v>
      </c>
      <c r="AP20" s="21"/>
      <c r="AQ20" s="24"/>
      <c r="AR20" s="10">
        <v>11</v>
      </c>
      <c r="AS20" s="9" t="s">
        <v>12</v>
      </c>
      <c r="AT20" s="9" t="str">
        <f t="shared" si="2"/>
        <v>March</v>
      </c>
      <c r="AU20" s="10">
        <v>1011</v>
      </c>
      <c r="AV20" s="9">
        <f t="shared" si="3"/>
        <v>24</v>
      </c>
      <c r="AW20" s="16">
        <f t="shared" si="4"/>
        <v>2</v>
      </c>
      <c r="AX20" s="16">
        <f t="shared" si="5"/>
        <v>0</v>
      </c>
      <c r="AY20" s="16">
        <f t="shared" si="6"/>
        <v>5</v>
      </c>
      <c r="AZ20" s="16">
        <f t="shared" si="7"/>
        <v>31</v>
      </c>
      <c r="BA20" s="16">
        <f>MarchReport[[#This Row],[Days]]-MarchReport[[#This Row],[Absent]]</f>
        <v>29</v>
      </c>
      <c r="BB20" s="19">
        <v>13000</v>
      </c>
      <c r="BC20" s="20">
        <f>MarchReport[[#This Row],[Salary ]]/MarchReport[[#This Row],[Days]]</f>
        <v>419.35483870967744</v>
      </c>
      <c r="BD20" s="20">
        <f>MarchReport[[#This Row],[Per Day Salary ]]*MarchReport[[#This Row],[Absent]]</f>
        <v>838.70967741935488</v>
      </c>
      <c r="BE20" s="20">
        <f>MarchReport[[#This Row],[Salary ]]-MarchReport[[#This Row],[Deduction]]</f>
        <v>12161.290322580646</v>
      </c>
      <c r="BF20" s="20"/>
      <c r="BG20" s="24"/>
      <c r="BH20" s="22"/>
      <c r="BI20" s="22"/>
      <c r="BJ20" s="22"/>
      <c r="BK20" s="22"/>
      <c r="BL20" s="22"/>
      <c r="BM20" s="22"/>
      <c r="BN20" s="22"/>
    </row>
    <row r="21" spans="6:66" x14ac:dyDescent="0.25">
      <c r="F21" s="21"/>
      <c r="G21" s="8">
        <v>12</v>
      </c>
      <c r="H21" s="10" t="s">
        <v>13</v>
      </c>
      <c r="I21" s="10">
        <v>1012</v>
      </c>
      <c r="J21" s="47">
        <f t="shared" si="8"/>
        <v>5</v>
      </c>
      <c r="K21" s="10" t="s">
        <v>38</v>
      </c>
      <c r="L21" s="44" t="str">
        <f t="shared" si="9"/>
        <v>WO</v>
      </c>
      <c r="M21" s="10" t="s">
        <v>38</v>
      </c>
      <c r="N21" s="10" t="s">
        <v>40</v>
      </c>
      <c r="O21" s="10" t="s">
        <v>38</v>
      </c>
      <c r="P21" s="10" t="s">
        <v>38</v>
      </c>
      <c r="Q21" s="10" t="s">
        <v>38</v>
      </c>
      <c r="R21" s="10" t="s">
        <v>38</v>
      </c>
      <c r="S21" s="44" t="str">
        <f t="shared" si="10"/>
        <v>WO</v>
      </c>
      <c r="T21" s="10" t="s">
        <v>38</v>
      </c>
      <c r="U21" s="10" t="s">
        <v>38</v>
      </c>
      <c r="V21" s="10" t="s">
        <v>38</v>
      </c>
      <c r="W21" s="10" t="s">
        <v>38</v>
      </c>
      <c r="X21" s="10" t="s">
        <v>38</v>
      </c>
      <c r="Y21" s="10" t="s">
        <v>38</v>
      </c>
      <c r="Z21" s="44" t="str">
        <f t="shared" si="11"/>
        <v>WO</v>
      </c>
      <c r="AA21" s="10" t="s">
        <v>38</v>
      </c>
      <c r="AB21" s="10" t="s">
        <v>40</v>
      </c>
      <c r="AC21" s="10" t="s">
        <v>38</v>
      </c>
      <c r="AD21" s="10" t="s">
        <v>38</v>
      </c>
      <c r="AE21" s="10" t="s">
        <v>38</v>
      </c>
      <c r="AF21" s="10" t="s">
        <v>38</v>
      </c>
      <c r="AG21" s="44" t="str">
        <f t="shared" si="12"/>
        <v>WO</v>
      </c>
      <c r="AH21" s="10" t="s">
        <v>38</v>
      </c>
      <c r="AI21" s="10" t="s">
        <v>38</v>
      </c>
      <c r="AJ21" s="10" t="s">
        <v>38</v>
      </c>
      <c r="AK21" s="10" t="s">
        <v>38</v>
      </c>
      <c r="AL21" s="10" t="s">
        <v>38</v>
      </c>
      <c r="AM21" s="10" t="s">
        <v>38</v>
      </c>
      <c r="AN21" s="44" t="str">
        <f t="shared" si="13"/>
        <v>WO</v>
      </c>
      <c r="AO21" s="64" t="s">
        <v>38</v>
      </c>
      <c r="AP21" s="21"/>
      <c r="AQ21" s="24"/>
      <c r="AR21" s="10">
        <v>12</v>
      </c>
      <c r="AS21" s="10" t="s">
        <v>13</v>
      </c>
      <c r="AT21" s="10" t="str">
        <f t="shared" si="2"/>
        <v>March</v>
      </c>
      <c r="AU21" s="10">
        <v>1012</v>
      </c>
      <c r="AV21" s="9">
        <f t="shared" si="3"/>
        <v>24</v>
      </c>
      <c r="AW21" s="16">
        <f t="shared" si="4"/>
        <v>0</v>
      </c>
      <c r="AX21" s="16">
        <f t="shared" si="5"/>
        <v>2</v>
      </c>
      <c r="AY21" s="16">
        <f t="shared" si="6"/>
        <v>5</v>
      </c>
      <c r="AZ21" s="16">
        <f t="shared" si="7"/>
        <v>31</v>
      </c>
      <c r="BA21" s="16">
        <f>MarchReport[[#This Row],[Days]]-MarchReport[[#This Row],[Absent]]</f>
        <v>31</v>
      </c>
      <c r="BB21" s="19">
        <v>22000</v>
      </c>
      <c r="BC21" s="20">
        <f>MarchReport[[#This Row],[Salary ]]/MarchReport[[#This Row],[Days]]</f>
        <v>709.67741935483866</v>
      </c>
      <c r="BD21" s="20">
        <f>MarchReport[[#This Row],[Per Day Salary ]]*MarchReport[[#This Row],[Absent]]</f>
        <v>0</v>
      </c>
      <c r="BE21" s="20">
        <f>MarchReport[[#This Row],[Salary ]]-MarchReport[[#This Row],[Deduction]]</f>
        <v>22000</v>
      </c>
      <c r="BF21" s="20"/>
      <c r="BG21" s="24"/>
      <c r="BH21" s="22"/>
      <c r="BI21" s="22"/>
      <c r="BJ21" s="22"/>
      <c r="BK21" s="22"/>
      <c r="BL21" s="22"/>
      <c r="BM21" s="22"/>
      <c r="BN21" s="22"/>
    </row>
    <row r="22" spans="6:66" x14ac:dyDescent="0.25">
      <c r="F22" s="21"/>
      <c r="G22" s="8">
        <v>13</v>
      </c>
      <c r="H22" s="10" t="s">
        <v>14</v>
      </c>
      <c r="I22" s="10">
        <v>1013</v>
      </c>
      <c r="J22" s="47">
        <f t="shared" si="8"/>
        <v>5</v>
      </c>
      <c r="K22" s="10" t="s">
        <v>40</v>
      </c>
      <c r="L22" s="44" t="str">
        <f t="shared" si="9"/>
        <v>WO</v>
      </c>
      <c r="M22" s="10" t="s">
        <v>38</v>
      </c>
      <c r="N22" s="10" t="s">
        <v>38</v>
      </c>
      <c r="O22" s="10" t="s">
        <v>40</v>
      </c>
      <c r="P22" s="10" t="s">
        <v>38</v>
      </c>
      <c r="Q22" s="10" t="s">
        <v>38</v>
      </c>
      <c r="R22" s="10" t="s">
        <v>38</v>
      </c>
      <c r="S22" s="44" t="str">
        <f t="shared" si="10"/>
        <v>WO</v>
      </c>
      <c r="T22" s="10" t="s">
        <v>38</v>
      </c>
      <c r="U22" s="10" t="s">
        <v>38</v>
      </c>
      <c r="V22" s="10" t="s">
        <v>38</v>
      </c>
      <c r="W22" s="10" t="s">
        <v>38</v>
      </c>
      <c r="X22" s="10" t="s">
        <v>38</v>
      </c>
      <c r="Y22" s="10" t="s">
        <v>38</v>
      </c>
      <c r="Z22" s="44" t="str">
        <f t="shared" si="11"/>
        <v>WO</v>
      </c>
      <c r="AA22" s="10" t="s">
        <v>38</v>
      </c>
      <c r="AB22" s="10" t="s">
        <v>38</v>
      </c>
      <c r="AC22" s="10" t="s">
        <v>40</v>
      </c>
      <c r="AD22" s="10" t="s">
        <v>38</v>
      </c>
      <c r="AE22" s="10" t="s">
        <v>38</v>
      </c>
      <c r="AF22" s="10" t="s">
        <v>38</v>
      </c>
      <c r="AG22" s="44" t="str">
        <f t="shared" si="12"/>
        <v>WO</v>
      </c>
      <c r="AH22" s="10" t="s">
        <v>38</v>
      </c>
      <c r="AI22" s="10" t="s">
        <v>38</v>
      </c>
      <c r="AJ22" s="10" t="s">
        <v>38</v>
      </c>
      <c r="AK22" s="10" t="s">
        <v>38</v>
      </c>
      <c r="AL22" s="10" t="s">
        <v>38</v>
      </c>
      <c r="AM22" s="10" t="s">
        <v>38</v>
      </c>
      <c r="AN22" s="44" t="str">
        <f t="shared" si="13"/>
        <v>WO</v>
      </c>
      <c r="AO22" s="64" t="s">
        <v>38</v>
      </c>
      <c r="AP22" s="21"/>
      <c r="AQ22" s="24"/>
      <c r="AR22" s="10">
        <v>13</v>
      </c>
      <c r="AS22" s="10" t="s">
        <v>14</v>
      </c>
      <c r="AT22" s="10" t="str">
        <f t="shared" si="2"/>
        <v>March</v>
      </c>
      <c r="AU22" s="10">
        <v>1013</v>
      </c>
      <c r="AV22" s="9">
        <f t="shared" si="3"/>
        <v>23</v>
      </c>
      <c r="AW22" s="16">
        <f t="shared" si="4"/>
        <v>0</v>
      </c>
      <c r="AX22" s="16">
        <f t="shared" si="5"/>
        <v>3</v>
      </c>
      <c r="AY22" s="16">
        <f t="shared" si="6"/>
        <v>5</v>
      </c>
      <c r="AZ22" s="16">
        <f t="shared" si="7"/>
        <v>31</v>
      </c>
      <c r="BA22" s="16">
        <f>MarchReport[[#This Row],[Days]]-MarchReport[[#This Row],[Absent]]</f>
        <v>31</v>
      </c>
      <c r="BB22" s="19">
        <v>35000</v>
      </c>
      <c r="BC22" s="20">
        <f>MarchReport[[#This Row],[Salary ]]/MarchReport[[#This Row],[Days]]</f>
        <v>1129.0322580645161</v>
      </c>
      <c r="BD22" s="20">
        <f>MarchReport[[#This Row],[Per Day Salary ]]*MarchReport[[#This Row],[Absent]]</f>
        <v>0</v>
      </c>
      <c r="BE22" s="20">
        <f>MarchReport[[#This Row],[Salary ]]-MarchReport[[#This Row],[Deduction]]</f>
        <v>35000</v>
      </c>
      <c r="BF22" s="20"/>
      <c r="BG22" s="24"/>
      <c r="BH22" s="22"/>
      <c r="BI22" s="22"/>
      <c r="BJ22" s="22"/>
      <c r="BK22" s="22"/>
      <c r="BL22" s="22"/>
      <c r="BM22" s="22"/>
      <c r="BN22" s="22"/>
    </row>
    <row r="23" spans="6:66" x14ac:dyDescent="0.25">
      <c r="F23" s="21"/>
      <c r="G23" s="8">
        <v>14</v>
      </c>
      <c r="H23" s="10" t="s">
        <v>15</v>
      </c>
      <c r="I23" s="10">
        <v>1014</v>
      </c>
      <c r="J23" s="47">
        <f t="shared" si="8"/>
        <v>5</v>
      </c>
      <c r="K23" s="10" t="s">
        <v>38</v>
      </c>
      <c r="L23" s="44" t="str">
        <f t="shared" si="9"/>
        <v>WO</v>
      </c>
      <c r="M23" s="10" t="s">
        <v>38</v>
      </c>
      <c r="N23" s="10" t="s">
        <v>38</v>
      </c>
      <c r="O23" s="10" t="s">
        <v>38</v>
      </c>
      <c r="P23" s="10" t="s">
        <v>38</v>
      </c>
      <c r="Q23" s="10" t="s">
        <v>38</v>
      </c>
      <c r="R23" s="10" t="s">
        <v>39</v>
      </c>
      <c r="S23" s="44" t="str">
        <f t="shared" si="10"/>
        <v>WO</v>
      </c>
      <c r="T23" s="10" t="s">
        <v>40</v>
      </c>
      <c r="U23" s="10" t="s">
        <v>38</v>
      </c>
      <c r="V23" s="10" t="s">
        <v>38</v>
      </c>
      <c r="W23" s="10" t="s">
        <v>39</v>
      </c>
      <c r="X23" s="10" t="s">
        <v>38</v>
      </c>
      <c r="Y23" s="10" t="s">
        <v>38</v>
      </c>
      <c r="Z23" s="44" t="str">
        <f t="shared" si="11"/>
        <v>WO</v>
      </c>
      <c r="AA23" s="10" t="s">
        <v>38</v>
      </c>
      <c r="AB23" s="10" t="s">
        <v>38</v>
      </c>
      <c r="AC23" s="10" t="s">
        <v>38</v>
      </c>
      <c r="AD23" s="10" t="s">
        <v>38</v>
      </c>
      <c r="AE23" s="10" t="s">
        <v>38</v>
      </c>
      <c r="AF23" s="10" t="s">
        <v>39</v>
      </c>
      <c r="AG23" s="44" t="str">
        <f t="shared" si="12"/>
        <v>WO</v>
      </c>
      <c r="AH23" s="10" t="s">
        <v>40</v>
      </c>
      <c r="AI23" s="10" t="s">
        <v>38</v>
      </c>
      <c r="AJ23" s="10" t="s">
        <v>38</v>
      </c>
      <c r="AK23" s="10" t="s">
        <v>39</v>
      </c>
      <c r="AL23" s="10" t="s">
        <v>38</v>
      </c>
      <c r="AM23" s="10" t="s">
        <v>38</v>
      </c>
      <c r="AN23" s="44" t="str">
        <f t="shared" si="13"/>
        <v>WO</v>
      </c>
      <c r="AO23" s="64" t="s">
        <v>38</v>
      </c>
      <c r="AP23" s="21"/>
      <c r="AQ23" s="24"/>
      <c r="AR23" s="10">
        <v>14</v>
      </c>
      <c r="AS23" s="10" t="s">
        <v>15</v>
      </c>
      <c r="AT23" s="10" t="str">
        <f t="shared" si="2"/>
        <v>March</v>
      </c>
      <c r="AU23" s="10">
        <v>1014</v>
      </c>
      <c r="AV23" s="9">
        <f t="shared" si="3"/>
        <v>20</v>
      </c>
      <c r="AW23" s="16">
        <f t="shared" si="4"/>
        <v>4</v>
      </c>
      <c r="AX23" s="16">
        <f t="shared" si="5"/>
        <v>2</v>
      </c>
      <c r="AY23" s="16">
        <f t="shared" si="6"/>
        <v>5</v>
      </c>
      <c r="AZ23" s="16">
        <f t="shared" si="7"/>
        <v>31</v>
      </c>
      <c r="BA23" s="16">
        <f>MarchReport[[#This Row],[Days]]-MarchReport[[#This Row],[Absent]]</f>
        <v>27</v>
      </c>
      <c r="BB23" s="19">
        <v>14000</v>
      </c>
      <c r="BC23" s="20">
        <f>MarchReport[[#This Row],[Salary ]]/MarchReport[[#This Row],[Days]]</f>
        <v>451.61290322580646</v>
      </c>
      <c r="BD23" s="20">
        <f>MarchReport[[#This Row],[Per Day Salary ]]*MarchReport[[#This Row],[Absent]]</f>
        <v>1806.4516129032259</v>
      </c>
      <c r="BE23" s="20">
        <f>MarchReport[[#This Row],[Salary ]]-MarchReport[[#This Row],[Deduction]]</f>
        <v>12193.548387096775</v>
      </c>
      <c r="BF23" s="20"/>
      <c r="BG23" s="24"/>
      <c r="BH23" s="22"/>
      <c r="BI23" s="22"/>
      <c r="BJ23" s="22"/>
      <c r="BK23" s="22"/>
      <c r="BL23" s="22"/>
      <c r="BM23" s="22"/>
      <c r="BN23" s="22"/>
    </row>
    <row r="24" spans="6:66" x14ac:dyDescent="0.25">
      <c r="F24" s="21"/>
      <c r="G24" s="8">
        <v>15</v>
      </c>
      <c r="H24" s="10" t="s">
        <v>16</v>
      </c>
      <c r="I24" s="10">
        <v>1015</v>
      </c>
      <c r="J24" s="47">
        <f t="shared" si="8"/>
        <v>5</v>
      </c>
      <c r="K24" s="10" t="s">
        <v>38</v>
      </c>
      <c r="L24" s="44" t="str">
        <f t="shared" si="9"/>
        <v>WO</v>
      </c>
      <c r="M24" s="10" t="s">
        <v>38</v>
      </c>
      <c r="N24" s="10" t="s">
        <v>38</v>
      </c>
      <c r="O24" s="10" t="s">
        <v>40</v>
      </c>
      <c r="P24" s="10" t="s">
        <v>38</v>
      </c>
      <c r="Q24" s="10" t="s">
        <v>38</v>
      </c>
      <c r="R24" s="10" t="s">
        <v>38</v>
      </c>
      <c r="S24" s="44" t="str">
        <f t="shared" si="10"/>
        <v>WO</v>
      </c>
      <c r="T24" s="10" t="s">
        <v>38</v>
      </c>
      <c r="U24" s="10" t="s">
        <v>38</v>
      </c>
      <c r="V24" s="10" t="s">
        <v>38</v>
      </c>
      <c r="W24" s="10" t="s">
        <v>38</v>
      </c>
      <c r="X24" s="10" t="s">
        <v>38</v>
      </c>
      <c r="Y24" s="10" t="s">
        <v>38</v>
      </c>
      <c r="Z24" s="44" t="str">
        <f t="shared" si="11"/>
        <v>WO</v>
      </c>
      <c r="AA24" s="10" t="s">
        <v>38</v>
      </c>
      <c r="AB24" s="10" t="s">
        <v>38</v>
      </c>
      <c r="AC24" s="10" t="s">
        <v>40</v>
      </c>
      <c r="AD24" s="10" t="s">
        <v>38</v>
      </c>
      <c r="AE24" s="10" t="s">
        <v>38</v>
      </c>
      <c r="AF24" s="10" t="s">
        <v>38</v>
      </c>
      <c r="AG24" s="44" t="str">
        <f t="shared" si="12"/>
        <v>WO</v>
      </c>
      <c r="AH24" s="10" t="s">
        <v>38</v>
      </c>
      <c r="AI24" s="10" t="s">
        <v>38</v>
      </c>
      <c r="AJ24" s="10" t="s">
        <v>38</v>
      </c>
      <c r="AK24" s="10" t="s">
        <v>38</v>
      </c>
      <c r="AL24" s="10" t="s">
        <v>38</v>
      </c>
      <c r="AM24" s="10" t="s">
        <v>38</v>
      </c>
      <c r="AN24" s="44" t="str">
        <f t="shared" si="13"/>
        <v>WO</v>
      </c>
      <c r="AO24" s="64" t="s">
        <v>39</v>
      </c>
      <c r="AP24" s="21"/>
      <c r="AQ24" s="24"/>
      <c r="AR24" s="10">
        <v>15</v>
      </c>
      <c r="AS24" s="10" t="s">
        <v>16</v>
      </c>
      <c r="AT24" s="10" t="str">
        <f t="shared" si="2"/>
        <v>March</v>
      </c>
      <c r="AU24" s="10">
        <v>1015</v>
      </c>
      <c r="AV24" s="9">
        <f t="shared" si="3"/>
        <v>23</v>
      </c>
      <c r="AW24" s="16">
        <f t="shared" si="4"/>
        <v>1</v>
      </c>
      <c r="AX24" s="16">
        <f t="shared" si="5"/>
        <v>2</v>
      </c>
      <c r="AY24" s="16">
        <f t="shared" si="6"/>
        <v>5</v>
      </c>
      <c r="AZ24" s="16">
        <f t="shared" si="7"/>
        <v>31</v>
      </c>
      <c r="BA24" s="16">
        <f>MarchReport[[#This Row],[Days]]-MarchReport[[#This Row],[Absent]]</f>
        <v>30</v>
      </c>
      <c r="BB24" s="19">
        <v>72000</v>
      </c>
      <c r="BC24" s="20">
        <f>MarchReport[[#This Row],[Salary ]]/MarchReport[[#This Row],[Days]]</f>
        <v>2322.5806451612902</v>
      </c>
      <c r="BD24" s="20">
        <f>MarchReport[[#This Row],[Per Day Salary ]]*MarchReport[[#This Row],[Absent]]</f>
        <v>2322.5806451612902</v>
      </c>
      <c r="BE24" s="20">
        <f>MarchReport[[#This Row],[Salary ]]-MarchReport[[#This Row],[Deduction]]</f>
        <v>69677.419354838712</v>
      </c>
      <c r="BF24" s="20"/>
      <c r="BG24" s="24"/>
      <c r="BH24" s="22"/>
      <c r="BI24" s="22"/>
      <c r="BJ24" s="22"/>
      <c r="BK24" s="22"/>
      <c r="BL24" s="22"/>
      <c r="BM24" s="22"/>
      <c r="BN24" s="22"/>
    </row>
    <row r="25" spans="6:66" x14ac:dyDescent="0.25">
      <c r="F25" s="21"/>
      <c r="G25" s="8">
        <v>16</v>
      </c>
      <c r="H25" s="10" t="s">
        <v>17</v>
      </c>
      <c r="I25" s="10">
        <v>1016</v>
      </c>
      <c r="J25" s="47">
        <f t="shared" si="8"/>
        <v>5</v>
      </c>
      <c r="K25" s="10" t="s">
        <v>38</v>
      </c>
      <c r="L25" s="44" t="str">
        <f t="shared" si="9"/>
        <v>WO</v>
      </c>
      <c r="M25" s="10" t="s">
        <v>38</v>
      </c>
      <c r="N25" s="10" t="s">
        <v>40</v>
      </c>
      <c r="O25" s="10" t="s">
        <v>38</v>
      </c>
      <c r="P25" s="10" t="s">
        <v>38</v>
      </c>
      <c r="Q25" s="10" t="s">
        <v>38</v>
      </c>
      <c r="R25" s="10" t="s">
        <v>38</v>
      </c>
      <c r="S25" s="44" t="str">
        <f t="shared" si="10"/>
        <v>WO</v>
      </c>
      <c r="T25" s="10" t="s">
        <v>38</v>
      </c>
      <c r="U25" s="10" t="s">
        <v>38</v>
      </c>
      <c r="V25" s="10" t="s">
        <v>38</v>
      </c>
      <c r="W25" s="10" t="s">
        <v>38</v>
      </c>
      <c r="X25" s="10" t="s">
        <v>38</v>
      </c>
      <c r="Y25" s="10" t="s">
        <v>38</v>
      </c>
      <c r="Z25" s="44" t="str">
        <f t="shared" si="11"/>
        <v>WO</v>
      </c>
      <c r="AA25" s="10" t="s">
        <v>38</v>
      </c>
      <c r="AB25" s="10" t="s">
        <v>40</v>
      </c>
      <c r="AC25" s="10" t="s">
        <v>38</v>
      </c>
      <c r="AD25" s="10" t="s">
        <v>38</v>
      </c>
      <c r="AE25" s="10" t="s">
        <v>38</v>
      </c>
      <c r="AF25" s="10" t="s">
        <v>38</v>
      </c>
      <c r="AG25" s="44" t="str">
        <f t="shared" si="12"/>
        <v>WO</v>
      </c>
      <c r="AH25" s="10" t="s">
        <v>38</v>
      </c>
      <c r="AI25" s="10" t="s">
        <v>38</v>
      </c>
      <c r="AJ25" s="10" t="s">
        <v>38</v>
      </c>
      <c r="AK25" s="10" t="s">
        <v>38</v>
      </c>
      <c r="AL25" s="10" t="s">
        <v>38</v>
      </c>
      <c r="AM25" s="10" t="s">
        <v>38</v>
      </c>
      <c r="AN25" s="44" t="str">
        <f t="shared" si="13"/>
        <v>WO</v>
      </c>
      <c r="AO25" s="64" t="s">
        <v>38</v>
      </c>
      <c r="AP25" s="21"/>
      <c r="AQ25" s="24"/>
      <c r="AR25" s="10">
        <v>16</v>
      </c>
      <c r="AS25" s="10" t="s">
        <v>17</v>
      </c>
      <c r="AT25" s="10" t="str">
        <f t="shared" si="2"/>
        <v>March</v>
      </c>
      <c r="AU25" s="10">
        <v>1016</v>
      </c>
      <c r="AV25" s="9">
        <f t="shared" si="3"/>
        <v>24</v>
      </c>
      <c r="AW25" s="16">
        <f t="shared" si="4"/>
        <v>0</v>
      </c>
      <c r="AX25" s="16">
        <f t="shared" si="5"/>
        <v>2</v>
      </c>
      <c r="AY25" s="16">
        <f t="shared" si="6"/>
        <v>5</v>
      </c>
      <c r="AZ25" s="16">
        <f t="shared" si="7"/>
        <v>31</v>
      </c>
      <c r="BA25" s="16">
        <f>MarchReport[[#This Row],[Days]]-MarchReport[[#This Row],[Absent]]</f>
        <v>31</v>
      </c>
      <c r="BB25" s="19">
        <v>79000</v>
      </c>
      <c r="BC25" s="20">
        <f>MarchReport[[#This Row],[Salary ]]/MarchReport[[#This Row],[Days]]</f>
        <v>2548.3870967741937</v>
      </c>
      <c r="BD25" s="20">
        <f>MarchReport[[#This Row],[Per Day Salary ]]*MarchReport[[#This Row],[Absent]]</f>
        <v>0</v>
      </c>
      <c r="BE25" s="20">
        <f>MarchReport[[#This Row],[Salary ]]-MarchReport[[#This Row],[Deduction]]</f>
        <v>79000</v>
      </c>
      <c r="BF25" s="20"/>
      <c r="BG25" s="24"/>
      <c r="BH25" s="22"/>
      <c r="BI25" s="22"/>
      <c r="BJ25" s="22"/>
      <c r="BK25" s="22"/>
      <c r="BL25" s="22"/>
      <c r="BM25" s="22"/>
      <c r="BN25" s="22"/>
    </row>
    <row r="26" spans="6:66" x14ac:dyDescent="0.25">
      <c r="F26" s="21"/>
      <c r="G26" s="8">
        <v>17</v>
      </c>
      <c r="H26" s="10" t="s">
        <v>18</v>
      </c>
      <c r="I26" s="10">
        <v>1017</v>
      </c>
      <c r="J26" s="47">
        <f t="shared" si="8"/>
        <v>5</v>
      </c>
      <c r="K26" s="10" t="s">
        <v>38</v>
      </c>
      <c r="L26" s="44" t="str">
        <f t="shared" si="9"/>
        <v>WO</v>
      </c>
      <c r="M26" s="10" t="s">
        <v>38</v>
      </c>
      <c r="N26" s="10" t="s">
        <v>38</v>
      </c>
      <c r="O26" s="10" t="s">
        <v>38</v>
      </c>
      <c r="P26" s="10" t="s">
        <v>38</v>
      </c>
      <c r="Q26" s="10" t="s">
        <v>38</v>
      </c>
      <c r="R26" s="10" t="s">
        <v>39</v>
      </c>
      <c r="S26" s="44" t="str">
        <f t="shared" si="10"/>
        <v>WO</v>
      </c>
      <c r="T26" s="10" t="s">
        <v>38</v>
      </c>
      <c r="U26" s="10" t="s">
        <v>38</v>
      </c>
      <c r="V26" s="10" t="s">
        <v>38</v>
      </c>
      <c r="W26" s="10" t="s">
        <v>38</v>
      </c>
      <c r="X26" s="10" t="s">
        <v>38</v>
      </c>
      <c r="Y26" s="10" t="s">
        <v>38</v>
      </c>
      <c r="Z26" s="44" t="str">
        <f t="shared" si="11"/>
        <v>WO</v>
      </c>
      <c r="AA26" s="10" t="s">
        <v>38</v>
      </c>
      <c r="AB26" s="10" t="s">
        <v>38</v>
      </c>
      <c r="AC26" s="10" t="s">
        <v>38</v>
      </c>
      <c r="AD26" s="10" t="s">
        <v>38</v>
      </c>
      <c r="AE26" s="10" t="s">
        <v>38</v>
      </c>
      <c r="AF26" s="10" t="s">
        <v>39</v>
      </c>
      <c r="AG26" s="44" t="str">
        <f t="shared" si="12"/>
        <v>WO</v>
      </c>
      <c r="AH26" s="10" t="s">
        <v>38</v>
      </c>
      <c r="AI26" s="10" t="s">
        <v>38</v>
      </c>
      <c r="AJ26" s="10" t="s">
        <v>38</v>
      </c>
      <c r="AK26" s="10" t="s">
        <v>38</v>
      </c>
      <c r="AL26" s="10" t="s">
        <v>38</v>
      </c>
      <c r="AM26" s="10" t="s">
        <v>38</v>
      </c>
      <c r="AN26" s="44" t="str">
        <f t="shared" si="13"/>
        <v>WO</v>
      </c>
      <c r="AO26" s="64" t="s">
        <v>38</v>
      </c>
      <c r="AP26" s="21"/>
      <c r="AQ26" s="24"/>
      <c r="AR26" s="10">
        <v>17</v>
      </c>
      <c r="AS26" s="10" t="s">
        <v>18</v>
      </c>
      <c r="AT26" s="10" t="str">
        <f t="shared" si="2"/>
        <v>March</v>
      </c>
      <c r="AU26" s="10">
        <v>1017</v>
      </c>
      <c r="AV26" s="9">
        <f t="shared" si="3"/>
        <v>24</v>
      </c>
      <c r="AW26" s="16">
        <f t="shared" si="4"/>
        <v>2</v>
      </c>
      <c r="AX26" s="16">
        <f t="shared" si="5"/>
        <v>0</v>
      </c>
      <c r="AY26" s="16">
        <f t="shared" si="6"/>
        <v>5</v>
      </c>
      <c r="AZ26" s="16">
        <f t="shared" si="7"/>
        <v>31</v>
      </c>
      <c r="BA26" s="16">
        <f>MarchReport[[#This Row],[Days]]-MarchReport[[#This Row],[Absent]]</f>
        <v>29</v>
      </c>
      <c r="BB26" s="19">
        <v>33000</v>
      </c>
      <c r="BC26" s="20">
        <f>MarchReport[[#This Row],[Salary ]]/MarchReport[[#This Row],[Days]]</f>
        <v>1064.516129032258</v>
      </c>
      <c r="BD26" s="20">
        <f>MarchReport[[#This Row],[Per Day Salary ]]*MarchReport[[#This Row],[Absent]]</f>
        <v>2129.0322580645161</v>
      </c>
      <c r="BE26" s="20">
        <f>MarchReport[[#This Row],[Salary ]]-MarchReport[[#This Row],[Deduction]]</f>
        <v>30870.967741935485</v>
      </c>
      <c r="BF26" s="20"/>
      <c r="BG26" s="24"/>
      <c r="BH26" s="22"/>
      <c r="BI26" s="22"/>
      <c r="BJ26" s="22"/>
      <c r="BK26" s="22"/>
      <c r="BL26" s="22"/>
      <c r="BM26" s="22"/>
      <c r="BN26" s="22"/>
    </row>
    <row r="27" spans="6:66" x14ac:dyDescent="0.25">
      <c r="F27" s="21"/>
      <c r="G27" s="8">
        <v>18</v>
      </c>
      <c r="H27" s="10" t="s">
        <v>41</v>
      </c>
      <c r="I27" s="10">
        <v>1018</v>
      </c>
      <c r="J27" s="47">
        <f t="shared" si="8"/>
        <v>5</v>
      </c>
      <c r="K27" s="10" t="s">
        <v>39</v>
      </c>
      <c r="L27" s="44" t="str">
        <f t="shared" si="9"/>
        <v>WO</v>
      </c>
      <c r="M27" s="10" t="s">
        <v>38</v>
      </c>
      <c r="N27" s="10" t="s">
        <v>38</v>
      </c>
      <c r="O27" s="10" t="s">
        <v>38</v>
      </c>
      <c r="P27" s="10" t="s">
        <v>39</v>
      </c>
      <c r="Q27" s="10" t="s">
        <v>38</v>
      </c>
      <c r="R27" s="10" t="s">
        <v>38</v>
      </c>
      <c r="S27" s="44" t="str">
        <f t="shared" si="10"/>
        <v>WO</v>
      </c>
      <c r="T27" s="10" t="s">
        <v>38</v>
      </c>
      <c r="U27" s="10" t="s">
        <v>38</v>
      </c>
      <c r="V27" s="10" t="s">
        <v>40</v>
      </c>
      <c r="W27" s="10" t="s">
        <v>38</v>
      </c>
      <c r="X27" s="10" t="s">
        <v>38</v>
      </c>
      <c r="Y27" s="10" t="s">
        <v>40</v>
      </c>
      <c r="Z27" s="44" t="str">
        <f t="shared" si="11"/>
        <v>WO</v>
      </c>
      <c r="AA27" s="10" t="s">
        <v>38</v>
      </c>
      <c r="AB27" s="10" t="s">
        <v>38</v>
      </c>
      <c r="AC27" s="10" t="s">
        <v>38</v>
      </c>
      <c r="AD27" s="10" t="s">
        <v>39</v>
      </c>
      <c r="AE27" s="10" t="s">
        <v>38</v>
      </c>
      <c r="AF27" s="10" t="s">
        <v>38</v>
      </c>
      <c r="AG27" s="44" t="str">
        <f t="shared" si="12"/>
        <v>WO</v>
      </c>
      <c r="AH27" s="10" t="s">
        <v>38</v>
      </c>
      <c r="AI27" s="10" t="s">
        <v>38</v>
      </c>
      <c r="AJ27" s="10" t="s">
        <v>40</v>
      </c>
      <c r="AK27" s="10" t="s">
        <v>38</v>
      </c>
      <c r="AL27" s="10" t="s">
        <v>38</v>
      </c>
      <c r="AM27" s="10" t="s">
        <v>40</v>
      </c>
      <c r="AN27" s="44" t="str">
        <f t="shared" si="13"/>
        <v>WO</v>
      </c>
      <c r="AO27" s="64" t="s">
        <v>38</v>
      </c>
      <c r="AP27" s="21"/>
      <c r="AQ27" s="24"/>
      <c r="AR27" s="10">
        <v>18</v>
      </c>
      <c r="AS27" s="10" t="s">
        <v>41</v>
      </c>
      <c r="AT27" s="10" t="str">
        <f t="shared" si="2"/>
        <v>March</v>
      </c>
      <c r="AU27" s="10">
        <v>1018</v>
      </c>
      <c r="AV27" s="9">
        <f t="shared" si="3"/>
        <v>19</v>
      </c>
      <c r="AW27" s="16">
        <f t="shared" si="4"/>
        <v>3</v>
      </c>
      <c r="AX27" s="16">
        <f t="shared" si="5"/>
        <v>4</v>
      </c>
      <c r="AY27" s="16">
        <f t="shared" si="6"/>
        <v>5</v>
      </c>
      <c r="AZ27" s="16">
        <f t="shared" si="7"/>
        <v>31</v>
      </c>
      <c r="BA27" s="16">
        <f>MarchReport[[#This Row],[Days]]-MarchReport[[#This Row],[Absent]]</f>
        <v>28</v>
      </c>
      <c r="BB27" s="19">
        <v>12000</v>
      </c>
      <c r="BC27" s="20">
        <f>MarchReport[[#This Row],[Salary ]]/MarchReport[[#This Row],[Days]]</f>
        <v>387.09677419354841</v>
      </c>
      <c r="BD27" s="20">
        <f>MarchReport[[#This Row],[Per Day Salary ]]*MarchReport[[#This Row],[Absent]]</f>
        <v>1161.2903225806454</v>
      </c>
      <c r="BE27" s="20">
        <f>MarchReport[[#This Row],[Salary ]]-MarchReport[[#This Row],[Deduction]]</f>
        <v>10838.709677419354</v>
      </c>
      <c r="BF27" s="20"/>
      <c r="BG27" s="24"/>
      <c r="BH27" s="22"/>
      <c r="BI27" s="22"/>
      <c r="BJ27" s="22"/>
      <c r="BK27" s="22"/>
      <c r="BL27" s="22"/>
      <c r="BM27" s="22"/>
      <c r="BN27" s="22"/>
    </row>
    <row r="28" spans="6:66" x14ac:dyDescent="0.25">
      <c r="F28" s="21"/>
      <c r="G28" s="8">
        <v>19</v>
      </c>
      <c r="H28" s="10" t="s">
        <v>19</v>
      </c>
      <c r="I28" s="10">
        <v>1019</v>
      </c>
      <c r="J28" s="47">
        <f t="shared" si="8"/>
        <v>5</v>
      </c>
      <c r="K28" s="10" t="s">
        <v>38</v>
      </c>
      <c r="L28" s="44" t="str">
        <f t="shared" si="9"/>
        <v>WO</v>
      </c>
      <c r="M28" s="10" t="s">
        <v>38</v>
      </c>
      <c r="N28" s="10" t="s">
        <v>40</v>
      </c>
      <c r="O28" s="10" t="s">
        <v>38</v>
      </c>
      <c r="P28" s="10" t="s">
        <v>38</v>
      </c>
      <c r="Q28" s="10" t="s">
        <v>38</v>
      </c>
      <c r="R28" s="10" t="s">
        <v>38</v>
      </c>
      <c r="S28" s="44" t="str">
        <f t="shared" si="10"/>
        <v>WO</v>
      </c>
      <c r="T28" s="10" t="s">
        <v>38</v>
      </c>
      <c r="U28" s="10" t="s">
        <v>38</v>
      </c>
      <c r="V28" s="10" t="s">
        <v>38</v>
      </c>
      <c r="W28" s="10" t="s">
        <v>38</v>
      </c>
      <c r="X28" s="10" t="s">
        <v>40</v>
      </c>
      <c r="Y28" s="10" t="s">
        <v>38</v>
      </c>
      <c r="Z28" s="44" t="str">
        <f t="shared" si="11"/>
        <v>WO</v>
      </c>
      <c r="AA28" s="10" t="s">
        <v>38</v>
      </c>
      <c r="AB28" s="10" t="s">
        <v>40</v>
      </c>
      <c r="AC28" s="10" t="s">
        <v>38</v>
      </c>
      <c r="AD28" s="10" t="s">
        <v>38</v>
      </c>
      <c r="AE28" s="10" t="s">
        <v>38</v>
      </c>
      <c r="AF28" s="10" t="s">
        <v>38</v>
      </c>
      <c r="AG28" s="44" t="str">
        <f t="shared" si="12"/>
        <v>WO</v>
      </c>
      <c r="AH28" s="10" t="s">
        <v>38</v>
      </c>
      <c r="AI28" s="10" t="s">
        <v>38</v>
      </c>
      <c r="AJ28" s="10" t="s">
        <v>38</v>
      </c>
      <c r="AK28" s="10" t="s">
        <v>38</v>
      </c>
      <c r="AL28" s="10" t="s">
        <v>40</v>
      </c>
      <c r="AM28" s="10" t="s">
        <v>38</v>
      </c>
      <c r="AN28" s="44" t="str">
        <f t="shared" si="13"/>
        <v>WO</v>
      </c>
      <c r="AO28" s="64" t="s">
        <v>40</v>
      </c>
      <c r="AP28" s="21"/>
      <c r="AQ28" s="24"/>
      <c r="AR28" s="10">
        <v>19</v>
      </c>
      <c r="AS28" s="10" t="s">
        <v>19</v>
      </c>
      <c r="AT28" s="10" t="str">
        <f t="shared" si="2"/>
        <v>March</v>
      </c>
      <c r="AU28" s="10">
        <v>1019</v>
      </c>
      <c r="AV28" s="9">
        <f t="shared" si="3"/>
        <v>21</v>
      </c>
      <c r="AW28" s="16">
        <f t="shared" si="4"/>
        <v>0</v>
      </c>
      <c r="AX28" s="16">
        <f t="shared" si="5"/>
        <v>5</v>
      </c>
      <c r="AY28" s="16">
        <f t="shared" si="6"/>
        <v>5</v>
      </c>
      <c r="AZ28" s="16">
        <f t="shared" si="7"/>
        <v>31</v>
      </c>
      <c r="BA28" s="16">
        <f>MarchReport[[#This Row],[Days]]-MarchReport[[#This Row],[Absent]]</f>
        <v>31</v>
      </c>
      <c r="BB28" s="19">
        <v>19000</v>
      </c>
      <c r="BC28" s="20">
        <f>MarchReport[[#This Row],[Salary ]]/MarchReport[[#This Row],[Days]]</f>
        <v>612.90322580645159</v>
      </c>
      <c r="BD28" s="20">
        <f>MarchReport[[#This Row],[Per Day Salary ]]*MarchReport[[#This Row],[Absent]]</f>
        <v>0</v>
      </c>
      <c r="BE28" s="20">
        <f>MarchReport[[#This Row],[Salary ]]-MarchReport[[#This Row],[Deduction]]</f>
        <v>19000</v>
      </c>
      <c r="BF28" s="20"/>
      <c r="BG28" s="24"/>
      <c r="BH28" s="22"/>
      <c r="BI28" s="22"/>
      <c r="BJ28" s="22"/>
      <c r="BK28" s="22"/>
      <c r="BL28" s="22"/>
      <c r="BM28" s="22"/>
      <c r="BN28" s="22"/>
    </row>
    <row r="29" spans="6:66" ht="16.5" thickBot="1" x14ac:dyDescent="0.3">
      <c r="F29" s="21"/>
      <c r="G29" s="11">
        <v>20</v>
      </c>
      <c r="H29" s="12" t="s">
        <v>24</v>
      </c>
      <c r="I29" s="12">
        <v>1020</v>
      </c>
      <c r="J29" s="48">
        <f t="shared" si="8"/>
        <v>5</v>
      </c>
      <c r="K29" s="55" t="s">
        <v>38</v>
      </c>
      <c r="L29" s="45" t="str">
        <f t="shared" si="9"/>
        <v>WO</v>
      </c>
      <c r="M29" s="39" t="s">
        <v>40</v>
      </c>
      <c r="N29" s="39" t="s">
        <v>38</v>
      </c>
      <c r="O29" s="39" t="s">
        <v>38</v>
      </c>
      <c r="P29" s="39" t="s">
        <v>38</v>
      </c>
      <c r="Q29" s="39" t="s">
        <v>38</v>
      </c>
      <c r="R29" s="39" t="s">
        <v>38</v>
      </c>
      <c r="S29" s="45" t="str">
        <f t="shared" si="10"/>
        <v>WO</v>
      </c>
      <c r="T29" s="39" t="s">
        <v>39</v>
      </c>
      <c r="U29" s="39" t="s">
        <v>38</v>
      </c>
      <c r="V29" s="39" t="s">
        <v>38</v>
      </c>
      <c r="W29" s="39" t="s">
        <v>38</v>
      </c>
      <c r="X29" s="39" t="s">
        <v>38</v>
      </c>
      <c r="Y29" s="39" t="s">
        <v>38</v>
      </c>
      <c r="Z29" s="45" t="str">
        <f t="shared" si="11"/>
        <v>WO</v>
      </c>
      <c r="AA29" s="39" t="s">
        <v>40</v>
      </c>
      <c r="AB29" s="39" t="s">
        <v>38</v>
      </c>
      <c r="AC29" s="39" t="s">
        <v>38</v>
      </c>
      <c r="AD29" s="39" t="s">
        <v>38</v>
      </c>
      <c r="AE29" s="39" t="s">
        <v>38</v>
      </c>
      <c r="AF29" s="39" t="s">
        <v>38</v>
      </c>
      <c r="AG29" s="45" t="str">
        <f t="shared" si="12"/>
        <v>WO</v>
      </c>
      <c r="AH29" s="39" t="s">
        <v>39</v>
      </c>
      <c r="AI29" s="39" t="s">
        <v>38</v>
      </c>
      <c r="AJ29" s="39" t="s">
        <v>38</v>
      </c>
      <c r="AK29" s="39" t="s">
        <v>38</v>
      </c>
      <c r="AL29" s="39" t="s">
        <v>38</v>
      </c>
      <c r="AM29" s="39" t="s">
        <v>38</v>
      </c>
      <c r="AN29" s="45" t="str">
        <f t="shared" si="13"/>
        <v>WO</v>
      </c>
      <c r="AO29" s="63" t="s">
        <v>38</v>
      </c>
      <c r="AP29" s="21"/>
      <c r="AQ29" s="24"/>
      <c r="AR29" s="10">
        <v>20</v>
      </c>
      <c r="AS29" s="10" t="s">
        <v>24</v>
      </c>
      <c r="AT29" s="10" t="str">
        <f t="shared" si="2"/>
        <v>March</v>
      </c>
      <c r="AU29" s="10">
        <v>1020</v>
      </c>
      <c r="AV29" s="9">
        <f t="shared" si="3"/>
        <v>22</v>
      </c>
      <c r="AW29" s="16">
        <f t="shared" si="4"/>
        <v>2</v>
      </c>
      <c r="AX29" s="16">
        <f t="shared" si="5"/>
        <v>2</v>
      </c>
      <c r="AY29" s="16">
        <f t="shared" si="6"/>
        <v>5</v>
      </c>
      <c r="AZ29" s="16">
        <f t="shared" si="7"/>
        <v>31</v>
      </c>
      <c r="BA29" s="16">
        <f>MarchReport[[#This Row],[Days]]-MarchReport[[#This Row],[Absent]]</f>
        <v>29</v>
      </c>
      <c r="BB29" s="19">
        <v>17000</v>
      </c>
      <c r="BC29" s="20">
        <f>MarchReport[[#This Row],[Salary ]]/MarchReport[[#This Row],[Days]]</f>
        <v>548.38709677419354</v>
      </c>
      <c r="BD29" s="20">
        <f>MarchReport[[#This Row],[Per Day Salary ]]*MarchReport[[#This Row],[Absent]]</f>
        <v>1096.7741935483871</v>
      </c>
      <c r="BE29" s="20">
        <f>MarchReport[[#This Row],[Salary ]]-MarchReport[[#This Row],[Deduction]]</f>
        <v>15903.225806451614</v>
      </c>
      <c r="BF29" s="20"/>
      <c r="BG29" s="24"/>
      <c r="BH29" s="22"/>
      <c r="BI29" s="22"/>
      <c r="BJ29" s="22"/>
      <c r="BK29" s="22"/>
      <c r="BL29" s="22"/>
      <c r="BM29" s="22"/>
      <c r="BN29" s="22"/>
    </row>
    <row r="30" spans="6:66" x14ac:dyDescent="0.25"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2"/>
      <c r="BI30" s="22"/>
      <c r="BJ30" s="22"/>
      <c r="BK30" s="22"/>
      <c r="BL30" s="22"/>
      <c r="BM30" s="22"/>
      <c r="BN30" s="22"/>
    </row>
    <row r="31" spans="6:66" s="22" customFormat="1" x14ac:dyDescent="0.25"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</row>
    <row r="32" spans="6:66" s="22" customFormat="1" x14ac:dyDescent="0.25"/>
    <row r="33" spans="6:66" x14ac:dyDescent="0.25"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H33" s="22"/>
      <c r="BI33" s="22"/>
      <c r="BJ33" s="22"/>
      <c r="BK33" s="22"/>
      <c r="BL33" s="22"/>
      <c r="BM33" s="22"/>
      <c r="BN33" s="22"/>
    </row>
    <row r="34" spans="6:66" x14ac:dyDescent="0.25"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H34" s="22"/>
      <c r="BI34" s="22"/>
      <c r="BJ34" s="22"/>
      <c r="BK34" s="22"/>
      <c r="BL34" s="22"/>
      <c r="BM34" s="22"/>
      <c r="BN34" s="22"/>
    </row>
    <row r="35" spans="6:66" x14ac:dyDescent="0.25"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H35" s="22"/>
      <c r="BI35" s="22"/>
      <c r="BJ35" s="22"/>
      <c r="BK35" s="22"/>
      <c r="BL35" s="22"/>
      <c r="BM35" s="22"/>
      <c r="BN35" s="22"/>
    </row>
    <row r="36" spans="6:66" x14ac:dyDescent="0.25"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H36" s="22"/>
      <c r="BI36" s="22"/>
      <c r="BJ36" s="22"/>
      <c r="BK36" s="22"/>
      <c r="BL36" s="22"/>
      <c r="BM36" s="22"/>
      <c r="BN36" s="22"/>
    </row>
    <row r="37" spans="6:66" x14ac:dyDescent="0.25"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H37" s="22"/>
      <c r="BI37" s="22"/>
      <c r="BJ37" s="22"/>
      <c r="BK37" s="22"/>
      <c r="BL37" s="22"/>
      <c r="BM37" s="22"/>
      <c r="BN37" s="22"/>
    </row>
    <row r="38" spans="6:66" x14ac:dyDescent="0.25"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H38" s="22"/>
      <c r="BI38" s="22"/>
      <c r="BJ38" s="22"/>
      <c r="BK38" s="22"/>
      <c r="BL38" s="22"/>
      <c r="BM38" s="22"/>
      <c r="BN38" s="22"/>
    </row>
    <row r="39" spans="6:66" x14ac:dyDescent="0.25"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H39" s="22"/>
      <c r="BI39" s="22"/>
      <c r="BJ39" s="22"/>
      <c r="BK39" s="22"/>
      <c r="BL39" s="22"/>
      <c r="BM39" s="22"/>
      <c r="BN39" s="22"/>
    </row>
    <row r="40" spans="6:66" x14ac:dyDescent="0.25"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H40" s="22"/>
      <c r="BI40" s="22"/>
      <c r="BJ40" s="22"/>
      <c r="BK40" s="22"/>
      <c r="BL40" s="22"/>
      <c r="BM40" s="22"/>
      <c r="BN40" s="22"/>
    </row>
    <row r="41" spans="6:66" x14ac:dyDescent="0.25"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H41" s="22"/>
      <c r="BI41" s="22"/>
      <c r="BJ41" s="22"/>
      <c r="BK41" s="22"/>
      <c r="BL41" s="22"/>
      <c r="BM41" s="22"/>
      <c r="BN41" s="22"/>
    </row>
    <row r="42" spans="6:66" x14ac:dyDescent="0.25"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H42" s="22"/>
      <c r="BI42" s="22"/>
      <c r="BJ42" s="22"/>
      <c r="BK42" s="22"/>
      <c r="BL42" s="22"/>
      <c r="BM42" s="22"/>
      <c r="BN42" s="22"/>
    </row>
    <row r="43" spans="6:66" x14ac:dyDescent="0.25"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H43" s="22"/>
      <c r="BI43" s="22"/>
      <c r="BJ43" s="22"/>
      <c r="BK43" s="22"/>
      <c r="BL43" s="22"/>
      <c r="BM43" s="22"/>
      <c r="BN43" s="22"/>
    </row>
    <row r="44" spans="6:66" x14ac:dyDescent="0.25"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H44" s="22"/>
      <c r="BI44" s="22"/>
      <c r="BJ44" s="22"/>
      <c r="BK44" s="22"/>
      <c r="BL44" s="22"/>
      <c r="BM44" s="22"/>
      <c r="BN44" s="22"/>
    </row>
    <row r="45" spans="6:66" x14ac:dyDescent="0.25"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H45" s="22"/>
      <c r="BI45" s="22"/>
      <c r="BJ45" s="22"/>
      <c r="BK45" s="22"/>
      <c r="BL45" s="22"/>
      <c r="BM45" s="22"/>
      <c r="BN45" s="22"/>
    </row>
    <row r="46" spans="6:66" x14ac:dyDescent="0.25"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H46" s="22"/>
      <c r="BI46" s="22"/>
      <c r="BJ46" s="22"/>
      <c r="BK46" s="22"/>
      <c r="BL46" s="22"/>
      <c r="BM46" s="22"/>
      <c r="BN46" s="22"/>
    </row>
    <row r="47" spans="6:66" x14ac:dyDescent="0.25"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H47" s="22"/>
      <c r="BI47" s="22"/>
      <c r="BJ47" s="22"/>
      <c r="BK47" s="22"/>
      <c r="BL47" s="22"/>
      <c r="BM47" s="22"/>
      <c r="BN47" s="22"/>
    </row>
    <row r="48" spans="6:66" x14ac:dyDescent="0.25"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H48" s="22"/>
      <c r="BI48" s="22"/>
      <c r="BJ48" s="22"/>
      <c r="BK48" s="22"/>
      <c r="BL48" s="22"/>
      <c r="BM48" s="22"/>
      <c r="BN48" s="22"/>
    </row>
    <row r="49" spans="6:66" x14ac:dyDescent="0.25"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H49" s="22"/>
      <c r="BI49" s="22"/>
      <c r="BJ49" s="22"/>
      <c r="BK49" s="22"/>
      <c r="BL49" s="22"/>
      <c r="BM49" s="22"/>
      <c r="BN49" s="22"/>
    </row>
    <row r="50" spans="6:66" x14ac:dyDescent="0.25"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H50" s="22"/>
      <c r="BI50" s="22"/>
      <c r="BJ50" s="22"/>
      <c r="BK50" s="22"/>
      <c r="BL50" s="22"/>
      <c r="BM50" s="22"/>
      <c r="BN50" s="22"/>
    </row>
    <row r="51" spans="6:66" x14ac:dyDescent="0.25"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H51" s="22"/>
      <c r="BI51" s="22"/>
      <c r="BJ51" s="22"/>
      <c r="BK51" s="22"/>
      <c r="BL51" s="22"/>
      <c r="BM51" s="22"/>
      <c r="BN51" s="22"/>
    </row>
    <row r="52" spans="6:66" x14ac:dyDescent="0.25"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H52" s="22"/>
      <c r="BI52" s="22"/>
      <c r="BJ52" s="22"/>
      <c r="BK52" s="22"/>
      <c r="BL52" s="22"/>
      <c r="BM52" s="22"/>
      <c r="BN52" s="22"/>
    </row>
    <row r="53" spans="6:66" x14ac:dyDescent="0.25"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H53" s="22"/>
      <c r="BI53" s="22"/>
      <c r="BJ53" s="22"/>
      <c r="BK53" s="22"/>
      <c r="BL53" s="22"/>
      <c r="BM53" s="22"/>
      <c r="BN53" s="22"/>
    </row>
    <row r="54" spans="6:66" x14ac:dyDescent="0.25"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H54" s="22"/>
      <c r="BI54" s="22"/>
      <c r="BJ54" s="22"/>
      <c r="BK54" s="22"/>
      <c r="BL54" s="22"/>
      <c r="BM54" s="22"/>
      <c r="BN54" s="22"/>
    </row>
    <row r="55" spans="6:66" x14ac:dyDescent="0.25"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H55" s="22"/>
      <c r="BI55" s="22"/>
      <c r="BJ55" s="22"/>
      <c r="BK55" s="22"/>
      <c r="BL55" s="22"/>
      <c r="BM55" s="22"/>
      <c r="BN55" s="22"/>
    </row>
    <row r="56" spans="6:66" x14ac:dyDescent="0.25"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H56" s="22"/>
      <c r="BI56" s="22"/>
      <c r="BJ56" s="22"/>
      <c r="BK56" s="22"/>
      <c r="BL56" s="22"/>
      <c r="BM56" s="22"/>
      <c r="BN56" s="22"/>
    </row>
    <row r="57" spans="6:66" x14ac:dyDescent="0.25"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H57" s="22"/>
      <c r="BI57" s="22"/>
      <c r="BJ57" s="22"/>
      <c r="BK57" s="22"/>
      <c r="BL57" s="22"/>
      <c r="BM57" s="22"/>
      <c r="BN57" s="22"/>
    </row>
    <row r="58" spans="6:66" x14ac:dyDescent="0.25"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H58" s="22"/>
      <c r="BI58" s="22"/>
      <c r="BJ58" s="22"/>
      <c r="BK58" s="22"/>
      <c r="BL58" s="22"/>
      <c r="BM58" s="22"/>
      <c r="BN58" s="22"/>
    </row>
    <row r="59" spans="6:66" x14ac:dyDescent="0.25"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H59" s="22"/>
      <c r="BI59" s="22"/>
      <c r="BJ59" s="22"/>
      <c r="BK59" s="22"/>
      <c r="BL59" s="22"/>
      <c r="BM59" s="22"/>
      <c r="BN59" s="22"/>
    </row>
    <row r="60" spans="6:66" x14ac:dyDescent="0.25"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H60" s="22"/>
      <c r="BI60" s="22"/>
      <c r="BJ60" s="22"/>
      <c r="BK60" s="22"/>
      <c r="BL60" s="22"/>
      <c r="BM60" s="22"/>
      <c r="BN60" s="22"/>
    </row>
    <row r="61" spans="6:66" x14ac:dyDescent="0.25"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H61" s="22"/>
      <c r="BI61" s="22"/>
      <c r="BJ61" s="22"/>
      <c r="BK61" s="22"/>
      <c r="BL61" s="22"/>
      <c r="BM61" s="22"/>
      <c r="BN61" s="22"/>
    </row>
    <row r="62" spans="6:66" x14ac:dyDescent="0.25"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H62" s="22"/>
      <c r="BI62" s="22"/>
      <c r="BJ62" s="22"/>
      <c r="BK62" s="22"/>
      <c r="BL62" s="22"/>
      <c r="BM62" s="22"/>
      <c r="BN62" s="22"/>
    </row>
    <row r="63" spans="6:66" x14ac:dyDescent="0.25"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H63" s="22"/>
      <c r="BI63" s="22"/>
      <c r="BJ63" s="22"/>
      <c r="BK63" s="22"/>
      <c r="BL63" s="22"/>
      <c r="BM63" s="22"/>
      <c r="BN63" s="22"/>
    </row>
    <row r="64" spans="6:66" x14ac:dyDescent="0.25"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H64" s="22"/>
      <c r="BI64" s="22"/>
      <c r="BJ64" s="22"/>
      <c r="BK64" s="22"/>
      <c r="BL64" s="22"/>
      <c r="BM64" s="22"/>
      <c r="BN64" s="22"/>
    </row>
    <row r="65" spans="6:66" x14ac:dyDescent="0.25"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H65" s="22"/>
      <c r="BI65" s="22"/>
      <c r="BJ65" s="22"/>
      <c r="BK65" s="22"/>
      <c r="BL65" s="22"/>
      <c r="BM65" s="22"/>
      <c r="BN65" s="22"/>
    </row>
    <row r="66" spans="6:66" x14ac:dyDescent="0.25"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H66" s="22"/>
      <c r="BI66" s="22"/>
      <c r="BJ66" s="22"/>
      <c r="BK66" s="22"/>
      <c r="BL66" s="22"/>
      <c r="BM66" s="22"/>
      <c r="BN66" s="22"/>
    </row>
    <row r="67" spans="6:66" x14ac:dyDescent="0.25"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H67" s="22"/>
      <c r="BI67" s="22"/>
      <c r="BJ67" s="22"/>
      <c r="BK67" s="22"/>
      <c r="BL67" s="22"/>
      <c r="BM67" s="22"/>
      <c r="BN67" s="22"/>
    </row>
    <row r="68" spans="6:66" x14ac:dyDescent="0.25"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H68" s="22"/>
      <c r="BI68" s="22"/>
      <c r="BJ68" s="22"/>
      <c r="BK68" s="22"/>
      <c r="BL68" s="22"/>
      <c r="BM68" s="22"/>
      <c r="BN68" s="22"/>
    </row>
    <row r="69" spans="6:66" x14ac:dyDescent="0.25"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H69" s="22"/>
      <c r="BI69" s="22"/>
      <c r="BJ69" s="22"/>
      <c r="BK69" s="22"/>
      <c r="BL69" s="22"/>
      <c r="BM69" s="22"/>
      <c r="BN69" s="22"/>
    </row>
    <row r="70" spans="6:66" x14ac:dyDescent="0.25"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H70" s="22"/>
      <c r="BI70" s="22"/>
      <c r="BJ70" s="22"/>
      <c r="BK70" s="22"/>
      <c r="BL70" s="22"/>
      <c r="BM70" s="22"/>
      <c r="BN70" s="22"/>
    </row>
    <row r="71" spans="6:66" x14ac:dyDescent="0.25"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H71" s="22"/>
      <c r="BI71" s="22"/>
      <c r="BJ71" s="22"/>
      <c r="BK71" s="22"/>
      <c r="BL71" s="22"/>
      <c r="BM71" s="22"/>
      <c r="BN71" s="22"/>
    </row>
    <row r="72" spans="6:66" x14ac:dyDescent="0.25"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H72" s="22"/>
      <c r="BI72" s="22"/>
      <c r="BJ72" s="22"/>
      <c r="BK72" s="22"/>
      <c r="BL72" s="22"/>
      <c r="BM72" s="22"/>
      <c r="BN72" s="22"/>
    </row>
    <row r="73" spans="6:66" x14ac:dyDescent="0.25"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H73" s="22"/>
      <c r="BI73" s="22"/>
      <c r="BJ73" s="22"/>
      <c r="BK73" s="22"/>
      <c r="BL73" s="22"/>
      <c r="BM73" s="22"/>
      <c r="BN73" s="22"/>
    </row>
    <row r="74" spans="6:66" x14ac:dyDescent="0.25"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H74" s="22"/>
      <c r="BI74" s="22"/>
      <c r="BJ74" s="22"/>
      <c r="BK74" s="22"/>
      <c r="BL74" s="22"/>
      <c r="BM74" s="22"/>
      <c r="BN74" s="22"/>
    </row>
    <row r="75" spans="6:66" x14ac:dyDescent="0.25"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H75" s="22"/>
      <c r="BI75" s="22"/>
      <c r="BJ75" s="22"/>
      <c r="BK75" s="22"/>
      <c r="BL75" s="22"/>
      <c r="BM75" s="22"/>
      <c r="BN75" s="22"/>
    </row>
    <row r="76" spans="6:66" x14ac:dyDescent="0.25"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H76" s="22"/>
      <c r="BI76" s="22"/>
      <c r="BJ76" s="22"/>
      <c r="BK76" s="22"/>
      <c r="BL76" s="22"/>
      <c r="BM76" s="22"/>
      <c r="BN76" s="22"/>
    </row>
    <row r="77" spans="6:66" x14ac:dyDescent="0.25"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H77" s="22"/>
      <c r="BI77" s="22"/>
      <c r="BJ77" s="22"/>
      <c r="BK77" s="22"/>
      <c r="BL77" s="22"/>
      <c r="BM77" s="22"/>
      <c r="BN77" s="22"/>
    </row>
    <row r="78" spans="6:66" x14ac:dyDescent="0.25"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H78" s="22"/>
      <c r="BI78" s="22"/>
      <c r="BJ78" s="22"/>
      <c r="BK78" s="22"/>
      <c r="BL78" s="22"/>
      <c r="BM78" s="22"/>
      <c r="BN78" s="22"/>
    </row>
    <row r="79" spans="6:66" x14ac:dyDescent="0.25"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H79" s="22"/>
      <c r="BI79" s="22"/>
      <c r="BJ79" s="22"/>
      <c r="BK79" s="22"/>
      <c r="BL79" s="22"/>
      <c r="BM79" s="22"/>
      <c r="BN79" s="22"/>
    </row>
    <row r="80" spans="6:66" x14ac:dyDescent="0.25"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H80" s="22"/>
      <c r="BI80" s="22"/>
      <c r="BJ80" s="22"/>
      <c r="BK80" s="22"/>
      <c r="BL80" s="22"/>
      <c r="BM80" s="22"/>
      <c r="BN80" s="22"/>
    </row>
    <row r="81" spans="6:66" x14ac:dyDescent="0.25"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H81" s="22"/>
      <c r="BI81" s="22"/>
      <c r="BJ81" s="22"/>
      <c r="BK81" s="22"/>
      <c r="BL81" s="22"/>
      <c r="BM81" s="22"/>
      <c r="BN81" s="22"/>
    </row>
    <row r="82" spans="6:66" x14ac:dyDescent="0.25"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H82" s="22"/>
      <c r="BI82" s="22"/>
      <c r="BJ82" s="22"/>
      <c r="BK82" s="22"/>
      <c r="BL82" s="22"/>
      <c r="BM82" s="22"/>
      <c r="BN82" s="22"/>
    </row>
    <row r="83" spans="6:66" x14ac:dyDescent="0.25"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H83" s="22"/>
      <c r="BI83" s="22"/>
      <c r="BJ83" s="22"/>
      <c r="BK83" s="22"/>
      <c r="BL83" s="22"/>
      <c r="BM83" s="22"/>
      <c r="BN83" s="22"/>
    </row>
    <row r="84" spans="6:66" x14ac:dyDescent="0.25"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H84" s="22"/>
      <c r="BI84" s="22"/>
      <c r="BJ84" s="22"/>
      <c r="BK84" s="22"/>
      <c r="BL84" s="22"/>
      <c r="BM84" s="22"/>
      <c r="BN84" s="22"/>
    </row>
    <row r="85" spans="6:66" x14ac:dyDescent="0.25"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H85" s="22"/>
      <c r="BI85" s="22"/>
      <c r="BJ85" s="22"/>
      <c r="BK85" s="22"/>
      <c r="BL85" s="22"/>
      <c r="BM85" s="22"/>
      <c r="BN85" s="22"/>
    </row>
    <row r="86" spans="6:66" x14ac:dyDescent="0.25"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H86" s="22"/>
      <c r="BI86" s="22"/>
      <c r="BJ86" s="22"/>
      <c r="BK86" s="22"/>
      <c r="BL86" s="22"/>
      <c r="BM86" s="22"/>
      <c r="BN86" s="22"/>
    </row>
    <row r="87" spans="6:66" x14ac:dyDescent="0.25"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H87" s="22"/>
      <c r="BI87" s="22"/>
      <c r="BJ87" s="22"/>
      <c r="BK87" s="22"/>
      <c r="BL87" s="22"/>
      <c r="BM87" s="22"/>
      <c r="BN87" s="22"/>
    </row>
    <row r="88" spans="6:66" x14ac:dyDescent="0.25"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H88" s="22"/>
      <c r="BI88" s="22"/>
      <c r="BJ88" s="22"/>
      <c r="BK88" s="22"/>
      <c r="BL88" s="22"/>
      <c r="BM88" s="22"/>
      <c r="BN88" s="22"/>
    </row>
    <row r="89" spans="6:66" x14ac:dyDescent="0.25"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H89" s="22"/>
      <c r="BI89" s="22"/>
      <c r="BJ89" s="22"/>
      <c r="BK89" s="22"/>
      <c r="BL89" s="22"/>
      <c r="BM89" s="22"/>
      <c r="BN89" s="22"/>
    </row>
    <row r="90" spans="6:66" x14ac:dyDescent="0.25"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H90" s="22"/>
      <c r="BI90" s="22"/>
      <c r="BJ90" s="22"/>
      <c r="BK90" s="22"/>
      <c r="BL90" s="22"/>
      <c r="BM90" s="22"/>
      <c r="BN90" s="22"/>
    </row>
    <row r="91" spans="6:66" x14ac:dyDescent="0.25"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H91" s="22"/>
      <c r="BI91" s="22"/>
      <c r="BJ91" s="22"/>
      <c r="BK91" s="22"/>
      <c r="BL91" s="22"/>
      <c r="BM91" s="22"/>
      <c r="BN91" s="22"/>
    </row>
    <row r="92" spans="6:66" x14ac:dyDescent="0.25"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H92" s="22"/>
      <c r="BI92" s="22"/>
      <c r="BJ92" s="22"/>
      <c r="BK92" s="22"/>
      <c r="BL92" s="22"/>
      <c r="BM92" s="22"/>
      <c r="BN92" s="22"/>
    </row>
    <row r="93" spans="6:66" x14ac:dyDescent="0.25"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H93" s="22"/>
      <c r="BI93" s="22"/>
      <c r="BJ93" s="22"/>
      <c r="BK93" s="22"/>
      <c r="BL93" s="22"/>
      <c r="BM93" s="22"/>
      <c r="BN93" s="22"/>
    </row>
    <row r="94" spans="6:66" x14ac:dyDescent="0.25"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H94" s="22"/>
      <c r="BI94" s="22"/>
      <c r="BJ94" s="22"/>
      <c r="BK94" s="22"/>
      <c r="BL94" s="22"/>
      <c r="BM94" s="22"/>
      <c r="BN94" s="22"/>
    </row>
    <row r="95" spans="6:66" x14ac:dyDescent="0.25"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H95" s="22"/>
      <c r="BI95" s="22"/>
      <c r="BJ95" s="22"/>
      <c r="BK95" s="22"/>
      <c r="BL95" s="22"/>
      <c r="BM95" s="22"/>
      <c r="BN95" s="22"/>
    </row>
    <row r="96" spans="6:66" x14ac:dyDescent="0.25"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H96" s="22"/>
      <c r="BI96" s="22"/>
      <c r="BJ96" s="22"/>
      <c r="BK96" s="22"/>
      <c r="BL96" s="22"/>
      <c r="BM96" s="22"/>
      <c r="BN96" s="22"/>
    </row>
    <row r="97" spans="6:66" x14ac:dyDescent="0.25"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H97" s="22"/>
      <c r="BI97" s="22"/>
      <c r="BJ97" s="22"/>
      <c r="BK97" s="22"/>
      <c r="BL97" s="22"/>
      <c r="BM97" s="22"/>
      <c r="BN97" s="22"/>
    </row>
    <row r="98" spans="6:66" x14ac:dyDescent="0.25"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H98" s="22"/>
      <c r="BI98" s="22"/>
      <c r="BJ98" s="22"/>
      <c r="BK98" s="22"/>
      <c r="BL98" s="22"/>
      <c r="BM98" s="22"/>
      <c r="BN98" s="22"/>
    </row>
    <row r="99" spans="6:66" x14ac:dyDescent="0.25"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H99" s="22"/>
      <c r="BI99" s="22"/>
      <c r="BJ99" s="22"/>
      <c r="BK99" s="22"/>
      <c r="BL99" s="22"/>
      <c r="BM99" s="22"/>
      <c r="BN99" s="22"/>
    </row>
    <row r="100" spans="6:66" x14ac:dyDescent="0.25"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H100" s="22"/>
      <c r="BI100" s="22"/>
      <c r="BJ100" s="22"/>
      <c r="BK100" s="22"/>
      <c r="BL100" s="22"/>
      <c r="BM100" s="22"/>
      <c r="BN100" s="22"/>
    </row>
    <row r="101" spans="6:66" x14ac:dyDescent="0.25"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H101" s="22"/>
      <c r="BI101" s="22"/>
      <c r="BJ101" s="22"/>
      <c r="BK101" s="22"/>
      <c r="BL101" s="22"/>
      <c r="BM101" s="22"/>
      <c r="BN101" s="22"/>
    </row>
    <row r="102" spans="6:66" x14ac:dyDescent="0.25"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H102" s="22"/>
      <c r="BI102" s="22"/>
      <c r="BJ102" s="22"/>
      <c r="BK102" s="22"/>
      <c r="BL102" s="22"/>
      <c r="BM102" s="22"/>
      <c r="BN102" s="22"/>
    </row>
    <row r="103" spans="6:66" x14ac:dyDescent="0.25"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H103" s="22"/>
      <c r="BI103" s="22"/>
      <c r="BJ103" s="22"/>
      <c r="BK103" s="22"/>
      <c r="BL103" s="22"/>
      <c r="BM103" s="22"/>
      <c r="BN103" s="22"/>
    </row>
    <row r="104" spans="6:66" x14ac:dyDescent="0.25"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H104" s="22"/>
      <c r="BI104" s="22"/>
      <c r="BJ104" s="22"/>
      <c r="BK104" s="22"/>
      <c r="BL104" s="22"/>
      <c r="BM104" s="22"/>
      <c r="BN104" s="22"/>
    </row>
    <row r="105" spans="6:66" x14ac:dyDescent="0.25"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H105" s="22"/>
      <c r="BI105" s="22"/>
      <c r="BJ105" s="22"/>
      <c r="BK105" s="22"/>
      <c r="BL105" s="22"/>
      <c r="BM105" s="22"/>
      <c r="BN105" s="22"/>
    </row>
    <row r="106" spans="6:66" x14ac:dyDescent="0.25"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H106" s="22"/>
      <c r="BI106" s="22"/>
      <c r="BJ106" s="22"/>
      <c r="BK106" s="22"/>
      <c r="BL106" s="22"/>
      <c r="BM106" s="22"/>
      <c r="BN106" s="22"/>
    </row>
    <row r="107" spans="6:66" x14ac:dyDescent="0.25"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H107" s="22"/>
      <c r="BI107" s="22"/>
      <c r="BJ107" s="22"/>
      <c r="BK107" s="22"/>
      <c r="BL107" s="22"/>
      <c r="BM107" s="22"/>
      <c r="BN107" s="22"/>
    </row>
    <row r="108" spans="6:66" x14ac:dyDescent="0.25"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H108" s="22"/>
      <c r="BI108" s="22"/>
      <c r="BJ108" s="22"/>
      <c r="BK108" s="22"/>
      <c r="BL108" s="22"/>
      <c r="BM108" s="22"/>
      <c r="BN108" s="22"/>
    </row>
    <row r="109" spans="6:66" x14ac:dyDescent="0.25"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H109" s="22"/>
      <c r="BI109" s="22"/>
      <c r="BJ109" s="22"/>
      <c r="BK109" s="22"/>
      <c r="BL109" s="22"/>
      <c r="BM109" s="22"/>
      <c r="BN109" s="22"/>
    </row>
    <row r="110" spans="6:66" x14ac:dyDescent="0.25"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H110" s="22"/>
      <c r="BI110" s="22"/>
      <c r="BJ110" s="22"/>
      <c r="BK110" s="22"/>
      <c r="BL110" s="22"/>
      <c r="BM110" s="22"/>
      <c r="BN110" s="22"/>
    </row>
    <row r="111" spans="6:66" x14ac:dyDescent="0.25"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H111" s="22"/>
      <c r="BI111" s="22"/>
      <c r="BJ111" s="22"/>
      <c r="BK111" s="22"/>
      <c r="BL111" s="22"/>
      <c r="BM111" s="22"/>
      <c r="BN111" s="22"/>
    </row>
    <row r="112" spans="6:66" x14ac:dyDescent="0.25"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H112" s="22"/>
      <c r="BI112" s="22"/>
      <c r="BJ112" s="22"/>
      <c r="BK112" s="22"/>
      <c r="BL112" s="22"/>
      <c r="BM112" s="22"/>
      <c r="BN112" s="22"/>
    </row>
    <row r="113" spans="6:66" x14ac:dyDescent="0.25"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H113" s="22"/>
      <c r="BI113" s="22"/>
      <c r="BJ113" s="22"/>
      <c r="BK113" s="22"/>
      <c r="BL113" s="22"/>
      <c r="BM113" s="22"/>
      <c r="BN113" s="22"/>
    </row>
    <row r="114" spans="6:66" x14ac:dyDescent="0.25"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H114" s="22"/>
      <c r="BI114" s="22"/>
      <c r="BJ114" s="22"/>
      <c r="BK114" s="22"/>
      <c r="BL114" s="22"/>
      <c r="BM114" s="22"/>
      <c r="BN114" s="22"/>
    </row>
    <row r="115" spans="6:66" x14ac:dyDescent="0.25"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H115" s="22"/>
      <c r="BI115" s="22"/>
      <c r="BJ115" s="22"/>
      <c r="BK115" s="22"/>
      <c r="BL115" s="22"/>
      <c r="BM115" s="22"/>
      <c r="BN115" s="22"/>
    </row>
    <row r="116" spans="6:66" x14ac:dyDescent="0.25"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H116" s="22"/>
      <c r="BI116" s="22"/>
      <c r="BJ116" s="22"/>
      <c r="BK116" s="22"/>
      <c r="BL116" s="22"/>
      <c r="BM116" s="22"/>
      <c r="BN116" s="22"/>
    </row>
    <row r="117" spans="6:66" x14ac:dyDescent="0.25"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H117" s="22"/>
      <c r="BI117" s="22"/>
      <c r="BJ117" s="22"/>
      <c r="BK117" s="22"/>
      <c r="BL117" s="22"/>
      <c r="BM117" s="22"/>
      <c r="BN117" s="22"/>
    </row>
    <row r="118" spans="6:66" x14ac:dyDescent="0.25"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H118" s="22"/>
      <c r="BI118" s="22"/>
      <c r="BJ118" s="22"/>
      <c r="BK118" s="22"/>
      <c r="BL118" s="22"/>
      <c r="BM118" s="22"/>
      <c r="BN118" s="22"/>
    </row>
    <row r="119" spans="6:66" x14ac:dyDescent="0.25"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H119" s="22"/>
      <c r="BI119" s="22"/>
      <c r="BJ119" s="22"/>
      <c r="BK119" s="22"/>
      <c r="BL119" s="22"/>
      <c r="BM119" s="22"/>
      <c r="BN119" s="22"/>
    </row>
    <row r="120" spans="6:66" x14ac:dyDescent="0.25"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H120" s="22"/>
      <c r="BI120" s="22"/>
      <c r="BJ120" s="22"/>
      <c r="BK120" s="22"/>
      <c r="BL120" s="22"/>
      <c r="BM120" s="22"/>
      <c r="BN120" s="22"/>
    </row>
    <row r="121" spans="6:66" x14ac:dyDescent="0.25"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H121" s="22"/>
      <c r="BI121" s="22"/>
      <c r="BJ121" s="22"/>
      <c r="BK121" s="22"/>
      <c r="BL121" s="22"/>
      <c r="BM121" s="22"/>
      <c r="BN121" s="22"/>
    </row>
    <row r="122" spans="6:66" x14ac:dyDescent="0.25"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H122" s="22"/>
      <c r="BI122" s="22"/>
      <c r="BJ122" s="22"/>
      <c r="BK122" s="22"/>
      <c r="BL122" s="22"/>
      <c r="BM122" s="22"/>
      <c r="BN122" s="22"/>
    </row>
    <row r="123" spans="6:66" x14ac:dyDescent="0.25"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H123" s="22"/>
      <c r="BI123" s="22"/>
      <c r="BJ123" s="22"/>
      <c r="BK123" s="22"/>
      <c r="BL123" s="22"/>
      <c r="BM123" s="22"/>
      <c r="BN123" s="22"/>
    </row>
    <row r="124" spans="6:66" x14ac:dyDescent="0.25"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H124" s="22"/>
      <c r="BI124" s="22"/>
      <c r="BJ124" s="22"/>
      <c r="BK124" s="22"/>
      <c r="BL124" s="22"/>
      <c r="BM124" s="22"/>
      <c r="BN124" s="22"/>
    </row>
    <row r="125" spans="6:66" x14ac:dyDescent="0.25"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H125" s="22"/>
      <c r="BI125" s="22"/>
      <c r="BJ125" s="22"/>
      <c r="BK125" s="22"/>
      <c r="BL125" s="22"/>
      <c r="BM125" s="22"/>
      <c r="BN125" s="22"/>
    </row>
    <row r="126" spans="6:66" x14ac:dyDescent="0.25"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H126" s="22"/>
      <c r="BI126" s="22"/>
      <c r="BJ126" s="22"/>
      <c r="BK126" s="22"/>
      <c r="BL126" s="22"/>
      <c r="BM126" s="22"/>
      <c r="BN126" s="22"/>
    </row>
    <row r="127" spans="6:66" x14ac:dyDescent="0.25"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H127" s="22"/>
      <c r="BI127" s="22"/>
      <c r="BJ127" s="22"/>
      <c r="BK127" s="22"/>
      <c r="BL127" s="22"/>
      <c r="BM127" s="22"/>
      <c r="BN127" s="22"/>
    </row>
    <row r="128" spans="6:66" x14ac:dyDescent="0.25"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H128" s="22"/>
      <c r="BI128" s="22"/>
      <c r="BJ128" s="22"/>
      <c r="BK128" s="22"/>
      <c r="BL128" s="22"/>
      <c r="BM128" s="22"/>
      <c r="BN128" s="22"/>
    </row>
    <row r="129" spans="6:66" x14ac:dyDescent="0.25"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H129" s="22"/>
      <c r="BI129" s="22"/>
      <c r="BJ129" s="22"/>
      <c r="BK129" s="22"/>
      <c r="BL129" s="22"/>
      <c r="BM129" s="22"/>
      <c r="BN129" s="22"/>
    </row>
    <row r="130" spans="6:66" x14ac:dyDescent="0.25"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H130" s="22"/>
      <c r="BI130" s="22"/>
      <c r="BJ130" s="22"/>
      <c r="BK130" s="22"/>
      <c r="BL130" s="22"/>
      <c r="BM130" s="22"/>
      <c r="BN130" s="22"/>
    </row>
    <row r="131" spans="6:66" x14ac:dyDescent="0.25"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H131" s="22"/>
      <c r="BI131" s="22"/>
      <c r="BJ131" s="22"/>
      <c r="BK131" s="22"/>
      <c r="BL131" s="22"/>
      <c r="BM131" s="22"/>
      <c r="BN131" s="22"/>
    </row>
    <row r="132" spans="6:66" x14ac:dyDescent="0.25"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H132" s="22"/>
      <c r="BI132" s="22"/>
      <c r="BJ132" s="22"/>
      <c r="BK132" s="22"/>
      <c r="BL132" s="22"/>
      <c r="BM132" s="22"/>
      <c r="BN132" s="22"/>
    </row>
    <row r="133" spans="6:66" x14ac:dyDescent="0.25"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H133" s="22"/>
      <c r="BI133" s="22"/>
      <c r="BJ133" s="22"/>
      <c r="BK133" s="22"/>
      <c r="BL133" s="22"/>
      <c r="BM133" s="22"/>
      <c r="BN133" s="22"/>
    </row>
    <row r="134" spans="6:66" x14ac:dyDescent="0.25"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H134" s="22"/>
      <c r="BI134" s="22"/>
      <c r="BJ134" s="22"/>
      <c r="BK134" s="22"/>
      <c r="BL134" s="22"/>
      <c r="BM134" s="22"/>
      <c r="BN134" s="22"/>
    </row>
    <row r="135" spans="6:66" x14ac:dyDescent="0.25"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H135" s="22"/>
      <c r="BI135" s="22"/>
      <c r="BJ135" s="22"/>
      <c r="BK135" s="22"/>
      <c r="BL135" s="22"/>
      <c r="BM135" s="22"/>
      <c r="BN135" s="22"/>
    </row>
    <row r="136" spans="6:66" x14ac:dyDescent="0.25"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H136" s="22"/>
      <c r="BI136" s="22"/>
      <c r="BJ136" s="22"/>
      <c r="BK136" s="22"/>
      <c r="BL136" s="22"/>
      <c r="BM136" s="22"/>
      <c r="BN136" s="22"/>
    </row>
    <row r="137" spans="6:66" x14ac:dyDescent="0.25"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H137" s="22"/>
      <c r="BI137" s="22"/>
      <c r="BJ137" s="22"/>
      <c r="BK137" s="22"/>
      <c r="BL137" s="22"/>
      <c r="BM137" s="22"/>
      <c r="BN137" s="22"/>
    </row>
    <row r="138" spans="6:66" x14ac:dyDescent="0.25"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H138" s="22"/>
      <c r="BI138" s="22"/>
      <c r="BJ138" s="22"/>
      <c r="BK138" s="22"/>
      <c r="BL138" s="22"/>
      <c r="BM138" s="22"/>
      <c r="BN138" s="22"/>
    </row>
    <row r="139" spans="6:66" x14ac:dyDescent="0.25"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H139" s="22"/>
      <c r="BI139" s="22"/>
      <c r="BJ139" s="22"/>
      <c r="BK139" s="22"/>
      <c r="BL139" s="22"/>
      <c r="BM139" s="22"/>
      <c r="BN139" s="22"/>
    </row>
    <row r="140" spans="6:66" x14ac:dyDescent="0.25"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H140" s="22"/>
      <c r="BI140" s="22"/>
      <c r="BJ140" s="22"/>
      <c r="BK140" s="22"/>
      <c r="BL140" s="22"/>
      <c r="BM140" s="22"/>
      <c r="BN140" s="22"/>
    </row>
    <row r="141" spans="6:66" x14ac:dyDescent="0.25"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H141" s="22"/>
      <c r="BI141" s="22"/>
      <c r="BJ141" s="22"/>
      <c r="BK141" s="22"/>
      <c r="BL141" s="22"/>
      <c r="BM141" s="22"/>
      <c r="BN141" s="22"/>
    </row>
    <row r="142" spans="6:66" x14ac:dyDescent="0.25"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H142" s="22"/>
      <c r="BI142" s="22"/>
      <c r="BJ142" s="22"/>
      <c r="BK142" s="22"/>
      <c r="BL142" s="22"/>
      <c r="BM142" s="22"/>
      <c r="BN142" s="22"/>
    </row>
    <row r="143" spans="6:66" x14ac:dyDescent="0.25"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H143" s="22"/>
      <c r="BI143" s="22"/>
      <c r="BJ143" s="22"/>
      <c r="BK143" s="22"/>
      <c r="BL143" s="22"/>
      <c r="BM143" s="22"/>
      <c r="BN143" s="22"/>
    </row>
    <row r="144" spans="6:66" x14ac:dyDescent="0.25"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H144" s="22"/>
      <c r="BI144" s="22"/>
      <c r="BJ144" s="22"/>
      <c r="BK144" s="22"/>
      <c r="BL144" s="22"/>
      <c r="BM144" s="22"/>
      <c r="BN144" s="22"/>
    </row>
    <row r="145" spans="6:66" x14ac:dyDescent="0.25"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H145" s="22"/>
      <c r="BI145" s="22"/>
      <c r="BJ145" s="22"/>
      <c r="BK145" s="22"/>
      <c r="BL145" s="22"/>
      <c r="BM145" s="22"/>
      <c r="BN145" s="22"/>
    </row>
    <row r="146" spans="6:66" x14ac:dyDescent="0.25"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H146" s="22"/>
      <c r="BI146" s="22"/>
      <c r="BJ146" s="22"/>
      <c r="BK146" s="22"/>
      <c r="BL146" s="22"/>
      <c r="BM146" s="22"/>
      <c r="BN146" s="22"/>
    </row>
    <row r="147" spans="6:66" x14ac:dyDescent="0.25"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H147" s="22"/>
      <c r="BI147" s="22"/>
      <c r="BJ147" s="22"/>
      <c r="BK147" s="22"/>
      <c r="BL147" s="22"/>
      <c r="BM147" s="22"/>
      <c r="BN147" s="22"/>
    </row>
    <row r="148" spans="6:66" x14ac:dyDescent="0.25"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H148" s="22"/>
      <c r="BI148" s="22"/>
      <c r="BJ148" s="22"/>
      <c r="BK148" s="22"/>
      <c r="BL148" s="22"/>
      <c r="BM148" s="22"/>
      <c r="BN148" s="22"/>
    </row>
    <row r="149" spans="6:66" x14ac:dyDescent="0.25"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H149" s="22"/>
      <c r="BI149" s="22"/>
      <c r="BJ149" s="22"/>
      <c r="BK149" s="22"/>
      <c r="BL149" s="22"/>
      <c r="BM149" s="22"/>
      <c r="BN149" s="22"/>
    </row>
    <row r="150" spans="6:66" x14ac:dyDescent="0.25"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H150" s="22"/>
      <c r="BI150" s="22"/>
      <c r="BJ150" s="22"/>
      <c r="BK150" s="22"/>
      <c r="BL150" s="22"/>
      <c r="BM150" s="22"/>
      <c r="BN150" s="22"/>
    </row>
    <row r="151" spans="6:66" x14ac:dyDescent="0.25"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H151" s="22"/>
      <c r="BI151" s="22"/>
      <c r="BJ151" s="22"/>
      <c r="BK151" s="22"/>
      <c r="BL151" s="22"/>
      <c r="BM151" s="22"/>
      <c r="BN151" s="22"/>
    </row>
    <row r="152" spans="6:66" x14ac:dyDescent="0.25"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H152" s="22"/>
      <c r="BI152" s="22"/>
      <c r="BJ152" s="22"/>
      <c r="BK152" s="22"/>
      <c r="BL152" s="22"/>
      <c r="BM152" s="22"/>
      <c r="BN152" s="22"/>
    </row>
    <row r="153" spans="6:66" x14ac:dyDescent="0.25"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H153" s="22"/>
      <c r="BI153" s="22"/>
      <c r="BJ153" s="22"/>
      <c r="BK153" s="22"/>
      <c r="BL153" s="22"/>
      <c r="BM153" s="22"/>
      <c r="BN153" s="22"/>
    </row>
    <row r="154" spans="6:66" x14ac:dyDescent="0.25"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H154" s="22"/>
      <c r="BI154" s="22"/>
      <c r="BJ154" s="22"/>
      <c r="BK154" s="22"/>
      <c r="BL154" s="22"/>
      <c r="BM154" s="22"/>
      <c r="BN154" s="22"/>
    </row>
    <row r="155" spans="6:66" x14ac:dyDescent="0.25"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H155" s="22"/>
      <c r="BI155" s="22"/>
      <c r="BJ155" s="22"/>
      <c r="BK155" s="22"/>
      <c r="BL155" s="22"/>
      <c r="BM155" s="22"/>
      <c r="BN155" s="22"/>
    </row>
    <row r="156" spans="6:66" x14ac:dyDescent="0.25"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H156" s="22"/>
      <c r="BI156" s="22"/>
      <c r="BJ156" s="22"/>
      <c r="BK156" s="22"/>
      <c r="BL156" s="22"/>
      <c r="BM156" s="22"/>
      <c r="BN156" s="22"/>
    </row>
    <row r="157" spans="6:66" x14ac:dyDescent="0.25"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H157" s="22"/>
      <c r="BI157" s="22"/>
      <c r="BJ157" s="22"/>
      <c r="BK157" s="22"/>
      <c r="BL157" s="22"/>
      <c r="BM157" s="22"/>
      <c r="BN157" s="22"/>
    </row>
    <row r="158" spans="6:66" x14ac:dyDescent="0.25"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H158" s="22"/>
      <c r="BI158" s="22"/>
      <c r="BJ158" s="22"/>
      <c r="BK158" s="22"/>
      <c r="BL158" s="22"/>
      <c r="BM158" s="22"/>
      <c r="BN158" s="22"/>
    </row>
    <row r="159" spans="6:66" x14ac:dyDescent="0.25"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H159" s="22"/>
      <c r="BI159" s="22"/>
      <c r="BJ159" s="22"/>
      <c r="BK159" s="22"/>
      <c r="BL159" s="22"/>
      <c r="BM159" s="22"/>
      <c r="BN159" s="22"/>
    </row>
    <row r="160" spans="6:66" x14ac:dyDescent="0.25"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H160" s="22"/>
      <c r="BI160" s="22"/>
      <c r="BJ160" s="22"/>
      <c r="BK160" s="22"/>
      <c r="BL160" s="22"/>
      <c r="BM160" s="22"/>
      <c r="BN160" s="22"/>
    </row>
    <row r="161" spans="6:66" x14ac:dyDescent="0.25"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H161" s="22"/>
      <c r="BI161" s="22"/>
      <c r="BJ161" s="22"/>
      <c r="BK161" s="22"/>
      <c r="BL161" s="22"/>
      <c r="BM161" s="22"/>
      <c r="BN161" s="22"/>
    </row>
    <row r="162" spans="6:66" x14ac:dyDescent="0.25"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H162" s="22"/>
      <c r="BI162" s="22"/>
      <c r="BJ162" s="22"/>
      <c r="BK162" s="22"/>
      <c r="BL162" s="22"/>
      <c r="BM162" s="22"/>
      <c r="BN162" s="22"/>
    </row>
    <row r="163" spans="6:66" x14ac:dyDescent="0.25"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H163" s="22"/>
      <c r="BI163" s="22"/>
      <c r="BJ163" s="22"/>
      <c r="BK163" s="22"/>
      <c r="BL163" s="22"/>
      <c r="BM163" s="22"/>
      <c r="BN163" s="22"/>
    </row>
    <row r="164" spans="6:66" x14ac:dyDescent="0.25"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H164" s="22"/>
      <c r="BI164" s="22"/>
      <c r="BJ164" s="22"/>
      <c r="BK164" s="22"/>
      <c r="BL164" s="22"/>
      <c r="BM164" s="22"/>
      <c r="BN164" s="22"/>
    </row>
    <row r="165" spans="6:66" x14ac:dyDescent="0.25"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H165" s="22"/>
      <c r="BI165" s="22"/>
      <c r="BJ165" s="22"/>
      <c r="BK165" s="22"/>
      <c r="BL165" s="22"/>
      <c r="BM165" s="22"/>
      <c r="BN165" s="22"/>
    </row>
    <row r="166" spans="6:66" x14ac:dyDescent="0.25"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H166" s="22"/>
      <c r="BI166" s="22"/>
      <c r="BJ166" s="22"/>
      <c r="BK166" s="22"/>
      <c r="BL166" s="22"/>
      <c r="BM166" s="22"/>
      <c r="BN166" s="22"/>
    </row>
    <row r="167" spans="6:66" x14ac:dyDescent="0.25"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H167" s="22"/>
      <c r="BI167" s="22"/>
      <c r="BJ167" s="22"/>
      <c r="BK167" s="22"/>
      <c r="BL167" s="22"/>
      <c r="BM167" s="22"/>
      <c r="BN167" s="22"/>
    </row>
    <row r="168" spans="6:66" x14ac:dyDescent="0.25"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H168" s="22"/>
      <c r="BI168" s="22"/>
      <c r="BJ168" s="22"/>
      <c r="BK168" s="22"/>
      <c r="BL168" s="22"/>
      <c r="BM168" s="22"/>
      <c r="BN168" s="22"/>
    </row>
    <row r="169" spans="6:66" x14ac:dyDescent="0.25"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H169" s="22"/>
      <c r="BI169" s="22"/>
      <c r="BJ169" s="22"/>
      <c r="BK169" s="22"/>
      <c r="BL169" s="22"/>
      <c r="BM169" s="22"/>
      <c r="BN169" s="22"/>
    </row>
    <row r="170" spans="6:66" x14ac:dyDescent="0.25"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H170" s="22"/>
      <c r="BI170" s="22"/>
      <c r="BJ170" s="22"/>
      <c r="BK170" s="22"/>
      <c r="BL170" s="22"/>
      <c r="BM170" s="22"/>
      <c r="BN170" s="22"/>
    </row>
    <row r="171" spans="6:66" x14ac:dyDescent="0.25"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H171" s="22"/>
      <c r="BI171" s="22"/>
      <c r="BJ171" s="22"/>
      <c r="BK171" s="22"/>
      <c r="BL171" s="22"/>
      <c r="BM171" s="22"/>
      <c r="BN171" s="22"/>
    </row>
    <row r="172" spans="6:66" x14ac:dyDescent="0.25"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H172" s="22"/>
      <c r="BI172" s="22"/>
      <c r="BJ172" s="22"/>
      <c r="BK172" s="22"/>
      <c r="BL172" s="22"/>
      <c r="BM172" s="22"/>
      <c r="BN172" s="22"/>
    </row>
    <row r="173" spans="6:66" x14ac:dyDescent="0.25"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H173" s="22"/>
      <c r="BI173" s="22"/>
      <c r="BJ173" s="22"/>
      <c r="BK173" s="22"/>
      <c r="BL173" s="22"/>
      <c r="BM173" s="22"/>
      <c r="BN173" s="22"/>
    </row>
    <row r="174" spans="6:66" x14ac:dyDescent="0.25"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H174" s="22"/>
      <c r="BI174" s="22"/>
      <c r="BJ174" s="22"/>
      <c r="BK174" s="22"/>
      <c r="BL174" s="22"/>
      <c r="BM174" s="22"/>
      <c r="BN174" s="22"/>
    </row>
    <row r="175" spans="6:66" x14ac:dyDescent="0.25"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H175" s="22"/>
      <c r="BI175" s="22"/>
      <c r="BJ175" s="22"/>
      <c r="BK175" s="22"/>
      <c r="BL175" s="22"/>
      <c r="BM175" s="22"/>
      <c r="BN175" s="22"/>
    </row>
    <row r="176" spans="6:66" x14ac:dyDescent="0.25"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H176" s="22"/>
      <c r="BI176" s="22"/>
      <c r="BJ176" s="22"/>
      <c r="BK176" s="22"/>
      <c r="BL176" s="22"/>
      <c r="BM176" s="22"/>
      <c r="BN176" s="22"/>
    </row>
    <row r="177" spans="6:66" x14ac:dyDescent="0.25"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H177" s="22"/>
      <c r="BI177" s="22"/>
      <c r="BJ177" s="22"/>
      <c r="BK177" s="22"/>
      <c r="BL177" s="22"/>
      <c r="BM177" s="22"/>
      <c r="BN177" s="22"/>
    </row>
    <row r="178" spans="6:66" x14ac:dyDescent="0.25"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H178" s="22"/>
      <c r="BI178" s="22"/>
      <c r="BJ178" s="22"/>
      <c r="BK178" s="22"/>
      <c r="BL178" s="22"/>
      <c r="BM178" s="22"/>
      <c r="BN178" s="22"/>
    </row>
    <row r="179" spans="6:66" x14ac:dyDescent="0.25"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H179" s="22"/>
      <c r="BI179" s="22"/>
      <c r="BJ179" s="22"/>
      <c r="BK179" s="22"/>
      <c r="BL179" s="22"/>
      <c r="BM179" s="22"/>
      <c r="BN179" s="22"/>
    </row>
    <row r="180" spans="6:66" x14ac:dyDescent="0.25"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H180" s="22"/>
      <c r="BI180" s="22"/>
      <c r="BJ180" s="22"/>
      <c r="BK180" s="22"/>
      <c r="BL180" s="22"/>
      <c r="BM180" s="22"/>
      <c r="BN180" s="22"/>
    </row>
    <row r="181" spans="6:66" x14ac:dyDescent="0.25"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H181" s="22"/>
      <c r="BI181" s="22"/>
      <c r="BJ181" s="22"/>
      <c r="BK181" s="22"/>
      <c r="BL181" s="22"/>
      <c r="BM181" s="22"/>
      <c r="BN181" s="22"/>
    </row>
    <row r="182" spans="6:66" x14ac:dyDescent="0.25"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H182" s="22"/>
      <c r="BI182" s="22"/>
      <c r="BJ182" s="22"/>
      <c r="BK182" s="22"/>
      <c r="BL182" s="22"/>
      <c r="BM182" s="22"/>
      <c r="BN182" s="22"/>
    </row>
    <row r="183" spans="6:66" x14ac:dyDescent="0.25"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H183" s="22"/>
      <c r="BI183" s="22"/>
      <c r="BJ183" s="22"/>
      <c r="BK183" s="22"/>
      <c r="BL183" s="22"/>
      <c r="BM183" s="22"/>
      <c r="BN183" s="22"/>
    </row>
    <row r="184" spans="6:66" x14ac:dyDescent="0.25"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H184" s="22"/>
      <c r="BI184" s="22"/>
      <c r="BJ184" s="22"/>
      <c r="BK184" s="22"/>
      <c r="BL184" s="22"/>
      <c r="BM184" s="22"/>
      <c r="BN184" s="22"/>
    </row>
    <row r="185" spans="6:66" x14ac:dyDescent="0.25"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H185" s="22"/>
      <c r="BI185" s="22"/>
      <c r="BJ185" s="22"/>
      <c r="BK185" s="22"/>
      <c r="BL185" s="22"/>
      <c r="BM185" s="22"/>
      <c r="BN185" s="22"/>
    </row>
    <row r="186" spans="6:66" x14ac:dyDescent="0.25"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H186" s="22"/>
      <c r="BI186" s="22"/>
      <c r="BJ186" s="22"/>
      <c r="BK186" s="22"/>
      <c r="BL186" s="22"/>
      <c r="BM186" s="22"/>
      <c r="BN186" s="22"/>
    </row>
    <row r="187" spans="6:66" x14ac:dyDescent="0.25"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H187" s="22"/>
      <c r="BI187" s="22"/>
      <c r="BJ187" s="22"/>
      <c r="BK187" s="22"/>
      <c r="BL187" s="22"/>
      <c r="BM187" s="22"/>
      <c r="BN187" s="22"/>
    </row>
    <row r="188" spans="6:66" x14ac:dyDescent="0.25"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H188" s="22"/>
      <c r="BI188" s="22"/>
      <c r="BJ188" s="22"/>
      <c r="BK188" s="22"/>
      <c r="BL188" s="22"/>
      <c r="BM188" s="22"/>
      <c r="BN188" s="22"/>
    </row>
    <row r="189" spans="6:66" x14ac:dyDescent="0.25"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H189" s="22"/>
      <c r="BI189" s="22"/>
      <c r="BJ189" s="22"/>
      <c r="BK189" s="22"/>
      <c r="BL189" s="22"/>
      <c r="BM189" s="22"/>
      <c r="BN189" s="22"/>
    </row>
    <row r="190" spans="6:66" x14ac:dyDescent="0.25"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H190" s="22"/>
      <c r="BI190" s="22"/>
      <c r="BJ190" s="22"/>
      <c r="BK190" s="22"/>
      <c r="BL190" s="22"/>
      <c r="BM190" s="22"/>
      <c r="BN190" s="22"/>
    </row>
    <row r="191" spans="6:66" x14ac:dyDescent="0.25"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H191" s="22"/>
      <c r="BI191" s="22"/>
      <c r="BJ191" s="22"/>
      <c r="BK191" s="22"/>
      <c r="BL191" s="22"/>
      <c r="BM191" s="22"/>
      <c r="BN191" s="22"/>
    </row>
    <row r="192" spans="6:66" x14ac:dyDescent="0.25"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H192" s="22"/>
      <c r="BI192" s="22"/>
      <c r="BJ192" s="22"/>
      <c r="BK192" s="22"/>
      <c r="BL192" s="22"/>
      <c r="BM192" s="22"/>
      <c r="BN192" s="22"/>
    </row>
    <row r="193" spans="6:66" x14ac:dyDescent="0.25"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H193" s="22"/>
      <c r="BI193" s="22"/>
      <c r="BJ193" s="22"/>
      <c r="BK193" s="22"/>
      <c r="BL193" s="22"/>
      <c r="BM193" s="22"/>
      <c r="BN193" s="22"/>
    </row>
    <row r="194" spans="6:66" x14ac:dyDescent="0.25"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H194" s="22"/>
      <c r="BI194" s="22"/>
      <c r="BJ194" s="22"/>
      <c r="BK194" s="22"/>
      <c r="BL194" s="22"/>
      <c r="BM194" s="22"/>
      <c r="BN194" s="22"/>
    </row>
    <row r="195" spans="6:66" x14ac:dyDescent="0.25">
      <c r="BH195" s="22"/>
      <c r="BI195" s="22"/>
      <c r="BJ195" s="22"/>
      <c r="BK195" s="22"/>
      <c r="BL195" s="22"/>
      <c r="BM195" s="22"/>
      <c r="BN195" s="22"/>
    </row>
    <row r="196" spans="6:66" x14ac:dyDescent="0.25">
      <c r="BH196" s="22"/>
      <c r="BI196" s="22"/>
      <c r="BJ196" s="22"/>
      <c r="BK196" s="22"/>
      <c r="BL196" s="22"/>
      <c r="BM196" s="22"/>
      <c r="BN196" s="22"/>
    </row>
    <row r="197" spans="6:66" x14ac:dyDescent="0.25">
      <c r="BH197" s="22"/>
      <c r="BI197" s="22"/>
      <c r="BJ197" s="22"/>
      <c r="BK197" s="22"/>
      <c r="BL197" s="22"/>
      <c r="BM197" s="22"/>
      <c r="BN197" s="22"/>
    </row>
    <row r="198" spans="6:66" x14ac:dyDescent="0.25">
      <c r="BH198" s="22"/>
      <c r="BI198" s="22"/>
      <c r="BJ198" s="22"/>
      <c r="BK198" s="22"/>
      <c r="BL198" s="22"/>
      <c r="BM198" s="22"/>
      <c r="BN198" s="22"/>
    </row>
    <row r="199" spans="6:66" x14ac:dyDescent="0.25">
      <c r="BH199" s="22"/>
      <c r="BI199" s="22"/>
      <c r="BJ199" s="22"/>
      <c r="BK199" s="22"/>
      <c r="BL199" s="22"/>
      <c r="BM199" s="22"/>
      <c r="BN199" s="22"/>
    </row>
    <row r="200" spans="6:66" x14ac:dyDescent="0.25">
      <c r="BH200" s="22"/>
      <c r="BI200" s="22"/>
      <c r="BJ200" s="22"/>
      <c r="BK200" s="22"/>
      <c r="BL200" s="22"/>
      <c r="BM200" s="22"/>
      <c r="BN200" s="22"/>
    </row>
    <row r="201" spans="6:66" x14ac:dyDescent="0.25">
      <c r="BH201" s="22"/>
      <c r="BI201" s="22"/>
      <c r="BJ201" s="22"/>
      <c r="BK201" s="22"/>
      <c r="BL201" s="22"/>
      <c r="BM201" s="22"/>
      <c r="BN201" s="22"/>
    </row>
    <row r="202" spans="6:66" x14ac:dyDescent="0.25">
      <c r="BH202" s="22"/>
      <c r="BI202" s="22"/>
      <c r="BJ202" s="22"/>
      <c r="BK202" s="22"/>
      <c r="BL202" s="22"/>
      <c r="BM202" s="22"/>
      <c r="BN202" s="22"/>
    </row>
    <row r="203" spans="6:66" x14ac:dyDescent="0.25">
      <c r="BH203" s="22"/>
      <c r="BI203" s="22"/>
      <c r="BJ203" s="22"/>
      <c r="BK203" s="22"/>
      <c r="BL203" s="22"/>
      <c r="BM203" s="22"/>
      <c r="BN203" s="22"/>
    </row>
    <row r="204" spans="6:66" x14ac:dyDescent="0.25">
      <c r="BH204" s="22"/>
      <c r="BI204" s="22"/>
      <c r="BJ204" s="22"/>
      <c r="BK204" s="22"/>
      <c r="BL204" s="22"/>
      <c r="BM204" s="22"/>
      <c r="BN204" s="22"/>
    </row>
    <row r="205" spans="6:66" x14ac:dyDescent="0.25">
      <c r="BH205" s="22"/>
      <c r="BI205" s="22"/>
      <c r="BJ205" s="22"/>
      <c r="BK205" s="22"/>
      <c r="BL205" s="22"/>
      <c r="BM205" s="22"/>
      <c r="BN205" s="22"/>
    </row>
    <row r="206" spans="6:66" x14ac:dyDescent="0.25">
      <c r="BH206" s="22"/>
      <c r="BI206" s="22"/>
      <c r="BJ206" s="22"/>
      <c r="BK206" s="22"/>
      <c r="BL206" s="22"/>
      <c r="BM206" s="22"/>
      <c r="BN206" s="22"/>
    </row>
    <row r="207" spans="6:66" x14ac:dyDescent="0.25">
      <c r="BH207" s="22"/>
      <c r="BI207" s="22"/>
      <c r="BJ207" s="22"/>
      <c r="BK207" s="22"/>
      <c r="BL207" s="22"/>
      <c r="BM207" s="22"/>
      <c r="BN207" s="22"/>
    </row>
    <row r="208" spans="6:66" x14ac:dyDescent="0.25">
      <c r="BH208" s="22"/>
      <c r="BI208" s="22"/>
      <c r="BJ208" s="22"/>
      <c r="BK208" s="22"/>
      <c r="BL208" s="22"/>
      <c r="BM208" s="22"/>
      <c r="BN208" s="22"/>
    </row>
    <row r="209" spans="60:66" x14ac:dyDescent="0.25">
      <c r="BH209" s="22"/>
      <c r="BI209" s="22"/>
      <c r="BJ209" s="22"/>
      <c r="BK209" s="22"/>
      <c r="BL209" s="22"/>
      <c r="BM209" s="22"/>
      <c r="BN209" s="22"/>
    </row>
    <row r="210" spans="60:66" x14ac:dyDescent="0.25">
      <c r="BH210" s="22"/>
      <c r="BI210" s="22"/>
      <c r="BJ210" s="22"/>
      <c r="BK210" s="22"/>
      <c r="BL210" s="22"/>
      <c r="BM210" s="22"/>
      <c r="BN210" s="22"/>
    </row>
    <row r="211" spans="60:66" x14ac:dyDescent="0.25">
      <c r="BH211" s="22"/>
      <c r="BI211" s="22"/>
      <c r="BJ211" s="22"/>
      <c r="BK211" s="22"/>
      <c r="BL211" s="22"/>
      <c r="BM211" s="22"/>
      <c r="BN211" s="22"/>
    </row>
    <row r="212" spans="60:66" x14ac:dyDescent="0.25">
      <c r="BH212" s="22"/>
      <c r="BI212" s="22"/>
      <c r="BJ212" s="22"/>
      <c r="BK212" s="22"/>
      <c r="BL212" s="22"/>
      <c r="BM212" s="22"/>
      <c r="BN212" s="22"/>
    </row>
    <row r="213" spans="60:66" x14ac:dyDescent="0.25">
      <c r="BH213" s="22"/>
      <c r="BI213" s="22"/>
      <c r="BJ213" s="22"/>
      <c r="BK213" s="22"/>
      <c r="BL213" s="22"/>
      <c r="BM213" s="22"/>
      <c r="BN213" s="22"/>
    </row>
    <row r="214" spans="60:66" x14ac:dyDescent="0.25">
      <c r="BH214" s="22"/>
      <c r="BI214" s="22"/>
      <c r="BJ214" s="22"/>
      <c r="BK214" s="22"/>
      <c r="BL214" s="22"/>
      <c r="BM214" s="22"/>
      <c r="BN214" s="22"/>
    </row>
    <row r="215" spans="60:66" x14ac:dyDescent="0.25">
      <c r="BH215" s="22"/>
      <c r="BI215" s="22"/>
      <c r="BJ215" s="22"/>
      <c r="BK215" s="22"/>
      <c r="BL215" s="22"/>
      <c r="BM215" s="22"/>
      <c r="BN215" s="22"/>
    </row>
    <row r="216" spans="60:66" x14ac:dyDescent="0.25">
      <c r="BH216" s="22"/>
      <c r="BI216" s="22"/>
      <c r="BJ216" s="22"/>
      <c r="BK216" s="22"/>
      <c r="BL216" s="22"/>
      <c r="BM216" s="22"/>
      <c r="BN216" s="22"/>
    </row>
    <row r="217" spans="60:66" x14ac:dyDescent="0.25">
      <c r="BH217" s="22"/>
      <c r="BI217" s="22"/>
      <c r="BJ217" s="22"/>
      <c r="BK217" s="22"/>
      <c r="BL217" s="22"/>
      <c r="BM217" s="22"/>
      <c r="BN217" s="22"/>
    </row>
    <row r="218" spans="60:66" x14ac:dyDescent="0.25">
      <c r="BH218" s="22"/>
      <c r="BI218" s="22"/>
      <c r="BJ218" s="22"/>
      <c r="BK218" s="22"/>
      <c r="BL218" s="22"/>
      <c r="BM218" s="22"/>
      <c r="BN218" s="22"/>
    </row>
    <row r="219" spans="60:66" x14ac:dyDescent="0.25">
      <c r="BH219" s="22"/>
      <c r="BI219" s="22"/>
      <c r="BJ219" s="22"/>
      <c r="BK219" s="22"/>
      <c r="BL219" s="22"/>
      <c r="BM219" s="22"/>
      <c r="BN219" s="22"/>
    </row>
    <row r="220" spans="60:66" x14ac:dyDescent="0.25">
      <c r="BH220" s="22"/>
      <c r="BI220" s="22"/>
      <c r="BJ220" s="22"/>
      <c r="BK220" s="22"/>
      <c r="BL220" s="22"/>
      <c r="BM220" s="22"/>
      <c r="BN220" s="22"/>
    </row>
    <row r="221" spans="60:66" x14ac:dyDescent="0.25">
      <c r="BH221" s="22"/>
      <c r="BI221" s="22"/>
      <c r="BJ221" s="22"/>
      <c r="BK221" s="22"/>
      <c r="BL221" s="22"/>
      <c r="BM221" s="22"/>
      <c r="BN221" s="22"/>
    </row>
    <row r="222" spans="60:66" x14ac:dyDescent="0.25">
      <c r="BH222" s="22"/>
      <c r="BI222" s="22"/>
      <c r="BJ222" s="22"/>
      <c r="BK222" s="22"/>
      <c r="BL222" s="22"/>
      <c r="BM222" s="22"/>
      <c r="BN222" s="22"/>
    </row>
    <row r="223" spans="60:66" x14ac:dyDescent="0.25">
      <c r="BH223" s="22"/>
      <c r="BI223" s="22"/>
      <c r="BJ223" s="22"/>
      <c r="BK223" s="22"/>
      <c r="BL223" s="22"/>
      <c r="BM223" s="22"/>
      <c r="BN223" s="22"/>
    </row>
    <row r="224" spans="60:66" x14ac:dyDescent="0.25">
      <c r="BH224" s="22"/>
      <c r="BI224" s="22"/>
      <c r="BJ224" s="22"/>
      <c r="BK224" s="22"/>
      <c r="BL224" s="22"/>
      <c r="BM224" s="22"/>
      <c r="BN224" s="22"/>
    </row>
    <row r="225" spans="60:66" x14ac:dyDescent="0.25">
      <c r="BH225" s="22"/>
      <c r="BI225" s="22"/>
      <c r="BJ225" s="22"/>
      <c r="BK225" s="22"/>
      <c r="BL225" s="22"/>
      <c r="BM225" s="22"/>
      <c r="BN225" s="22"/>
    </row>
    <row r="226" spans="60:66" x14ac:dyDescent="0.25">
      <c r="BH226" s="22"/>
      <c r="BI226" s="22"/>
      <c r="BJ226" s="22"/>
      <c r="BK226" s="22"/>
      <c r="BL226" s="22"/>
      <c r="BM226" s="22"/>
      <c r="BN226" s="22"/>
    </row>
    <row r="227" spans="60:66" x14ac:dyDescent="0.25">
      <c r="BH227" s="22"/>
      <c r="BI227" s="22"/>
      <c r="BJ227" s="22"/>
      <c r="BK227" s="22"/>
      <c r="BL227" s="22"/>
      <c r="BM227" s="22"/>
      <c r="BN227" s="22"/>
    </row>
    <row r="228" spans="60:66" x14ac:dyDescent="0.25">
      <c r="BH228" s="22"/>
      <c r="BI228" s="22"/>
      <c r="BJ228" s="22"/>
      <c r="BK228" s="22"/>
      <c r="BL228" s="22"/>
      <c r="BM228" s="22"/>
      <c r="BN228" s="22"/>
    </row>
    <row r="229" spans="60:66" x14ac:dyDescent="0.25">
      <c r="BH229" s="22"/>
      <c r="BI229" s="22"/>
      <c r="BJ229" s="22"/>
      <c r="BK229" s="22"/>
      <c r="BL229" s="22"/>
      <c r="BM229" s="22"/>
      <c r="BN229" s="22"/>
    </row>
    <row r="230" spans="60:66" x14ac:dyDescent="0.25">
      <c r="BH230" s="22"/>
      <c r="BI230" s="22"/>
      <c r="BJ230" s="22"/>
      <c r="BK230" s="22"/>
      <c r="BL230" s="22"/>
      <c r="BM230" s="22"/>
      <c r="BN230" s="22"/>
    </row>
    <row r="231" spans="60:66" x14ac:dyDescent="0.25">
      <c r="BH231" s="22"/>
      <c r="BI231" s="22"/>
      <c r="BJ231" s="22"/>
      <c r="BK231" s="22"/>
      <c r="BL231" s="22"/>
      <c r="BM231" s="22"/>
      <c r="BN231" s="22"/>
    </row>
    <row r="232" spans="60:66" x14ac:dyDescent="0.25">
      <c r="BH232" s="22"/>
      <c r="BI232" s="22"/>
      <c r="BJ232" s="22"/>
      <c r="BK232" s="22"/>
      <c r="BL232" s="22"/>
      <c r="BM232" s="22"/>
      <c r="BN232" s="22"/>
    </row>
    <row r="233" spans="60:66" x14ac:dyDescent="0.25">
      <c r="BH233" s="22"/>
      <c r="BI233" s="22"/>
      <c r="BJ233" s="22"/>
      <c r="BK233" s="22"/>
      <c r="BL233" s="22"/>
      <c r="BM233" s="22"/>
      <c r="BN233" s="22"/>
    </row>
    <row r="234" spans="60:66" x14ac:dyDescent="0.25">
      <c r="BH234" s="22"/>
      <c r="BI234" s="22"/>
      <c r="BJ234" s="22"/>
      <c r="BK234" s="22"/>
      <c r="BL234" s="22"/>
      <c r="BM234" s="22"/>
      <c r="BN234" s="22"/>
    </row>
    <row r="235" spans="60:66" x14ac:dyDescent="0.25">
      <c r="BH235" s="22"/>
      <c r="BI235" s="22"/>
      <c r="BJ235" s="22"/>
      <c r="BK235" s="22"/>
      <c r="BL235" s="22"/>
      <c r="BM235" s="22"/>
      <c r="BN235" s="22"/>
    </row>
    <row r="236" spans="60:66" x14ac:dyDescent="0.25">
      <c r="BH236" s="22"/>
      <c r="BI236" s="22"/>
      <c r="BJ236" s="22"/>
      <c r="BK236" s="22"/>
      <c r="BL236" s="22"/>
      <c r="BM236" s="22"/>
      <c r="BN236" s="22"/>
    </row>
    <row r="237" spans="60:66" x14ac:dyDescent="0.25">
      <c r="BH237" s="22"/>
      <c r="BI237" s="22"/>
      <c r="BJ237" s="22"/>
      <c r="BK237" s="22"/>
      <c r="BL237" s="22"/>
      <c r="BM237" s="22"/>
      <c r="BN237" s="22"/>
    </row>
    <row r="238" spans="60:66" x14ac:dyDescent="0.25">
      <c r="BH238" s="22"/>
      <c r="BI238" s="22"/>
      <c r="BJ238" s="22"/>
      <c r="BK238" s="22"/>
      <c r="BL238" s="22"/>
      <c r="BM238" s="22"/>
      <c r="BN238" s="22"/>
    </row>
    <row r="239" spans="60:66" x14ac:dyDescent="0.25">
      <c r="BH239" s="22"/>
      <c r="BI239" s="22"/>
      <c r="BJ239" s="22"/>
      <c r="BK239" s="22"/>
      <c r="BL239" s="22"/>
      <c r="BM239" s="22"/>
      <c r="BN239" s="22"/>
    </row>
    <row r="240" spans="60:66" x14ac:dyDescent="0.25">
      <c r="BH240" s="22"/>
      <c r="BI240" s="22"/>
      <c r="BJ240" s="22"/>
      <c r="BK240" s="22"/>
      <c r="BL240" s="22"/>
      <c r="BM240" s="22"/>
      <c r="BN240" s="22"/>
    </row>
    <row r="241" spans="60:66" x14ac:dyDescent="0.25">
      <c r="BH241" s="22"/>
      <c r="BI241" s="22"/>
      <c r="BJ241" s="22"/>
      <c r="BK241" s="22"/>
      <c r="BL241" s="22"/>
      <c r="BM241" s="22"/>
      <c r="BN241" s="22"/>
    </row>
    <row r="242" spans="60:66" x14ac:dyDescent="0.25">
      <c r="BH242" s="22"/>
      <c r="BI242" s="22"/>
      <c r="BJ242" s="22"/>
      <c r="BK242" s="22"/>
      <c r="BL242" s="22"/>
      <c r="BM242" s="22"/>
      <c r="BN242" s="22"/>
    </row>
    <row r="243" spans="60:66" x14ac:dyDescent="0.25">
      <c r="BH243" s="22"/>
      <c r="BI243" s="22"/>
      <c r="BJ243" s="22"/>
      <c r="BK243" s="22"/>
      <c r="BL243" s="22"/>
      <c r="BM243" s="22"/>
      <c r="BN243" s="22"/>
    </row>
    <row r="244" spans="60:66" x14ac:dyDescent="0.25">
      <c r="BH244" s="22"/>
      <c r="BI244" s="22"/>
      <c r="BJ244" s="22"/>
      <c r="BK244" s="22"/>
      <c r="BL244" s="22"/>
      <c r="BM244" s="22"/>
      <c r="BN244" s="22"/>
    </row>
    <row r="245" spans="60:66" x14ac:dyDescent="0.25">
      <c r="BH245" s="22"/>
      <c r="BI245" s="22"/>
      <c r="BJ245" s="22"/>
      <c r="BK245" s="22"/>
      <c r="BL245" s="22"/>
      <c r="BM245" s="22"/>
      <c r="BN245" s="22"/>
    </row>
    <row r="246" spans="60:66" x14ac:dyDescent="0.25">
      <c r="BH246" s="22"/>
      <c r="BI246" s="22"/>
      <c r="BJ246" s="22"/>
      <c r="BK246" s="22"/>
      <c r="BL246" s="22"/>
      <c r="BM246" s="22"/>
      <c r="BN246" s="22"/>
    </row>
    <row r="247" spans="60:66" x14ac:dyDescent="0.25">
      <c r="BH247" s="22"/>
      <c r="BI247" s="22"/>
      <c r="BJ247" s="22"/>
      <c r="BK247" s="22"/>
      <c r="BL247" s="22"/>
      <c r="BM247" s="22"/>
      <c r="BN247" s="22"/>
    </row>
  </sheetData>
  <conditionalFormatting sqref="K10:AO29">
    <cfRule type="containsText" dxfId="143" priority="1" operator="containsText" text="L">
      <formula>NOT(ISERROR(SEARCH("L",K10)))</formula>
    </cfRule>
    <cfRule type="containsText" dxfId="142" priority="2" operator="containsText" text="A">
      <formula>NOT(ISERROR(SEARCH("A",K10)))</formula>
    </cfRule>
    <cfRule type="containsText" dxfId="141" priority="3" operator="containsText" text="P">
      <formula>NOT(ISERROR(SEARCH("P",K10)))</formula>
    </cfRule>
  </conditionalFormatting>
  <conditionalFormatting sqref="L10:L29">
    <cfRule type="containsText" dxfId="140" priority="26" operator="containsText" text="WO">
      <formula>NOT(ISERROR(SEARCH("WO",L10)))</formula>
    </cfRule>
  </conditionalFormatting>
  <conditionalFormatting sqref="S10:S29">
    <cfRule type="containsText" dxfId="139" priority="22" operator="containsText" text="WO">
      <formula>NOT(ISERROR(SEARCH("WO",S10)))</formula>
    </cfRule>
  </conditionalFormatting>
  <conditionalFormatting sqref="U10:V29 AI10:AJ29 T11:T29 AH11:AH29 AO11:AO29 J10:J29">
    <cfRule type="containsText" dxfId="138" priority="54" operator="containsText" text="WO">
      <formula>NOT(ISERROR(SEARCH("WO",J10)))</formula>
    </cfRule>
  </conditionalFormatting>
  <conditionalFormatting sqref="Z10:Z29">
    <cfRule type="containsText" dxfId="137" priority="18" operator="containsText" text="WO">
      <formula>NOT(ISERROR(SEARCH("WO",Z10)))</formula>
    </cfRule>
  </conditionalFormatting>
  <conditionalFormatting sqref="AG10:AG29">
    <cfRule type="containsText" dxfId="136" priority="14" operator="containsText" text="WO">
      <formula>NOT(ISERROR(SEARCH("WO",AG10)))</formula>
    </cfRule>
  </conditionalFormatting>
  <conditionalFormatting sqref="AN10:AN29">
    <cfRule type="containsText" dxfId="135" priority="10" operator="containsText" text="WO">
      <formula>NOT(ISERROR(SEARCH("WO",AN10)))</formula>
    </cfRule>
  </conditionalFormatting>
  <dataValidations count="1">
    <dataValidation type="list" allowBlank="1" showInputMessage="1" showErrorMessage="1" sqref="K10:K29 AO10:AO29 AA10:AF29 T10:Y29 M10:R29 AH10:AM29" xr:uid="{CC7BA6D7-F0FE-41E4-A89E-0DE10F89CAF6}">
      <formula1>"P, A, 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F9DCC00-79E3-4D9F-9422-B1C780598D86}">
          <x14:formula1>
            <xm:f>Sheet2!$A$1:$A$12</xm:f>
          </x14:formula1>
          <xm:sqref>H6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81DC2242-DD76-473C-8C30-8416C58F668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Mar!AV10:AY10</xm:f>
              <xm:sqref>BF10</xm:sqref>
            </x14:sparkline>
            <x14:sparkline>
              <xm:f>Mar!AV11:AY11</xm:f>
              <xm:sqref>BF11</xm:sqref>
            </x14:sparkline>
            <x14:sparkline>
              <xm:f>Mar!AV12:AY12</xm:f>
              <xm:sqref>BF12</xm:sqref>
            </x14:sparkline>
            <x14:sparkline>
              <xm:f>Mar!AV13:AY13</xm:f>
              <xm:sqref>BF13</xm:sqref>
            </x14:sparkline>
            <x14:sparkline>
              <xm:f>Mar!AV14:AY14</xm:f>
              <xm:sqref>BF14</xm:sqref>
            </x14:sparkline>
            <x14:sparkline>
              <xm:f>Mar!AV15:AY15</xm:f>
              <xm:sqref>BF15</xm:sqref>
            </x14:sparkline>
            <x14:sparkline>
              <xm:f>Mar!AV16:AY16</xm:f>
              <xm:sqref>BF16</xm:sqref>
            </x14:sparkline>
            <x14:sparkline>
              <xm:f>Mar!AV17:AY17</xm:f>
              <xm:sqref>BF17</xm:sqref>
            </x14:sparkline>
            <x14:sparkline>
              <xm:f>Mar!AV18:AY18</xm:f>
              <xm:sqref>BF18</xm:sqref>
            </x14:sparkline>
            <x14:sparkline>
              <xm:f>Mar!AV19:AY19</xm:f>
              <xm:sqref>BF19</xm:sqref>
            </x14:sparkline>
            <x14:sparkline>
              <xm:f>Mar!AV20:AY20</xm:f>
              <xm:sqref>BF20</xm:sqref>
            </x14:sparkline>
            <x14:sparkline>
              <xm:f>Mar!AV21:AY21</xm:f>
              <xm:sqref>BF21</xm:sqref>
            </x14:sparkline>
            <x14:sparkline>
              <xm:f>Mar!AV22:AY22</xm:f>
              <xm:sqref>BF22</xm:sqref>
            </x14:sparkline>
            <x14:sparkline>
              <xm:f>Mar!AV23:AY23</xm:f>
              <xm:sqref>BF23</xm:sqref>
            </x14:sparkline>
            <x14:sparkline>
              <xm:f>Mar!AV24:AY24</xm:f>
              <xm:sqref>BF24</xm:sqref>
            </x14:sparkline>
            <x14:sparkline>
              <xm:f>Mar!AV25:AY25</xm:f>
              <xm:sqref>BF25</xm:sqref>
            </x14:sparkline>
            <x14:sparkline>
              <xm:f>Mar!AV26:AY26</xm:f>
              <xm:sqref>BF26</xm:sqref>
            </x14:sparkline>
            <x14:sparkline>
              <xm:f>Mar!AV27:AY27</xm:f>
              <xm:sqref>BF27</xm:sqref>
            </x14:sparkline>
            <x14:sparkline>
              <xm:f>Mar!AV28:AY28</xm:f>
              <xm:sqref>BF28</xm:sqref>
            </x14:sparkline>
            <x14:sparkline>
              <xm:f>Mar!AV29:AY29</xm:f>
              <xm:sqref>BF29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1D8C-C1BE-4D08-A898-6E9BCCEFB8F6}">
  <dimension ref="E1:BR247"/>
  <sheetViews>
    <sheetView zoomScale="85" zoomScaleNormal="85" workbookViewId="0"/>
  </sheetViews>
  <sheetFormatPr defaultRowHeight="15.75" x14ac:dyDescent="0.25"/>
  <cols>
    <col min="1" max="4" width="9.140625" style="3"/>
    <col min="5" max="5" width="9.140625" style="22"/>
    <col min="6" max="6" width="9.140625" style="3"/>
    <col min="7" max="7" width="9.28515625" style="3" bestFit="1" customWidth="1"/>
    <col min="8" max="8" width="26.85546875" style="3" customWidth="1"/>
    <col min="9" max="9" width="15" style="3" customWidth="1"/>
    <col min="10" max="10" width="19.28515625" style="3" customWidth="1"/>
    <col min="11" max="11" width="9.140625" style="3"/>
    <col min="12" max="12" width="9.28515625" style="3" bestFit="1" customWidth="1"/>
    <col min="13" max="13" width="13.7109375" style="3" customWidth="1"/>
    <col min="14" max="41" width="9.28515625" style="3" bestFit="1" customWidth="1"/>
    <col min="42" max="42" width="9.140625" style="3"/>
    <col min="43" max="43" width="9.140625" style="22"/>
    <col min="44" max="44" width="9.140625" style="3"/>
    <col min="45" max="46" width="15.42578125" style="3" customWidth="1"/>
    <col min="47" max="47" width="15.5703125" style="3" customWidth="1"/>
    <col min="48" max="48" width="10.7109375" style="3" customWidth="1"/>
    <col min="49" max="49" width="10.28515625" style="3" customWidth="1"/>
    <col min="50" max="50" width="9.140625" style="3"/>
    <col min="51" max="51" width="11.5703125" style="3" customWidth="1"/>
    <col min="52" max="52" width="9.140625" style="3"/>
    <col min="53" max="53" width="13.7109375" style="3" customWidth="1"/>
    <col min="54" max="54" width="13.5703125" style="3" customWidth="1"/>
    <col min="55" max="55" width="17.85546875" style="3" customWidth="1"/>
    <col min="56" max="56" width="15" style="3" customWidth="1"/>
    <col min="57" max="57" width="18.140625" style="3" customWidth="1"/>
    <col min="58" max="58" width="25.140625" style="3" customWidth="1"/>
    <col min="59" max="59" width="9.140625" style="22"/>
    <col min="60" max="66" width="9.140625" style="3"/>
    <col min="67" max="70" width="9.140625" style="30"/>
    <col min="71" max="16384" width="9.140625" style="3"/>
  </cols>
  <sheetData>
    <row r="1" spans="6:70" x14ac:dyDescent="0.25">
      <c r="BH1" s="22"/>
      <c r="BI1" s="22"/>
      <c r="BJ1" s="22"/>
      <c r="BK1" s="22"/>
      <c r="BL1" s="22"/>
      <c r="BM1" s="22"/>
      <c r="BN1" s="22"/>
    </row>
    <row r="2" spans="6:70" x14ac:dyDescent="0.25">
      <c r="BH2" s="22"/>
      <c r="BI2" s="22"/>
      <c r="BJ2" s="22"/>
      <c r="BK2" s="22"/>
      <c r="BL2" s="22"/>
      <c r="BM2" s="22"/>
      <c r="BN2" s="22"/>
    </row>
    <row r="3" spans="6:70" x14ac:dyDescent="0.25">
      <c r="BH3" s="22"/>
      <c r="BI3" s="22"/>
      <c r="BJ3" s="22"/>
      <c r="BK3" s="22"/>
      <c r="BL3" s="22"/>
      <c r="BM3" s="22"/>
      <c r="BN3" s="22"/>
    </row>
    <row r="4" spans="6:70" s="22" customFormat="1" x14ac:dyDescent="0.25">
      <c r="BO4" s="30"/>
      <c r="BP4" s="30"/>
      <c r="BQ4" s="30"/>
      <c r="BR4" s="30"/>
    </row>
    <row r="5" spans="6:70" s="22" customFormat="1" x14ac:dyDescent="0.25">
      <c r="BO5" s="30"/>
      <c r="BP5" s="30"/>
      <c r="BQ5" s="30"/>
      <c r="BR5" s="30"/>
    </row>
    <row r="6" spans="6:70" s="22" customFormat="1" x14ac:dyDescent="0.25">
      <c r="G6" s="25" t="s">
        <v>22</v>
      </c>
      <c r="H6" s="26">
        <v>45748</v>
      </c>
      <c r="I6" s="27">
        <f>(DATEDIF($H$6,$M$6,"D"))+1</f>
        <v>30</v>
      </c>
      <c r="J6" s="25" t="str">
        <f>TEXT(H6,"MMMM")</f>
        <v>April</v>
      </c>
      <c r="K6" s="25"/>
      <c r="L6" s="25" t="s">
        <v>23</v>
      </c>
      <c r="M6" s="26">
        <f>EOMONTH(H6,0)</f>
        <v>45777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BO6" s="30"/>
      <c r="BP6" s="30"/>
      <c r="BQ6" s="30"/>
      <c r="BR6" s="30"/>
    </row>
    <row r="7" spans="6:70" x14ac:dyDescent="0.25"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2"/>
      <c r="BI7" s="22"/>
      <c r="BJ7" s="22"/>
      <c r="BK7" s="22"/>
      <c r="BL7" s="22"/>
      <c r="BM7" s="22"/>
      <c r="BN7" s="22"/>
    </row>
    <row r="8" spans="6:70" x14ac:dyDescent="0.25">
      <c r="F8" s="21"/>
      <c r="G8" s="5"/>
      <c r="H8" s="5" t="s">
        <v>25</v>
      </c>
      <c r="I8" s="5"/>
      <c r="J8" s="5" t="s">
        <v>26</v>
      </c>
      <c r="K8" s="5" t="str">
        <f>TEXT(K9,"DDD")</f>
        <v>Tue</v>
      </c>
      <c r="L8" s="5" t="str">
        <f t="shared" ref="L8:AO8" si="0">TEXT(L9,"DDD")</f>
        <v>Wed</v>
      </c>
      <c r="M8" s="5" t="str">
        <f t="shared" si="0"/>
        <v>Thu</v>
      </c>
      <c r="N8" s="5" t="str">
        <f t="shared" si="0"/>
        <v>Fri</v>
      </c>
      <c r="O8" s="5" t="str">
        <f t="shared" si="0"/>
        <v>Sat</v>
      </c>
      <c r="P8" s="5" t="str">
        <f t="shared" si="0"/>
        <v>Sun</v>
      </c>
      <c r="Q8" s="5" t="str">
        <f t="shared" si="0"/>
        <v>Mon</v>
      </c>
      <c r="R8" s="5" t="str">
        <f t="shared" si="0"/>
        <v>Tue</v>
      </c>
      <c r="S8" s="5" t="str">
        <f t="shared" si="0"/>
        <v>Wed</v>
      </c>
      <c r="T8" s="5" t="str">
        <f t="shared" si="0"/>
        <v>Thu</v>
      </c>
      <c r="U8" s="5" t="str">
        <f t="shared" si="0"/>
        <v>Fri</v>
      </c>
      <c r="V8" s="5" t="str">
        <f t="shared" si="0"/>
        <v>Sat</v>
      </c>
      <c r="W8" s="5" t="str">
        <f t="shared" si="0"/>
        <v>Sun</v>
      </c>
      <c r="X8" s="5" t="str">
        <f t="shared" si="0"/>
        <v>Mon</v>
      </c>
      <c r="Y8" s="5" t="str">
        <f t="shared" si="0"/>
        <v>Tue</v>
      </c>
      <c r="Z8" s="5" t="str">
        <f t="shared" si="0"/>
        <v>Wed</v>
      </c>
      <c r="AA8" s="5" t="str">
        <f t="shared" si="0"/>
        <v>Thu</v>
      </c>
      <c r="AB8" s="5" t="str">
        <f t="shared" si="0"/>
        <v>Fri</v>
      </c>
      <c r="AC8" s="5" t="str">
        <f t="shared" si="0"/>
        <v>Sat</v>
      </c>
      <c r="AD8" s="5" t="str">
        <f t="shared" si="0"/>
        <v>Sun</v>
      </c>
      <c r="AE8" s="5" t="str">
        <f t="shared" si="0"/>
        <v>Mon</v>
      </c>
      <c r="AF8" s="5" t="str">
        <f t="shared" si="0"/>
        <v>Tue</v>
      </c>
      <c r="AG8" s="5" t="str">
        <f t="shared" si="0"/>
        <v>Wed</v>
      </c>
      <c r="AH8" s="5" t="str">
        <f t="shared" si="0"/>
        <v>Thu</v>
      </c>
      <c r="AI8" s="5" t="str">
        <f t="shared" si="0"/>
        <v>Fri</v>
      </c>
      <c r="AJ8" s="5" t="str">
        <f t="shared" si="0"/>
        <v>Sat</v>
      </c>
      <c r="AK8" s="5" t="str">
        <f t="shared" si="0"/>
        <v>Sun</v>
      </c>
      <c r="AL8" s="5" t="str">
        <f t="shared" si="0"/>
        <v>Mon</v>
      </c>
      <c r="AM8" s="5" t="str">
        <f t="shared" si="0"/>
        <v>Tue</v>
      </c>
      <c r="AN8" s="5" t="str">
        <f t="shared" si="0"/>
        <v>Wed</v>
      </c>
      <c r="AO8" s="5" t="str">
        <f t="shared" si="0"/>
        <v/>
      </c>
      <c r="AP8" s="21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2"/>
      <c r="BI8" s="22"/>
      <c r="BJ8" s="22"/>
      <c r="BK8" s="22"/>
      <c r="BL8" s="22"/>
      <c r="BM8" s="22"/>
      <c r="BN8" s="22"/>
    </row>
    <row r="9" spans="6:70" ht="16.5" thickBot="1" x14ac:dyDescent="0.3">
      <c r="F9" s="21"/>
      <c r="G9" s="13" t="s">
        <v>0</v>
      </c>
      <c r="H9" s="13" t="s">
        <v>1</v>
      </c>
      <c r="I9" s="13" t="s">
        <v>2</v>
      </c>
      <c r="J9" s="14" t="s">
        <v>21</v>
      </c>
      <c r="K9" s="15">
        <f>H6</f>
        <v>45748</v>
      </c>
      <c r="L9" s="15">
        <f>IF(K9&lt;$M$6,K9+1,"")</f>
        <v>45749</v>
      </c>
      <c r="M9" s="15">
        <f t="shared" ref="M9:AO9" si="1">IF(L9&lt;$M$6,L9+1,"")</f>
        <v>45750</v>
      </c>
      <c r="N9" s="15">
        <f t="shared" si="1"/>
        <v>45751</v>
      </c>
      <c r="O9" s="15">
        <f t="shared" si="1"/>
        <v>45752</v>
      </c>
      <c r="P9" s="15">
        <f t="shared" si="1"/>
        <v>45753</v>
      </c>
      <c r="Q9" s="15">
        <f t="shared" si="1"/>
        <v>45754</v>
      </c>
      <c r="R9" s="15">
        <f t="shared" si="1"/>
        <v>45755</v>
      </c>
      <c r="S9" s="15">
        <f t="shared" si="1"/>
        <v>45756</v>
      </c>
      <c r="T9" s="15">
        <f t="shared" si="1"/>
        <v>45757</v>
      </c>
      <c r="U9" s="15">
        <f t="shared" si="1"/>
        <v>45758</v>
      </c>
      <c r="V9" s="15">
        <f t="shared" si="1"/>
        <v>45759</v>
      </c>
      <c r="W9" s="15">
        <f t="shared" si="1"/>
        <v>45760</v>
      </c>
      <c r="X9" s="15">
        <f t="shared" si="1"/>
        <v>45761</v>
      </c>
      <c r="Y9" s="15">
        <f t="shared" si="1"/>
        <v>45762</v>
      </c>
      <c r="Z9" s="15">
        <f t="shared" si="1"/>
        <v>45763</v>
      </c>
      <c r="AA9" s="15">
        <f t="shared" si="1"/>
        <v>45764</v>
      </c>
      <c r="AB9" s="15">
        <f t="shared" si="1"/>
        <v>45765</v>
      </c>
      <c r="AC9" s="15">
        <f t="shared" si="1"/>
        <v>45766</v>
      </c>
      <c r="AD9" s="15">
        <f t="shared" si="1"/>
        <v>45767</v>
      </c>
      <c r="AE9" s="15">
        <f t="shared" si="1"/>
        <v>45768</v>
      </c>
      <c r="AF9" s="15">
        <f t="shared" si="1"/>
        <v>45769</v>
      </c>
      <c r="AG9" s="15">
        <f t="shared" si="1"/>
        <v>45770</v>
      </c>
      <c r="AH9" s="15">
        <f t="shared" si="1"/>
        <v>45771</v>
      </c>
      <c r="AI9" s="15">
        <f t="shared" si="1"/>
        <v>45772</v>
      </c>
      <c r="AJ9" s="15">
        <f t="shared" si="1"/>
        <v>45773</v>
      </c>
      <c r="AK9" s="15">
        <f t="shared" si="1"/>
        <v>45774</v>
      </c>
      <c r="AL9" s="15">
        <f t="shared" si="1"/>
        <v>45775</v>
      </c>
      <c r="AM9" s="15">
        <f t="shared" si="1"/>
        <v>45776</v>
      </c>
      <c r="AN9" s="15">
        <f t="shared" si="1"/>
        <v>45777</v>
      </c>
      <c r="AO9" s="15" t="str">
        <f t="shared" si="1"/>
        <v/>
      </c>
      <c r="AP9" s="21"/>
      <c r="AQ9" s="24"/>
      <c r="AR9" s="18" t="s">
        <v>0</v>
      </c>
      <c r="AS9" s="18" t="s">
        <v>1</v>
      </c>
      <c r="AT9" s="18" t="s">
        <v>37</v>
      </c>
      <c r="AU9" s="18" t="s">
        <v>2</v>
      </c>
      <c r="AV9" s="18" t="s">
        <v>27</v>
      </c>
      <c r="AW9" s="18" t="s">
        <v>28</v>
      </c>
      <c r="AX9" s="18" t="s">
        <v>29</v>
      </c>
      <c r="AY9" s="18" t="s">
        <v>30</v>
      </c>
      <c r="AZ9" s="18" t="s">
        <v>26</v>
      </c>
      <c r="BA9" s="18" t="s">
        <v>31</v>
      </c>
      <c r="BB9" s="18" t="s">
        <v>32</v>
      </c>
      <c r="BC9" s="18" t="s">
        <v>33</v>
      </c>
      <c r="BD9" s="18" t="s">
        <v>34</v>
      </c>
      <c r="BE9" s="18" t="s">
        <v>35</v>
      </c>
      <c r="BF9" s="18" t="s">
        <v>36</v>
      </c>
      <c r="BG9" s="24"/>
      <c r="BH9" s="22"/>
      <c r="BI9" s="22"/>
      <c r="BJ9" s="22"/>
      <c r="BK9" s="22"/>
      <c r="BL9" s="22"/>
      <c r="BM9" s="22"/>
      <c r="BN9" s="22"/>
    </row>
    <row r="10" spans="6:70" x14ac:dyDescent="0.25">
      <c r="F10" s="21"/>
      <c r="G10" s="6">
        <v>1</v>
      </c>
      <c r="H10" s="7" t="s">
        <v>3</v>
      </c>
      <c r="I10" s="7">
        <v>1001</v>
      </c>
      <c r="J10" s="46">
        <f>COUNTIF($J$8:$AO$8,"SUN")</f>
        <v>4</v>
      </c>
      <c r="K10" s="56" t="s">
        <v>39</v>
      </c>
      <c r="L10" s="51" t="s">
        <v>38</v>
      </c>
      <c r="M10" s="51" t="s">
        <v>38</v>
      </c>
      <c r="N10" s="51" t="s">
        <v>38</v>
      </c>
      <c r="O10" s="51" t="s">
        <v>38</v>
      </c>
      <c r="P10" s="57" t="str">
        <f>IF(P$8="SUN","WO","")</f>
        <v>WO</v>
      </c>
      <c r="Q10" s="51" t="s">
        <v>38</v>
      </c>
      <c r="R10" s="51" t="s">
        <v>38</v>
      </c>
      <c r="S10" s="51" t="s">
        <v>38</v>
      </c>
      <c r="T10" s="51" t="s">
        <v>38</v>
      </c>
      <c r="U10" s="52" t="s">
        <v>38</v>
      </c>
      <c r="V10" s="52" t="s">
        <v>40</v>
      </c>
      <c r="W10" s="57" t="str">
        <f>IF(W$8="SUN","WO","")</f>
        <v>WO</v>
      </c>
      <c r="X10" s="51" t="s">
        <v>38</v>
      </c>
      <c r="Y10" s="51" t="s">
        <v>38</v>
      </c>
      <c r="Z10" s="51" t="s">
        <v>39</v>
      </c>
      <c r="AA10" s="51" t="s">
        <v>38</v>
      </c>
      <c r="AB10" s="51" t="s">
        <v>38</v>
      </c>
      <c r="AC10" s="51" t="s">
        <v>38</v>
      </c>
      <c r="AD10" s="57" t="str">
        <f>IF(AD$8="SUN","WO","")</f>
        <v>WO</v>
      </c>
      <c r="AE10" s="51" t="s">
        <v>38</v>
      </c>
      <c r="AF10" s="51" t="s">
        <v>38</v>
      </c>
      <c r="AG10" s="51" t="s">
        <v>39</v>
      </c>
      <c r="AH10" s="51" t="s">
        <v>38</v>
      </c>
      <c r="AI10" s="51" t="s">
        <v>38</v>
      </c>
      <c r="AJ10" s="51" t="s">
        <v>38</v>
      </c>
      <c r="AK10" s="57" t="str">
        <f>IF(AK$8="SUN","WO","")</f>
        <v>WO</v>
      </c>
      <c r="AL10" s="51" t="s">
        <v>38</v>
      </c>
      <c r="AM10" s="51" t="s">
        <v>39</v>
      </c>
      <c r="AN10" s="53" t="s">
        <v>38</v>
      </c>
      <c r="AO10" s="29"/>
      <c r="AP10" s="21"/>
      <c r="AQ10" s="24"/>
      <c r="AR10" s="10">
        <v>1</v>
      </c>
      <c r="AS10" s="9" t="s">
        <v>3</v>
      </c>
      <c r="AT10" s="9" t="str">
        <f t="shared" ref="AT10:AT29" si="2">$J$6</f>
        <v>April</v>
      </c>
      <c r="AU10" s="9">
        <v>1001</v>
      </c>
      <c r="AV10" s="9">
        <f t="shared" ref="AV10:AV29" si="3">COUNTIF($K10:$AO10,"P")</f>
        <v>21</v>
      </c>
      <c r="AW10" s="9">
        <f t="shared" ref="AW10:AW29" si="4">COUNTIF($K10:$AO10,"A")</f>
        <v>4</v>
      </c>
      <c r="AX10" s="9">
        <f t="shared" ref="AX10:AX29" si="5">COUNTIF($K10:$AO10,"L")</f>
        <v>1</v>
      </c>
      <c r="AY10" s="16">
        <f t="shared" ref="AY10:AY29" si="6">$J$10</f>
        <v>4</v>
      </c>
      <c r="AZ10" s="16">
        <f t="shared" ref="AZ10:AZ29" si="7">$I$6</f>
        <v>30</v>
      </c>
      <c r="BA10" s="16">
        <f>AprReport[[#This Row],[Days]]-AprReport[[#This Row],[Absent]]</f>
        <v>26</v>
      </c>
      <c r="BB10" s="19">
        <v>10000</v>
      </c>
      <c r="BC10" s="20">
        <f>AprReport[[#This Row],[Salary ]]/AprReport[[#This Row],[Days]]</f>
        <v>333.33333333333331</v>
      </c>
      <c r="BD10" s="20">
        <f>AprReport[[#This Row],[Per Day Salary ]]*AprReport[[#This Row],[Absent]]</f>
        <v>1333.3333333333333</v>
      </c>
      <c r="BE10" s="20">
        <f>AprReport[[#This Row],[Salary ]]-AprReport[[#This Row],[Deduction]]</f>
        <v>8666.6666666666661</v>
      </c>
      <c r="BF10" s="20"/>
      <c r="BG10" s="24"/>
      <c r="BH10" s="22"/>
      <c r="BI10" s="22"/>
      <c r="BJ10" s="22"/>
      <c r="BK10" s="22"/>
      <c r="BL10" s="22"/>
      <c r="BM10" s="22"/>
      <c r="BN10" s="22"/>
    </row>
    <row r="11" spans="6:70" x14ac:dyDescent="0.25">
      <c r="F11" s="21"/>
      <c r="G11" s="8">
        <v>2</v>
      </c>
      <c r="H11" s="9" t="s">
        <v>4</v>
      </c>
      <c r="I11" s="10">
        <v>1002</v>
      </c>
      <c r="J11" s="47">
        <f t="shared" ref="J11:J29" si="8">COUNTIF($J$8:$AO$8,"SUN")</f>
        <v>4</v>
      </c>
      <c r="K11" s="10" t="s">
        <v>38</v>
      </c>
      <c r="L11" s="10" t="s">
        <v>38</v>
      </c>
      <c r="M11" s="10" t="s">
        <v>38</v>
      </c>
      <c r="N11" s="10" t="s">
        <v>38</v>
      </c>
      <c r="O11" s="10" t="s">
        <v>38</v>
      </c>
      <c r="P11" s="65" t="str">
        <f t="shared" ref="P11:P29" si="9">IF(P$8="SUN","WO","")</f>
        <v>WO</v>
      </c>
      <c r="Q11" s="10" t="s">
        <v>40</v>
      </c>
      <c r="R11" s="10" t="s">
        <v>38</v>
      </c>
      <c r="S11" s="10" t="s">
        <v>38</v>
      </c>
      <c r="T11" s="16" t="s">
        <v>38</v>
      </c>
      <c r="U11" s="16" t="s">
        <v>38</v>
      </c>
      <c r="V11" s="16" t="s">
        <v>38</v>
      </c>
      <c r="W11" s="65" t="str">
        <f t="shared" ref="W11:W29" si="10">IF(W$8="SUN","WO","")</f>
        <v>WO</v>
      </c>
      <c r="X11" s="10" t="s">
        <v>38</v>
      </c>
      <c r="Y11" s="10" t="s">
        <v>38</v>
      </c>
      <c r="Z11" s="10" t="s">
        <v>38</v>
      </c>
      <c r="AA11" s="10" t="s">
        <v>38</v>
      </c>
      <c r="AB11" s="10" t="s">
        <v>39</v>
      </c>
      <c r="AC11" s="10" t="s">
        <v>38</v>
      </c>
      <c r="AD11" s="65" t="str">
        <f t="shared" ref="AD11:AD29" si="11">IF(AD$8="SUN","WO","")</f>
        <v>WO</v>
      </c>
      <c r="AE11" s="10" t="s">
        <v>38</v>
      </c>
      <c r="AF11" s="10" t="s">
        <v>38</v>
      </c>
      <c r="AG11" s="10" t="s">
        <v>38</v>
      </c>
      <c r="AH11" s="10" t="s">
        <v>38</v>
      </c>
      <c r="AI11" s="10" t="s">
        <v>39</v>
      </c>
      <c r="AJ11" s="10" t="s">
        <v>38</v>
      </c>
      <c r="AK11" s="65" t="str">
        <f t="shared" ref="AK11:AK29" si="12">IF(AK$8="SUN","WO","")</f>
        <v>WO</v>
      </c>
      <c r="AL11" s="10" t="s">
        <v>38</v>
      </c>
      <c r="AM11" s="10" t="s">
        <v>38</v>
      </c>
      <c r="AN11" s="64" t="s">
        <v>38</v>
      </c>
      <c r="AO11" s="29"/>
      <c r="AP11" s="21"/>
      <c r="AQ11" s="24"/>
      <c r="AR11" s="10">
        <v>2</v>
      </c>
      <c r="AS11" s="9" t="s">
        <v>4</v>
      </c>
      <c r="AT11" s="9" t="str">
        <f t="shared" si="2"/>
        <v>April</v>
      </c>
      <c r="AU11" s="9">
        <v>1002</v>
      </c>
      <c r="AV11" s="9">
        <f t="shared" si="3"/>
        <v>23</v>
      </c>
      <c r="AW11" s="16">
        <f t="shared" si="4"/>
        <v>2</v>
      </c>
      <c r="AX11" s="16">
        <f t="shared" si="5"/>
        <v>1</v>
      </c>
      <c r="AY11" s="16">
        <f t="shared" si="6"/>
        <v>4</v>
      </c>
      <c r="AZ11" s="16">
        <f t="shared" si="7"/>
        <v>30</v>
      </c>
      <c r="BA11" s="16">
        <f>AprReport[[#This Row],[Days]]-AprReport[[#This Row],[Absent]]</f>
        <v>28</v>
      </c>
      <c r="BB11" s="19">
        <v>20000</v>
      </c>
      <c r="BC11" s="20">
        <f>AprReport[[#This Row],[Salary ]]/AprReport[[#This Row],[Days]]</f>
        <v>666.66666666666663</v>
      </c>
      <c r="BD11" s="20">
        <f>AprReport[[#This Row],[Per Day Salary ]]*AprReport[[#This Row],[Absent]]</f>
        <v>1333.3333333333333</v>
      </c>
      <c r="BE11" s="20">
        <f>AprReport[[#This Row],[Salary ]]-AprReport[[#This Row],[Deduction]]</f>
        <v>18666.666666666668</v>
      </c>
      <c r="BF11" s="20"/>
      <c r="BG11" s="24"/>
      <c r="BH11" s="22"/>
      <c r="BI11" s="22"/>
      <c r="BJ11" s="22"/>
      <c r="BK11" s="22"/>
      <c r="BL11" s="22"/>
      <c r="BM11" s="22"/>
      <c r="BN11" s="22"/>
    </row>
    <row r="12" spans="6:70" x14ac:dyDescent="0.25">
      <c r="F12" s="21"/>
      <c r="G12" s="8">
        <v>3</v>
      </c>
      <c r="H12" s="10" t="s">
        <v>5</v>
      </c>
      <c r="I12" s="10">
        <v>1003</v>
      </c>
      <c r="J12" s="47">
        <f t="shared" si="8"/>
        <v>4</v>
      </c>
      <c r="K12" s="10" t="s">
        <v>38</v>
      </c>
      <c r="L12" s="10" t="s">
        <v>40</v>
      </c>
      <c r="M12" s="10" t="s">
        <v>38</v>
      </c>
      <c r="N12" s="10" t="s">
        <v>38</v>
      </c>
      <c r="O12" s="10" t="s">
        <v>38</v>
      </c>
      <c r="P12" s="65" t="str">
        <f t="shared" si="9"/>
        <v>WO</v>
      </c>
      <c r="Q12" s="10" t="s">
        <v>38</v>
      </c>
      <c r="R12" s="10" t="s">
        <v>38</v>
      </c>
      <c r="S12" s="10" t="s">
        <v>38</v>
      </c>
      <c r="T12" s="16" t="s">
        <v>38</v>
      </c>
      <c r="U12" s="16" t="s">
        <v>39</v>
      </c>
      <c r="V12" s="16" t="s">
        <v>38</v>
      </c>
      <c r="W12" s="65" t="str">
        <f t="shared" si="10"/>
        <v>WO</v>
      </c>
      <c r="X12" s="10" t="s">
        <v>38</v>
      </c>
      <c r="Y12" s="10" t="s">
        <v>40</v>
      </c>
      <c r="Z12" s="10" t="s">
        <v>38</v>
      </c>
      <c r="AA12" s="10" t="s">
        <v>38</v>
      </c>
      <c r="AB12" s="10" t="s">
        <v>38</v>
      </c>
      <c r="AC12" s="10" t="s">
        <v>38</v>
      </c>
      <c r="AD12" s="65" t="str">
        <f t="shared" si="11"/>
        <v>WO</v>
      </c>
      <c r="AE12" s="10" t="s">
        <v>38</v>
      </c>
      <c r="AF12" s="10" t="s">
        <v>40</v>
      </c>
      <c r="AG12" s="10" t="s">
        <v>38</v>
      </c>
      <c r="AH12" s="10" t="s">
        <v>38</v>
      </c>
      <c r="AI12" s="10" t="s">
        <v>38</v>
      </c>
      <c r="AJ12" s="10" t="s">
        <v>38</v>
      </c>
      <c r="AK12" s="65" t="str">
        <f t="shared" si="12"/>
        <v>WO</v>
      </c>
      <c r="AL12" s="10" t="s">
        <v>40</v>
      </c>
      <c r="AM12" s="10" t="s">
        <v>38</v>
      </c>
      <c r="AN12" s="64" t="s">
        <v>38</v>
      </c>
      <c r="AO12" s="29"/>
      <c r="AP12" s="21"/>
      <c r="AQ12" s="24"/>
      <c r="AR12" s="10">
        <v>3</v>
      </c>
      <c r="AS12" s="10" t="s">
        <v>5</v>
      </c>
      <c r="AT12" s="10" t="str">
        <f t="shared" si="2"/>
        <v>April</v>
      </c>
      <c r="AU12" s="10">
        <v>1003</v>
      </c>
      <c r="AV12" s="9">
        <f t="shared" si="3"/>
        <v>21</v>
      </c>
      <c r="AW12" s="16">
        <f t="shared" si="4"/>
        <v>1</v>
      </c>
      <c r="AX12" s="16">
        <f t="shared" si="5"/>
        <v>4</v>
      </c>
      <c r="AY12" s="16">
        <f t="shared" si="6"/>
        <v>4</v>
      </c>
      <c r="AZ12" s="16">
        <f t="shared" si="7"/>
        <v>30</v>
      </c>
      <c r="BA12" s="16">
        <f>AprReport[[#This Row],[Days]]-AprReport[[#This Row],[Absent]]</f>
        <v>29</v>
      </c>
      <c r="BB12" s="19">
        <v>30000</v>
      </c>
      <c r="BC12" s="20">
        <f>AprReport[[#This Row],[Salary ]]/AprReport[[#This Row],[Days]]</f>
        <v>1000</v>
      </c>
      <c r="BD12" s="20">
        <f>AprReport[[#This Row],[Per Day Salary ]]*AprReport[[#This Row],[Absent]]</f>
        <v>1000</v>
      </c>
      <c r="BE12" s="20">
        <f>AprReport[[#This Row],[Salary ]]-AprReport[[#This Row],[Deduction]]</f>
        <v>29000</v>
      </c>
      <c r="BF12" s="20"/>
      <c r="BG12" s="24"/>
      <c r="BH12" s="22"/>
      <c r="BI12" s="22"/>
      <c r="BJ12" s="22"/>
      <c r="BK12" s="22"/>
      <c r="BL12" s="22"/>
      <c r="BM12" s="22"/>
      <c r="BN12" s="22"/>
    </row>
    <row r="13" spans="6:70" x14ac:dyDescent="0.25">
      <c r="F13" s="21"/>
      <c r="G13" s="8">
        <v>4</v>
      </c>
      <c r="H13" s="10" t="s">
        <v>6</v>
      </c>
      <c r="I13" s="10">
        <v>1004</v>
      </c>
      <c r="J13" s="47">
        <f t="shared" si="8"/>
        <v>4</v>
      </c>
      <c r="K13" s="10" t="s">
        <v>38</v>
      </c>
      <c r="L13" s="10" t="s">
        <v>38</v>
      </c>
      <c r="M13" s="10" t="s">
        <v>38</v>
      </c>
      <c r="N13" s="10" t="s">
        <v>38</v>
      </c>
      <c r="O13" s="10" t="s">
        <v>38</v>
      </c>
      <c r="P13" s="65" t="str">
        <f t="shared" si="9"/>
        <v>WO</v>
      </c>
      <c r="Q13" s="10" t="s">
        <v>38</v>
      </c>
      <c r="R13" s="10" t="s">
        <v>38</v>
      </c>
      <c r="S13" s="10" t="s">
        <v>38</v>
      </c>
      <c r="T13" s="16" t="s">
        <v>38</v>
      </c>
      <c r="U13" s="16" t="s">
        <v>38</v>
      </c>
      <c r="V13" s="16" t="s">
        <v>38</v>
      </c>
      <c r="W13" s="65" t="str">
        <f t="shared" si="10"/>
        <v>WO</v>
      </c>
      <c r="X13" s="10" t="s">
        <v>38</v>
      </c>
      <c r="Y13" s="10" t="s">
        <v>38</v>
      </c>
      <c r="Z13" s="10" t="s">
        <v>38</v>
      </c>
      <c r="AA13" s="10" t="s">
        <v>38</v>
      </c>
      <c r="AB13" s="10" t="s">
        <v>38</v>
      </c>
      <c r="AC13" s="10" t="s">
        <v>38</v>
      </c>
      <c r="AD13" s="65" t="str">
        <f t="shared" si="11"/>
        <v>WO</v>
      </c>
      <c r="AE13" s="10" t="s">
        <v>38</v>
      </c>
      <c r="AF13" s="10" t="s">
        <v>38</v>
      </c>
      <c r="AG13" s="10" t="s">
        <v>38</v>
      </c>
      <c r="AH13" s="10" t="s">
        <v>38</v>
      </c>
      <c r="AI13" s="10" t="s">
        <v>38</v>
      </c>
      <c r="AJ13" s="10" t="s">
        <v>38</v>
      </c>
      <c r="AK13" s="65" t="str">
        <f t="shared" si="12"/>
        <v>WO</v>
      </c>
      <c r="AL13" s="10" t="s">
        <v>38</v>
      </c>
      <c r="AM13" s="10" t="s">
        <v>38</v>
      </c>
      <c r="AN13" s="64" t="s">
        <v>38</v>
      </c>
      <c r="AO13" s="29"/>
      <c r="AP13" s="21"/>
      <c r="AQ13" s="24"/>
      <c r="AR13" s="10">
        <v>4</v>
      </c>
      <c r="AS13" s="10" t="s">
        <v>6</v>
      </c>
      <c r="AT13" s="10" t="str">
        <f t="shared" si="2"/>
        <v>April</v>
      </c>
      <c r="AU13" s="10">
        <v>1004</v>
      </c>
      <c r="AV13" s="9">
        <f t="shared" si="3"/>
        <v>26</v>
      </c>
      <c r="AW13" s="16">
        <f t="shared" si="4"/>
        <v>0</v>
      </c>
      <c r="AX13" s="16">
        <f t="shared" si="5"/>
        <v>0</v>
      </c>
      <c r="AY13" s="16">
        <f t="shared" si="6"/>
        <v>4</v>
      </c>
      <c r="AZ13" s="16">
        <f t="shared" si="7"/>
        <v>30</v>
      </c>
      <c r="BA13" s="16">
        <f>AprReport[[#This Row],[Days]]-AprReport[[#This Row],[Absent]]</f>
        <v>30</v>
      </c>
      <c r="BB13" s="19">
        <v>45000</v>
      </c>
      <c r="BC13" s="20">
        <f>AprReport[[#This Row],[Salary ]]/AprReport[[#This Row],[Days]]</f>
        <v>1500</v>
      </c>
      <c r="BD13" s="20">
        <f>AprReport[[#This Row],[Per Day Salary ]]*AprReport[[#This Row],[Absent]]</f>
        <v>0</v>
      </c>
      <c r="BE13" s="20">
        <f>AprReport[[#This Row],[Salary ]]-AprReport[[#This Row],[Deduction]]</f>
        <v>45000</v>
      </c>
      <c r="BF13" s="20"/>
      <c r="BG13" s="24"/>
      <c r="BH13" s="22"/>
      <c r="BI13" s="22"/>
      <c r="BJ13" s="22"/>
      <c r="BK13" s="22"/>
      <c r="BL13" s="22"/>
      <c r="BM13" s="22"/>
      <c r="BN13" s="22"/>
    </row>
    <row r="14" spans="6:70" x14ac:dyDescent="0.25">
      <c r="F14" s="21"/>
      <c r="G14" s="8">
        <v>5</v>
      </c>
      <c r="H14" s="10" t="s">
        <v>7</v>
      </c>
      <c r="I14" s="10">
        <v>1005</v>
      </c>
      <c r="J14" s="47">
        <f t="shared" si="8"/>
        <v>4</v>
      </c>
      <c r="K14" s="10" t="s">
        <v>38</v>
      </c>
      <c r="L14" s="10" t="s">
        <v>38</v>
      </c>
      <c r="M14" s="10" t="s">
        <v>39</v>
      </c>
      <c r="N14" s="10" t="s">
        <v>38</v>
      </c>
      <c r="O14" s="10" t="s">
        <v>38</v>
      </c>
      <c r="P14" s="65" t="str">
        <f t="shared" si="9"/>
        <v>WO</v>
      </c>
      <c r="Q14" s="10" t="s">
        <v>38</v>
      </c>
      <c r="R14" s="10" t="s">
        <v>38</v>
      </c>
      <c r="S14" s="10" t="s">
        <v>38</v>
      </c>
      <c r="T14" s="16" t="s">
        <v>38</v>
      </c>
      <c r="U14" s="16" t="s">
        <v>38</v>
      </c>
      <c r="V14" s="16" t="s">
        <v>38</v>
      </c>
      <c r="W14" s="65" t="str">
        <f t="shared" si="10"/>
        <v>WO</v>
      </c>
      <c r="X14" s="10" t="s">
        <v>38</v>
      </c>
      <c r="Y14" s="10" t="s">
        <v>40</v>
      </c>
      <c r="Z14" s="10" t="s">
        <v>38</v>
      </c>
      <c r="AA14" s="10" t="s">
        <v>38</v>
      </c>
      <c r="AB14" s="10" t="s">
        <v>38</v>
      </c>
      <c r="AC14" s="10" t="s">
        <v>38</v>
      </c>
      <c r="AD14" s="65" t="str">
        <f t="shared" si="11"/>
        <v>WO</v>
      </c>
      <c r="AE14" s="10" t="s">
        <v>38</v>
      </c>
      <c r="AF14" s="10" t="s">
        <v>40</v>
      </c>
      <c r="AG14" s="10" t="s">
        <v>38</v>
      </c>
      <c r="AH14" s="10" t="s">
        <v>38</v>
      </c>
      <c r="AI14" s="10" t="s">
        <v>38</v>
      </c>
      <c r="AJ14" s="10" t="s">
        <v>38</v>
      </c>
      <c r="AK14" s="65" t="str">
        <f t="shared" si="12"/>
        <v>WO</v>
      </c>
      <c r="AL14" s="10" t="s">
        <v>38</v>
      </c>
      <c r="AM14" s="10" t="s">
        <v>38</v>
      </c>
      <c r="AN14" s="64" t="s">
        <v>39</v>
      </c>
      <c r="AO14" s="29"/>
      <c r="AP14" s="21"/>
      <c r="AQ14" s="24"/>
      <c r="AR14" s="10">
        <v>5</v>
      </c>
      <c r="AS14" s="10" t="s">
        <v>7</v>
      </c>
      <c r="AT14" s="10" t="str">
        <f t="shared" si="2"/>
        <v>April</v>
      </c>
      <c r="AU14" s="10">
        <v>1005</v>
      </c>
      <c r="AV14" s="9">
        <f t="shared" si="3"/>
        <v>22</v>
      </c>
      <c r="AW14" s="16">
        <f t="shared" si="4"/>
        <v>2</v>
      </c>
      <c r="AX14" s="16">
        <f t="shared" si="5"/>
        <v>2</v>
      </c>
      <c r="AY14" s="16">
        <f t="shared" si="6"/>
        <v>4</v>
      </c>
      <c r="AZ14" s="16">
        <f t="shared" si="7"/>
        <v>30</v>
      </c>
      <c r="BA14" s="16">
        <f>AprReport[[#This Row],[Days]]-AprReport[[#This Row],[Absent]]</f>
        <v>28</v>
      </c>
      <c r="BB14" s="19">
        <v>62000</v>
      </c>
      <c r="BC14" s="20">
        <f>AprReport[[#This Row],[Salary ]]/AprReport[[#This Row],[Days]]</f>
        <v>2066.6666666666665</v>
      </c>
      <c r="BD14" s="20">
        <f>AprReport[[#This Row],[Per Day Salary ]]*AprReport[[#This Row],[Absent]]</f>
        <v>4133.333333333333</v>
      </c>
      <c r="BE14" s="20">
        <f>AprReport[[#This Row],[Salary ]]-AprReport[[#This Row],[Deduction]]</f>
        <v>57866.666666666664</v>
      </c>
      <c r="BF14" s="20"/>
      <c r="BG14" s="24"/>
      <c r="BH14" s="22"/>
      <c r="BI14" s="22"/>
      <c r="BJ14" s="22"/>
      <c r="BK14" s="22"/>
      <c r="BL14" s="22"/>
      <c r="BM14" s="22"/>
      <c r="BN14" s="22"/>
    </row>
    <row r="15" spans="6:70" x14ac:dyDescent="0.25">
      <c r="F15" s="21"/>
      <c r="G15" s="8">
        <v>6</v>
      </c>
      <c r="H15" s="10" t="s">
        <v>8</v>
      </c>
      <c r="I15" s="10">
        <v>1006</v>
      </c>
      <c r="J15" s="47">
        <f t="shared" si="8"/>
        <v>4</v>
      </c>
      <c r="K15" s="10" t="s">
        <v>38</v>
      </c>
      <c r="L15" s="10" t="s">
        <v>38</v>
      </c>
      <c r="M15" s="10" t="s">
        <v>38</v>
      </c>
      <c r="N15" s="10" t="s">
        <v>38</v>
      </c>
      <c r="O15" s="10" t="s">
        <v>40</v>
      </c>
      <c r="P15" s="65" t="str">
        <f t="shared" si="9"/>
        <v>WO</v>
      </c>
      <c r="Q15" s="10" t="s">
        <v>38</v>
      </c>
      <c r="R15" s="10" t="s">
        <v>38</v>
      </c>
      <c r="S15" s="10" t="s">
        <v>38</v>
      </c>
      <c r="T15" s="16" t="s">
        <v>38</v>
      </c>
      <c r="U15" s="16" t="s">
        <v>38</v>
      </c>
      <c r="V15" s="16" t="s">
        <v>38</v>
      </c>
      <c r="W15" s="65" t="str">
        <f t="shared" si="10"/>
        <v>WO</v>
      </c>
      <c r="X15" s="10" t="s">
        <v>38</v>
      </c>
      <c r="Y15" s="10" t="s">
        <v>38</v>
      </c>
      <c r="Z15" s="10" t="s">
        <v>38</v>
      </c>
      <c r="AA15" s="10" t="s">
        <v>38</v>
      </c>
      <c r="AB15" s="10" t="s">
        <v>38</v>
      </c>
      <c r="AC15" s="10" t="s">
        <v>39</v>
      </c>
      <c r="AD15" s="65" t="str">
        <f t="shared" si="11"/>
        <v>WO</v>
      </c>
      <c r="AE15" s="10" t="s">
        <v>38</v>
      </c>
      <c r="AF15" s="10" t="s">
        <v>38</v>
      </c>
      <c r="AG15" s="10" t="s">
        <v>38</v>
      </c>
      <c r="AH15" s="10" t="s">
        <v>38</v>
      </c>
      <c r="AI15" s="10" t="s">
        <v>38</v>
      </c>
      <c r="AJ15" s="10" t="s">
        <v>39</v>
      </c>
      <c r="AK15" s="65" t="str">
        <f t="shared" si="12"/>
        <v>WO</v>
      </c>
      <c r="AL15" s="10" t="s">
        <v>38</v>
      </c>
      <c r="AM15" s="10" t="s">
        <v>38</v>
      </c>
      <c r="AN15" s="64" t="s">
        <v>38</v>
      </c>
      <c r="AO15" s="29"/>
      <c r="AP15" s="21"/>
      <c r="AQ15" s="24"/>
      <c r="AR15" s="10">
        <v>6</v>
      </c>
      <c r="AS15" s="10" t="s">
        <v>8</v>
      </c>
      <c r="AT15" s="10" t="str">
        <f t="shared" si="2"/>
        <v>April</v>
      </c>
      <c r="AU15" s="10">
        <v>1006</v>
      </c>
      <c r="AV15" s="9">
        <f t="shared" si="3"/>
        <v>23</v>
      </c>
      <c r="AW15" s="16">
        <f t="shared" si="4"/>
        <v>2</v>
      </c>
      <c r="AX15" s="16">
        <f t="shared" si="5"/>
        <v>1</v>
      </c>
      <c r="AY15" s="16">
        <f t="shared" si="6"/>
        <v>4</v>
      </c>
      <c r="AZ15" s="16">
        <f t="shared" si="7"/>
        <v>30</v>
      </c>
      <c r="BA15" s="16">
        <f>AprReport[[#This Row],[Days]]-AprReport[[#This Row],[Absent]]</f>
        <v>28</v>
      </c>
      <c r="BB15" s="19">
        <v>13000</v>
      </c>
      <c r="BC15" s="20">
        <f>AprReport[[#This Row],[Salary ]]/AprReport[[#This Row],[Days]]</f>
        <v>433.33333333333331</v>
      </c>
      <c r="BD15" s="20">
        <f>AprReport[[#This Row],[Per Day Salary ]]*AprReport[[#This Row],[Absent]]</f>
        <v>866.66666666666663</v>
      </c>
      <c r="BE15" s="20">
        <f>AprReport[[#This Row],[Salary ]]-AprReport[[#This Row],[Deduction]]</f>
        <v>12133.333333333334</v>
      </c>
      <c r="BF15" s="20"/>
      <c r="BG15" s="24"/>
      <c r="BH15" s="22"/>
      <c r="BI15" s="22"/>
      <c r="BJ15" s="22"/>
      <c r="BK15" s="22"/>
      <c r="BL15" s="22"/>
      <c r="BM15" s="22"/>
      <c r="BN15" s="22"/>
    </row>
    <row r="16" spans="6:70" x14ac:dyDescent="0.25">
      <c r="F16" s="21"/>
      <c r="G16" s="8">
        <v>7</v>
      </c>
      <c r="H16" s="10" t="s">
        <v>9</v>
      </c>
      <c r="I16" s="10">
        <v>1007</v>
      </c>
      <c r="J16" s="47">
        <f t="shared" si="8"/>
        <v>4</v>
      </c>
      <c r="K16" s="10" t="s">
        <v>38</v>
      </c>
      <c r="L16" s="10" t="s">
        <v>38</v>
      </c>
      <c r="M16" s="10" t="s">
        <v>39</v>
      </c>
      <c r="N16" s="10" t="s">
        <v>38</v>
      </c>
      <c r="O16" s="10" t="s">
        <v>38</v>
      </c>
      <c r="P16" s="65" t="str">
        <f t="shared" si="9"/>
        <v>WO</v>
      </c>
      <c r="Q16" s="10" t="s">
        <v>38</v>
      </c>
      <c r="R16" s="10" t="s">
        <v>38</v>
      </c>
      <c r="S16" s="10" t="s">
        <v>38</v>
      </c>
      <c r="T16" s="16" t="s">
        <v>40</v>
      </c>
      <c r="U16" s="16" t="s">
        <v>38</v>
      </c>
      <c r="V16" s="16" t="s">
        <v>38</v>
      </c>
      <c r="W16" s="65" t="str">
        <f t="shared" si="10"/>
        <v>WO</v>
      </c>
      <c r="X16" s="10" t="s">
        <v>38</v>
      </c>
      <c r="Y16" s="10" t="s">
        <v>39</v>
      </c>
      <c r="Z16" s="10" t="s">
        <v>38</v>
      </c>
      <c r="AA16" s="10" t="s">
        <v>38</v>
      </c>
      <c r="AB16" s="10" t="s">
        <v>38</v>
      </c>
      <c r="AC16" s="10" t="s">
        <v>38</v>
      </c>
      <c r="AD16" s="65" t="str">
        <f t="shared" si="11"/>
        <v>WO</v>
      </c>
      <c r="AE16" s="10" t="s">
        <v>38</v>
      </c>
      <c r="AF16" s="10" t="s">
        <v>39</v>
      </c>
      <c r="AG16" s="10" t="s">
        <v>38</v>
      </c>
      <c r="AH16" s="10" t="s">
        <v>38</v>
      </c>
      <c r="AI16" s="10" t="s">
        <v>38</v>
      </c>
      <c r="AJ16" s="10" t="s">
        <v>38</v>
      </c>
      <c r="AK16" s="65" t="str">
        <f t="shared" si="12"/>
        <v>WO</v>
      </c>
      <c r="AL16" s="10" t="s">
        <v>38</v>
      </c>
      <c r="AM16" s="10" t="s">
        <v>38</v>
      </c>
      <c r="AN16" s="64" t="s">
        <v>38</v>
      </c>
      <c r="AO16" s="29"/>
      <c r="AP16" s="21"/>
      <c r="AQ16" s="24"/>
      <c r="AR16" s="10">
        <v>7</v>
      </c>
      <c r="AS16" s="10" t="s">
        <v>9</v>
      </c>
      <c r="AT16" s="10" t="str">
        <f t="shared" si="2"/>
        <v>April</v>
      </c>
      <c r="AU16" s="10">
        <v>1007</v>
      </c>
      <c r="AV16" s="9">
        <f t="shared" si="3"/>
        <v>22</v>
      </c>
      <c r="AW16" s="16">
        <f t="shared" si="4"/>
        <v>3</v>
      </c>
      <c r="AX16" s="16">
        <f t="shared" si="5"/>
        <v>1</v>
      </c>
      <c r="AY16" s="16">
        <f t="shared" si="6"/>
        <v>4</v>
      </c>
      <c r="AZ16" s="16">
        <f t="shared" si="7"/>
        <v>30</v>
      </c>
      <c r="BA16" s="16">
        <f>AprReport[[#This Row],[Days]]-AprReport[[#This Row],[Absent]]</f>
        <v>27</v>
      </c>
      <c r="BB16" s="19">
        <v>48000</v>
      </c>
      <c r="BC16" s="20">
        <f>AprReport[[#This Row],[Salary ]]/AprReport[[#This Row],[Days]]</f>
        <v>1600</v>
      </c>
      <c r="BD16" s="20">
        <f>AprReport[[#This Row],[Per Day Salary ]]*AprReport[[#This Row],[Absent]]</f>
        <v>4800</v>
      </c>
      <c r="BE16" s="20">
        <f>AprReport[[#This Row],[Salary ]]-AprReport[[#This Row],[Deduction]]</f>
        <v>43200</v>
      </c>
      <c r="BF16" s="20"/>
      <c r="BG16" s="24"/>
      <c r="BH16" s="22"/>
      <c r="BI16" s="22"/>
      <c r="BJ16" s="22"/>
      <c r="BK16" s="22"/>
      <c r="BL16" s="22"/>
      <c r="BM16" s="22"/>
      <c r="BN16" s="22"/>
    </row>
    <row r="17" spans="6:70" x14ac:dyDescent="0.25">
      <c r="F17" s="21"/>
      <c r="G17" s="8">
        <v>8</v>
      </c>
      <c r="H17" s="10" t="s">
        <v>10</v>
      </c>
      <c r="I17" s="10">
        <v>1008</v>
      </c>
      <c r="J17" s="47">
        <f t="shared" si="8"/>
        <v>4</v>
      </c>
      <c r="K17" s="10" t="s">
        <v>38</v>
      </c>
      <c r="L17" s="10" t="s">
        <v>38</v>
      </c>
      <c r="M17" s="10" t="s">
        <v>38</v>
      </c>
      <c r="N17" s="10" t="s">
        <v>39</v>
      </c>
      <c r="O17" s="10" t="s">
        <v>38</v>
      </c>
      <c r="P17" s="65" t="str">
        <f t="shared" si="9"/>
        <v>WO</v>
      </c>
      <c r="Q17" s="10" t="s">
        <v>38</v>
      </c>
      <c r="R17" s="10" t="s">
        <v>39</v>
      </c>
      <c r="S17" s="10" t="s">
        <v>38</v>
      </c>
      <c r="T17" s="16" t="s">
        <v>38</v>
      </c>
      <c r="U17" s="16" t="s">
        <v>38</v>
      </c>
      <c r="V17" s="16" t="s">
        <v>38</v>
      </c>
      <c r="W17" s="65" t="str">
        <f t="shared" si="10"/>
        <v>WO</v>
      </c>
      <c r="X17" s="10" t="s">
        <v>38</v>
      </c>
      <c r="Y17" s="10" t="s">
        <v>38</v>
      </c>
      <c r="Z17" s="10" t="s">
        <v>38</v>
      </c>
      <c r="AA17" s="10" t="s">
        <v>38</v>
      </c>
      <c r="AB17" s="10" t="s">
        <v>39</v>
      </c>
      <c r="AC17" s="10" t="s">
        <v>38</v>
      </c>
      <c r="AD17" s="65" t="str">
        <f t="shared" si="11"/>
        <v>WO</v>
      </c>
      <c r="AE17" s="10" t="s">
        <v>38</v>
      </c>
      <c r="AF17" s="10" t="s">
        <v>38</v>
      </c>
      <c r="AG17" s="10" t="s">
        <v>38</v>
      </c>
      <c r="AH17" s="10" t="s">
        <v>38</v>
      </c>
      <c r="AI17" s="10" t="s">
        <v>39</v>
      </c>
      <c r="AJ17" s="10" t="s">
        <v>38</v>
      </c>
      <c r="AK17" s="65" t="str">
        <f t="shared" si="12"/>
        <v>WO</v>
      </c>
      <c r="AL17" s="10" t="s">
        <v>40</v>
      </c>
      <c r="AM17" s="10" t="s">
        <v>38</v>
      </c>
      <c r="AN17" s="64" t="s">
        <v>38</v>
      </c>
      <c r="AO17" s="29"/>
      <c r="AP17" s="21"/>
      <c r="AQ17" s="24"/>
      <c r="AR17" s="10">
        <v>8</v>
      </c>
      <c r="AS17" s="10" t="s">
        <v>10</v>
      </c>
      <c r="AT17" s="10" t="str">
        <f t="shared" si="2"/>
        <v>April</v>
      </c>
      <c r="AU17" s="10">
        <v>1008</v>
      </c>
      <c r="AV17" s="9">
        <f t="shared" si="3"/>
        <v>21</v>
      </c>
      <c r="AW17" s="16">
        <f t="shared" si="4"/>
        <v>4</v>
      </c>
      <c r="AX17" s="16">
        <f t="shared" si="5"/>
        <v>1</v>
      </c>
      <c r="AY17" s="16">
        <f t="shared" si="6"/>
        <v>4</v>
      </c>
      <c r="AZ17" s="16">
        <f t="shared" si="7"/>
        <v>30</v>
      </c>
      <c r="BA17" s="16">
        <f>AprReport[[#This Row],[Days]]-AprReport[[#This Row],[Absent]]</f>
        <v>26</v>
      </c>
      <c r="BB17" s="19">
        <v>17000</v>
      </c>
      <c r="BC17" s="20">
        <f>AprReport[[#This Row],[Salary ]]/AprReport[[#This Row],[Days]]</f>
        <v>566.66666666666663</v>
      </c>
      <c r="BD17" s="20">
        <f>AprReport[[#This Row],[Per Day Salary ]]*AprReport[[#This Row],[Absent]]</f>
        <v>2266.6666666666665</v>
      </c>
      <c r="BE17" s="20">
        <f>AprReport[[#This Row],[Salary ]]-AprReport[[#This Row],[Deduction]]</f>
        <v>14733.333333333334</v>
      </c>
      <c r="BF17" s="20"/>
      <c r="BG17" s="24"/>
      <c r="BH17" s="22"/>
      <c r="BI17" s="22"/>
      <c r="BJ17" s="22"/>
      <c r="BK17" s="22"/>
      <c r="BL17" s="22"/>
      <c r="BM17" s="22"/>
      <c r="BN17" s="22"/>
    </row>
    <row r="18" spans="6:70" x14ac:dyDescent="0.25">
      <c r="F18" s="21"/>
      <c r="G18" s="8">
        <v>9</v>
      </c>
      <c r="H18" s="10" t="s">
        <v>11</v>
      </c>
      <c r="I18" s="10">
        <v>1009</v>
      </c>
      <c r="J18" s="47">
        <f t="shared" si="8"/>
        <v>4</v>
      </c>
      <c r="K18" s="10" t="s">
        <v>39</v>
      </c>
      <c r="L18" s="10" t="s">
        <v>38</v>
      </c>
      <c r="M18" s="10" t="s">
        <v>38</v>
      </c>
      <c r="N18" s="10" t="s">
        <v>38</v>
      </c>
      <c r="O18" s="10" t="s">
        <v>38</v>
      </c>
      <c r="P18" s="65" t="str">
        <f t="shared" si="9"/>
        <v>WO</v>
      </c>
      <c r="Q18" s="10" t="s">
        <v>38</v>
      </c>
      <c r="R18" s="10" t="s">
        <v>38</v>
      </c>
      <c r="S18" s="10" t="s">
        <v>39</v>
      </c>
      <c r="T18" s="16" t="s">
        <v>38</v>
      </c>
      <c r="U18" s="16" t="s">
        <v>38</v>
      </c>
      <c r="V18" s="16" t="s">
        <v>38</v>
      </c>
      <c r="W18" s="65" t="str">
        <f t="shared" si="10"/>
        <v>WO</v>
      </c>
      <c r="X18" s="10" t="s">
        <v>38</v>
      </c>
      <c r="Y18" s="10" t="s">
        <v>38</v>
      </c>
      <c r="Z18" s="10" t="s">
        <v>38</v>
      </c>
      <c r="AA18" s="10" t="s">
        <v>38</v>
      </c>
      <c r="AB18" s="10" t="s">
        <v>38</v>
      </c>
      <c r="AC18" s="10" t="s">
        <v>38</v>
      </c>
      <c r="AD18" s="65" t="str">
        <f t="shared" si="11"/>
        <v>WO</v>
      </c>
      <c r="AE18" s="10" t="s">
        <v>38</v>
      </c>
      <c r="AF18" s="10" t="s">
        <v>38</v>
      </c>
      <c r="AG18" s="10" t="s">
        <v>38</v>
      </c>
      <c r="AH18" s="10" t="s">
        <v>38</v>
      </c>
      <c r="AI18" s="10" t="s">
        <v>38</v>
      </c>
      <c r="AJ18" s="10" t="s">
        <v>38</v>
      </c>
      <c r="AK18" s="65" t="str">
        <f t="shared" si="12"/>
        <v>WO</v>
      </c>
      <c r="AL18" s="10" t="s">
        <v>38</v>
      </c>
      <c r="AM18" s="10" t="s">
        <v>38</v>
      </c>
      <c r="AN18" s="64" t="s">
        <v>38</v>
      </c>
      <c r="AO18" s="29"/>
      <c r="AP18" s="21"/>
      <c r="AQ18" s="24"/>
      <c r="AR18" s="10">
        <v>9</v>
      </c>
      <c r="AS18" s="10" t="s">
        <v>11</v>
      </c>
      <c r="AT18" s="10" t="str">
        <f t="shared" si="2"/>
        <v>April</v>
      </c>
      <c r="AU18" s="10">
        <v>1009</v>
      </c>
      <c r="AV18" s="9">
        <f t="shared" si="3"/>
        <v>24</v>
      </c>
      <c r="AW18" s="16">
        <f t="shared" si="4"/>
        <v>2</v>
      </c>
      <c r="AX18" s="16">
        <f t="shared" si="5"/>
        <v>0</v>
      </c>
      <c r="AY18" s="16">
        <f t="shared" si="6"/>
        <v>4</v>
      </c>
      <c r="AZ18" s="16">
        <f t="shared" si="7"/>
        <v>30</v>
      </c>
      <c r="BA18" s="16">
        <f>AprReport[[#This Row],[Days]]-AprReport[[#This Row],[Absent]]</f>
        <v>28</v>
      </c>
      <c r="BB18" s="19">
        <v>39000</v>
      </c>
      <c r="BC18" s="20">
        <f>AprReport[[#This Row],[Salary ]]/AprReport[[#This Row],[Days]]</f>
        <v>1300</v>
      </c>
      <c r="BD18" s="20">
        <f>AprReport[[#This Row],[Per Day Salary ]]*AprReport[[#This Row],[Absent]]</f>
        <v>2600</v>
      </c>
      <c r="BE18" s="20">
        <f>AprReport[[#This Row],[Salary ]]-AprReport[[#This Row],[Deduction]]</f>
        <v>36400</v>
      </c>
      <c r="BF18" s="20"/>
      <c r="BG18" s="24"/>
      <c r="BH18" s="22"/>
      <c r="BI18" s="22"/>
      <c r="BJ18" s="22"/>
      <c r="BK18" s="22"/>
      <c r="BL18" s="22"/>
      <c r="BM18" s="22"/>
      <c r="BN18" s="22"/>
    </row>
    <row r="19" spans="6:70" x14ac:dyDescent="0.25">
      <c r="F19" s="21"/>
      <c r="G19" s="8">
        <v>10</v>
      </c>
      <c r="H19" s="10" t="s">
        <v>3</v>
      </c>
      <c r="I19" s="10">
        <v>1010</v>
      </c>
      <c r="J19" s="47">
        <f t="shared" si="8"/>
        <v>4</v>
      </c>
      <c r="K19" s="10" t="s">
        <v>40</v>
      </c>
      <c r="L19" s="10" t="s">
        <v>38</v>
      </c>
      <c r="M19" s="10" t="s">
        <v>38</v>
      </c>
      <c r="N19" s="10" t="s">
        <v>40</v>
      </c>
      <c r="O19" s="10" t="s">
        <v>38</v>
      </c>
      <c r="P19" s="65" t="str">
        <f t="shared" si="9"/>
        <v>WO</v>
      </c>
      <c r="Q19" s="10" t="s">
        <v>38</v>
      </c>
      <c r="R19" s="10" t="s">
        <v>38</v>
      </c>
      <c r="S19" s="10" t="s">
        <v>38</v>
      </c>
      <c r="T19" s="16" t="s">
        <v>38</v>
      </c>
      <c r="U19" s="16" t="s">
        <v>38</v>
      </c>
      <c r="V19" s="16" t="s">
        <v>40</v>
      </c>
      <c r="W19" s="65" t="str">
        <f t="shared" si="10"/>
        <v>WO</v>
      </c>
      <c r="X19" s="10" t="s">
        <v>39</v>
      </c>
      <c r="Y19" s="10" t="s">
        <v>38</v>
      </c>
      <c r="Z19" s="10" t="s">
        <v>38</v>
      </c>
      <c r="AA19" s="10" t="s">
        <v>38</v>
      </c>
      <c r="AB19" s="10" t="s">
        <v>38</v>
      </c>
      <c r="AC19" s="10" t="s">
        <v>38</v>
      </c>
      <c r="AD19" s="65" t="str">
        <f t="shared" si="11"/>
        <v>WO</v>
      </c>
      <c r="AE19" s="10" t="s">
        <v>39</v>
      </c>
      <c r="AF19" s="10" t="s">
        <v>38</v>
      </c>
      <c r="AG19" s="10" t="s">
        <v>38</v>
      </c>
      <c r="AH19" s="10" t="s">
        <v>38</v>
      </c>
      <c r="AI19" s="10" t="s">
        <v>38</v>
      </c>
      <c r="AJ19" s="10" t="s">
        <v>38</v>
      </c>
      <c r="AK19" s="65" t="str">
        <f t="shared" si="12"/>
        <v>WO</v>
      </c>
      <c r="AL19" s="10" t="s">
        <v>38</v>
      </c>
      <c r="AM19" s="10" t="s">
        <v>38</v>
      </c>
      <c r="AN19" s="64" t="s">
        <v>38</v>
      </c>
      <c r="AO19" s="29"/>
      <c r="AP19" s="21"/>
      <c r="AQ19" s="24"/>
      <c r="AR19" s="10">
        <v>10</v>
      </c>
      <c r="AS19" s="10" t="s">
        <v>3</v>
      </c>
      <c r="AT19" s="10" t="str">
        <f t="shared" si="2"/>
        <v>April</v>
      </c>
      <c r="AU19" s="10">
        <v>1010</v>
      </c>
      <c r="AV19" s="9">
        <f t="shared" si="3"/>
        <v>21</v>
      </c>
      <c r="AW19" s="16">
        <f t="shared" si="4"/>
        <v>2</v>
      </c>
      <c r="AX19" s="16">
        <f t="shared" si="5"/>
        <v>3</v>
      </c>
      <c r="AY19" s="16">
        <f t="shared" si="6"/>
        <v>4</v>
      </c>
      <c r="AZ19" s="16">
        <f t="shared" si="7"/>
        <v>30</v>
      </c>
      <c r="BA19" s="16">
        <f>AprReport[[#This Row],[Days]]-AprReport[[#This Row],[Absent]]</f>
        <v>28</v>
      </c>
      <c r="BB19" s="19">
        <v>72000</v>
      </c>
      <c r="BC19" s="20">
        <f>AprReport[[#This Row],[Salary ]]/AprReport[[#This Row],[Days]]</f>
        <v>2400</v>
      </c>
      <c r="BD19" s="20">
        <f>AprReport[[#This Row],[Per Day Salary ]]*AprReport[[#This Row],[Absent]]</f>
        <v>4800</v>
      </c>
      <c r="BE19" s="20">
        <f>AprReport[[#This Row],[Salary ]]-AprReport[[#This Row],[Deduction]]</f>
        <v>67200</v>
      </c>
      <c r="BF19" s="20"/>
      <c r="BG19" s="24"/>
      <c r="BH19" s="22"/>
      <c r="BI19" s="22"/>
      <c r="BJ19" s="22"/>
      <c r="BK19" s="22"/>
      <c r="BL19" s="22"/>
      <c r="BM19" s="22"/>
      <c r="BN19" s="22"/>
    </row>
    <row r="20" spans="6:70" x14ac:dyDescent="0.25">
      <c r="F20" s="21"/>
      <c r="G20" s="8">
        <v>11</v>
      </c>
      <c r="H20" s="9" t="s">
        <v>12</v>
      </c>
      <c r="I20" s="10">
        <v>1011</v>
      </c>
      <c r="J20" s="47">
        <f t="shared" si="8"/>
        <v>4</v>
      </c>
      <c r="K20" s="10" t="s">
        <v>38</v>
      </c>
      <c r="L20" s="10" t="s">
        <v>38</v>
      </c>
      <c r="M20" s="10" t="s">
        <v>38</v>
      </c>
      <c r="N20" s="10" t="s">
        <v>38</v>
      </c>
      <c r="O20" s="10" t="s">
        <v>39</v>
      </c>
      <c r="P20" s="65" t="str">
        <f t="shared" si="9"/>
        <v>WO</v>
      </c>
      <c r="Q20" s="10" t="s">
        <v>38</v>
      </c>
      <c r="R20" s="10" t="s">
        <v>38</v>
      </c>
      <c r="S20" s="10" t="s">
        <v>38</v>
      </c>
      <c r="T20" s="16" t="s">
        <v>38</v>
      </c>
      <c r="U20" s="16" t="s">
        <v>38</v>
      </c>
      <c r="V20" s="16" t="s">
        <v>38</v>
      </c>
      <c r="W20" s="65" t="str">
        <f t="shared" si="10"/>
        <v>WO</v>
      </c>
      <c r="X20" s="10" t="s">
        <v>38</v>
      </c>
      <c r="Y20" s="10" t="s">
        <v>38</v>
      </c>
      <c r="Z20" s="10" t="s">
        <v>38</v>
      </c>
      <c r="AA20" s="10" t="s">
        <v>38</v>
      </c>
      <c r="AB20" s="10" t="s">
        <v>38</v>
      </c>
      <c r="AC20" s="10" t="s">
        <v>38</v>
      </c>
      <c r="AD20" s="65" t="str">
        <f t="shared" si="11"/>
        <v>WO</v>
      </c>
      <c r="AE20" s="10" t="s">
        <v>38</v>
      </c>
      <c r="AF20" s="10" t="s">
        <v>38</v>
      </c>
      <c r="AG20" s="10" t="s">
        <v>38</v>
      </c>
      <c r="AH20" s="10" t="s">
        <v>38</v>
      </c>
      <c r="AI20" s="10" t="s">
        <v>38</v>
      </c>
      <c r="AJ20" s="10" t="s">
        <v>38</v>
      </c>
      <c r="AK20" s="65" t="str">
        <f t="shared" si="12"/>
        <v>WO</v>
      </c>
      <c r="AL20" s="10" t="s">
        <v>38</v>
      </c>
      <c r="AM20" s="10" t="s">
        <v>38</v>
      </c>
      <c r="AN20" s="64" t="s">
        <v>38</v>
      </c>
      <c r="AO20" s="29"/>
      <c r="AP20" s="21"/>
      <c r="AQ20" s="24"/>
      <c r="AR20" s="10">
        <v>11</v>
      </c>
      <c r="AS20" s="9" t="s">
        <v>12</v>
      </c>
      <c r="AT20" s="9" t="str">
        <f t="shared" si="2"/>
        <v>April</v>
      </c>
      <c r="AU20" s="10">
        <v>1011</v>
      </c>
      <c r="AV20" s="9">
        <f t="shared" si="3"/>
        <v>25</v>
      </c>
      <c r="AW20" s="16">
        <f t="shared" si="4"/>
        <v>1</v>
      </c>
      <c r="AX20" s="16">
        <f t="shared" si="5"/>
        <v>0</v>
      </c>
      <c r="AY20" s="16">
        <f t="shared" si="6"/>
        <v>4</v>
      </c>
      <c r="AZ20" s="16">
        <f t="shared" si="7"/>
        <v>30</v>
      </c>
      <c r="BA20" s="16">
        <f>AprReport[[#This Row],[Days]]-AprReport[[#This Row],[Absent]]</f>
        <v>29</v>
      </c>
      <c r="BB20" s="19">
        <v>13000</v>
      </c>
      <c r="BC20" s="20">
        <f>AprReport[[#This Row],[Salary ]]/AprReport[[#This Row],[Days]]</f>
        <v>433.33333333333331</v>
      </c>
      <c r="BD20" s="20">
        <f>AprReport[[#This Row],[Per Day Salary ]]*AprReport[[#This Row],[Absent]]</f>
        <v>433.33333333333331</v>
      </c>
      <c r="BE20" s="20">
        <f>AprReport[[#This Row],[Salary ]]-AprReport[[#This Row],[Deduction]]</f>
        <v>12566.666666666666</v>
      </c>
      <c r="BF20" s="20"/>
      <c r="BG20" s="24"/>
      <c r="BH20" s="22"/>
      <c r="BI20" s="22"/>
      <c r="BJ20" s="22"/>
      <c r="BK20" s="22"/>
      <c r="BL20" s="22"/>
      <c r="BM20" s="22"/>
      <c r="BN20" s="22"/>
    </row>
    <row r="21" spans="6:70" x14ac:dyDescent="0.25">
      <c r="F21" s="21"/>
      <c r="G21" s="8">
        <v>12</v>
      </c>
      <c r="H21" s="10" t="s">
        <v>13</v>
      </c>
      <c r="I21" s="10">
        <v>1012</v>
      </c>
      <c r="J21" s="47">
        <f t="shared" si="8"/>
        <v>4</v>
      </c>
      <c r="K21" s="10" t="s">
        <v>38</v>
      </c>
      <c r="L21" s="10" t="s">
        <v>40</v>
      </c>
      <c r="M21" s="10" t="s">
        <v>38</v>
      </c>
      <c r="N21" s="10" t="s">
        <v>38</v>
      </c>
      <c r="O21" s="10" t="s">
        <v>38</v>
      </c>
      <c r="P21" s="65" t="str">
        <f t="shared" si="9"/>
        <v>WO</v>
      </c>
      <c r="Q21" s="10" t="s">
        <v>38</v>
      </c>
      <c r="R21" s="10" t="s">
        <v>38</v>
      </c>
      <c r="S21" s="10" t="s">
        <v>39</v>
      </c>
      <c r="T21" s="16" t="s">
        <v>38</v>
      </c>
      <c r="U21" s="16" t="s">
        <v>38</v>
      </c>
      <c r="V21" s="16" t="s">
        <v>38</v>
      </c>
      <c r="W21" s="65" t="str">
        <f t="shared" si="10"/>
        <v>WO</v>
      </c>
      <c r="X21" s="10" t="s">
        <v>38</v>
      </c>
      <c r="Y21" s="10" t="s">
        <v>38</v>
      </c>
      <c r="Z21" s="10" t="s">
        <v>38</v>
      </c>
      <c r="AA21" s="10" t="s">
        <v>38</v>
      </c>
      <c r="AB21" s="10" t="s">
        <v>38</v>
      </c>
      <c r="AC21" s="10" t="s">
        <v>38</v>
      </c>
      <c r="AD21" s="65" t="str">
        <f t="shared" si="11"/>
        <v>WO</v>
      </c>
      <c r="AE21" s="10" t="s">
        <v>38</v>
      </c>
      <c r="AF21" s="10" t="s">
        <v>38</v>
      </c>
      <c r="AG21" s="10" t="s">
        <v>38</v>
      </c>
      <c r="AH21" s="10" t="s">
        <v>38</v>
      </c>
      <c r="AI21" s="10" t="s">
        <v>38</v>
      </c>
      <c r="AJ21" s="10" t="s">
        <v>38</v>
      </c>
      <c r="AK21" s="65" t="str">
        <f t="shared" si="12"/>
        <v>WO</v>
      </c>
      <c r="AL21" s="10" t="s">
        <v>38</v>
      </c>
      <c r="AM21" s="10" t="s">
        <v>40</v>
      </c>
      <c r="AN21" s="64" t="s">
        <v>38</v>
      </c>
      <c r="AO21" s="29"/>
      <c r="AP21" s="21"/>
      <c r="AQ21" s="24"/>
      <c r="AR21" s="10">
        <v>12</v>
      </c>
      <c r="AS21" s="10" t="s">
        <v>13</v>
      </c>
      <c r="AT21" s="10" t="str">
        <f t="shared" si="2"/>
        <v>April</v>
      </c>
      <c r="AU21" s="10">
        <v>1012</v>
      </c>
      <c r="AV21" s="9">
        <f t="shared" si="3"/>
        <v>23</v>
      </c>
      <c r="AW21" s="16">
        <f t="shared" si="4"/>
        <v>1</v>
      </c>
      <c r="AX21" s="16">
        <f t="shared" si="5"/>
        <v>2</v>
      </c>
      <c r="AY21" s="16">
        <f t="shared" si="6"/>
        <v>4</v>
      </c>
      <c r="AZ21" s="16">
        <f t="shared" si="7"/>
        <v>30</v>
      </c>
      <c r="BA21" s="16">
        <f>AprReport[[#This Row],[Days]]-AprReport[[#This Row],[Absent]]</f>
        <v>29</v>
      </c>
      <c r="BB21" s="19">
        <v>22000</v>
      </c>
      <c r="BC21" s="20">
        <f>AprReport[[#This Row],[Salary ]]/AprReport[[#This Row],[Days]]</f>
        <v>733.33333333333337</v>
      </c>
      <c r="BD21" s="20">
        <f>AprReport[[#This Row],[Per Day Salary ]]*AprReport[[#This Row],[Absent]]</f>
        <v>733.33333333333337</v>
      </c>
      <c r="BE21" s="20">
        <f>AprReport[[#This Row],[Salary ]]-AprReport[[#This Row],[Deduction]]</f>
        <v>21266.666666666668</v>
      </c>
      <c r="BF21" s="20"/>
      <c r="BG21" s="24"/>
      <c r="BH21" s="22"/>
      <c r="BI21" s="22"/>
      <c r="BJ21" s="22"/>
      <c r="BK21" s="22"/>
      <c r="BL21" s="22"/>
      <c r="BM21" s="22"/>
      <c r="BN21" s="22"/>
    </row>
    <row r="22" spans="6:70" x14ac:dyDescent="0.25">
      <c r="F22" s="21"/>
      <c r="G22" s="8">
        <v>13</v>
      </c>
      <c r="H22" s="10" t="s">
        <v>14</v>
      </c>
      <c r="I22" s="10">
        <v>1013</v>
      </c>
      <c r="J22" s="47">
        <f t="shared" si="8"/>
        <v>4</v>
      </c>
      <c r="K22" s="10" t="s">
        <v>38</v>
      </c>
      <c r="L22" s="10" t="s">
        <v>38</v>
      </c>
      <c r="M22" s="10" t="s">
        <v>40</v>
      </c>
      <c r="N22" s="10" t="s">
        <v>38</v>
      </c>
      <c r="O22" s="10" t="s">
        <v>38</v>
      </c>
      <c r="P22" s="65" t="str">
        <f t="shared" si="9"/>
        <v>WO</v>
      </c>
      <c r="Q22" s="10" t="s">
        <v>38</v>
      </c>
      <c r="R22" s="10" t="s">
        <v>38</v>
      </c>
      <c r="S22" s="10" t="s">
        <v>38</v>
      </c>
      <c r="T22" s="16" t="s">
        <v>38</v>
      </c>
      <c r="U22" s="16" t="s">
        <v>38</v>
      </c>
      <c r="V22" s="16" t="s">
        <v>38</v>
      </c>
      <c r="W22" s="65" t="str">
        <f t="shared" si="10"/>
        <v>WO</v>
      </c>
      <c r="X22" s="10" t="s">
        <v>38</v>
      </c>
      <c r="Y22" s="10" t="s">
        <v>38</v>
      </c>
      <c r="Z22" s="10" t="s">
        <v>38</v>
      </c>
      <c r="AA22" s="10" t="s">
        <v>38</v>
      </c>
      <c r="AB22" s="10" t="s">
        <v>38</v>
      </c>
      <c r="AC22" s="10" t="s">
        <v>38</v>
      </c>
      <c r="AD22" s="65" t="str">
        <f t="shared" si="11"/>
        <v>WO</v>
      </c>
      <c r="AE22" s="10" t="s">
        <v>38</v>
      </c>
      <c r="AF22" s="10" t="s">
        <v>38</v>
      </c>
      <c r="AG22" s="10" t="s">
        <v>38</v>
      </c>
      <c r="AH22" s="10" t="s">
        <v>38</v>
      </c>
      <c r="AI22" s="10" t="s">
        <v>38</v>
      </c>
      <c r="AJ22" s="10" t="s">
        <v>38</v>
      </c>
      <c r="AK22" s="65" t="str">
        <f t="shared" si="12"/>
        <v>WO</v>
      </c>
      <c r="AL22" s="10" t="s">
        <v>38</v>
      </c>
      <c r="AM22" s="10" t="s">
        <v>38</v>
      </c>
      <c r="AN22" s="64" t="s">
        <v>38</v>
      </c>
      <c r="AO22" s="29"/>
      <c r="AP22" s="21"/>
      <c r="AQ22" s="24"/>
      <c r="AR22" s="10">
        <v>13</v>
      </c>
      <c r="AS22" s="10" t="s">
        <v>14</v>
      </c>
      <c r="AT22" s="10" t="str">
        <f t="shared" si="2"/>
        <v>April</v>
      </c>
      <c r="AU22" s="10">
        <v>1013</v>
      </c>
      <c r="AV22" s="9">
        <f t="shared" si="3"/>
        <v>25</v>
      </c>
      <c r="AW22" s="16">
        <f t="shared" si="4"/>
        <v>0</v>
      </c>
      <c r="AX22" s="16">
        <f t="shared" si="5"/>
        <v>1</v>
      </c>
      <c r="AY22" s="16">
        <f t="shared" si="6"/>
        <v>4</v>
      </c>
      <c r="AZ22" s="16">
        <f t="shared" si="7"/>
        <v>30</v>
      </c>
      <c r="BA22" s="16">
        <f>AprReport[[#This Row],[Days]]-AprReport[[#This Row],[Absent]]</f>
        <v>30</v>
      </c>
      <c r="BB22" s="19">
        <v>35000</v>
      </c>
      <c r="BC22" s="20">
        <f>AprReport[[#This Row],[Salary ]]/AprReport[[#This Row],[Days]]</f>
        <v>1166.6666666666667</v>
      </c>
      <c r="BD22" s="20">
        <f>AprReport[[#This Row],[Per Day Salary ]]*AprReport[[#This Row],[Absent]]</f>
        <v>0</v>
      </c>
      <c r="BE22" s="20">
        <f>AprReport[[#This Row],[Salary ]]-AprReport[[#This Row],[Deduction]]</f>
        <v>35000</v>
      </c>
      <c r="BF22" s="20"/>
      <c r="BG22" s="24"/>
      <c r="BH22" s="22"/>
      <c r="BI22" s="22"/>
      <c r="BJ22" s="22"/>
      <c r="BK22" s="22"/>
      <c r="BL22" s="22"/>
      <c r="BM22" s="22"/>
      <c r="BN22" s="22"/>
    </row>
    <row r="23" spans="6:70" x14ac:dyDescent="0.25">
      <c r="F23" s="21"/>
      <c r="G23" s="8">
        <v>14</v>
      </c>
      <c r="H23" s="10" t="s">
        <v>15</v>
      </c>
      <c r="I23" s="10">
        <v>1014</v>
      </c>
      <c r="J23" s="47">
        <f t="shared" si="8"/>
        <v>4</v>
      </c>
      <c r="K23" s="10" t="s">
        <v>38</v>
      </c>
      <c r="L23" s="10" t="s">
        <v>38</v>
      </c>
      <c r="M23" s="10" t="s">
        <v>38</v>
      </c>
      <c r="N23" s="10" t="s">
        <v>38</v>
      </c>
      <c r="O23" s="10" t="s">
        <v>38</v>
      </c>
      <c r="P23" s="65" t="str">
        <f t="shared" si="9"/>
        <v>WO</v>
      </c>
      <c r="Q23" s="10" t="s">
        <v>38</v>
      </c>
      <c r="R23" s="10" t="s">
        <v>38</v>
      </c>
      <c r="S23" s="10" t="s">
        <v>38</v>
      </c>
      <c r="T23" s="16" t="s">
        <v>38</v>
      </c>
      <c r="U23" s="16" t="s">
        <v>39</v>
      </c>
      <c r="V23" s="16" t="s">
        <v>38</v>
      </c>
      <c r="W23" s="65" t="str">
        <f t="shared" si="10"/>
        <v>WO</v>
      </c>
      <c r="X23" s="10" t="s">
        <v>40</v>
      </c>
      <c r="Y23" s="10" t="s">
        <v>38</v>
      </c>
      <c r="Z23" s="10" t="s">
        <v>38</v>
      </c>
      <c r="AA23" s="10" t="s">
        <v>39</v>
      </c>
      <c r="AB23" s="10" t="s">
        <v>38</v>
      </c>
      <c r="AC23" s="10" t="s">
        <v>38</v>
      </c>
      <c r="AD23" s="65" t="str">
        <f t="shared" si="11"/>
        <v>WO</v>
      </c>
      <c r="AE23" s="10" t="s">
        <v>40</v>
      </c>
      <c r="AF23" s="10" t="s">
        <v>38</v>
      </c>
      <c r="AG23" s="10" t="s">
        <v>38</v>
      </c>
      <c r="AH23" s="10" t="s">
        <v>39</v>
      </c>
      <c r="AI23" s="10" t="s">
        <v>38</v>
      </c>
      <c r="AJ23" s="10" t="s">
        <v>38</v>
      </c>
      <c r="AK23" s="65" t="str">
        <f t="shared" si="12"/>
        <v>WO</v>
      </c>
      <c r="AL23" s="10" t="s">
        <v>38</v>
      </c>
      <c r="AM23" s="10" t="s">
        <v>38</v>
      </c>
      <c r="AN23" s="64" t="s">
        <v>38</v>
      </c>
      <c r="AO23" s="29"/>
      <c r="AP23" s="21"/>
      <c r="AQ23" s="24"/>
      <c r="AR23" s="10">
        <v>14</v>
      </c>
      <c r="AS23" s="10" t="s">
        <v>15</v>
      </c>
      <c r="AT23" s="10" t="str">
        <f t="shared" si="2"/>
        <v>April</v>
      </c>
      <c r="AU23" s="10">
        <v>1014</v>
      </c>
      <c r="AV23" s="9">
        <f t="shared" si="3"/>
        <v>21</v>
      </c>
      <c r="AW23" s="16">
        <f t="shared" si="4"/>
        <v>3</v>
      </c>
      <c r="AX23" s="16">
        <f t="shared" si="5"/>
        <v>2</v>
      </c>
      <c r="AY23" s="16">
        <f t="shared" si="6"/>
        <v>4</v>
      </c>
      <c r="AZ23" s="16">
        <f t="shared" si="7"/>
        <v>30</v>
      </c>
      <c r="BA23" s="16">
        <f>AprReport[[#This Row],[Days]]-AprReport[[#This Row],[Absent]]</f>
        <v>27</v>
      </c>
      <c r="BB23" s="19">
        <v>14000</v>
      </c>
      <c r="BC23" s="20">
        <f>AprReport[[#This Row],[Salary ]]/AprReport[[#This Row],[Days]]</f>
        <v>466.66666666666669</v>
      </c>
      <c r="BD23" s="20">
        <f>AprReport[[#This Row],[Per Day Salary ]]*AprReport[[#This Row],[Absent]]</f>
        <v>1400</v>
      </c>
      <c r="BE23" s="20">
        <f>AprReport[[#This Row],[Salary ]]-AprReport[[#This Row],[Deduction]]</f>
        <v>12600</v>
      </c>
      <c r="BF23" s="20"/>
      <c r="BG23" s="24"/>
      <c r="BH23" s="22"/>
      <c r="BI23" s="22"/>
      <c r="BJ23" s="22"/>
      <c r="BK23" s="22"/>
      <c r="BL23" s="22"/>
      <c r="BM23" s="22"/>
      <c r="BN23" s="22"/>
    </row>
    <row r="24" spans="6:70" x14ac:dyDescent="0.25">
      <c r="F24" s="21"/>
      <c r="G24" s="8">
        <v>15</v>
      </c>
      <c r="H24" s="10" t="s">
        <v>16</v>
      </c>
      <c r="I24" s="10">
        <v>1015</v>
      </c>
      <c r="J24" s="47">
        <f t="shared" si="8"/>
        <v>4</v>
      </c>
      <c r="K24" s="10" t="s">
        <v>38</v>
      </c>
      <c r="L24" s="10" t="s">
        <v>38</v>
      </c>
      <c r="M24" s="10" t="s">
        <v>40</v>
      </c>
      <c r="N24" s="10" t="s">
        <v>38</v>
      </c>
      <c r="O24" s="10" t="s">
        <v>38</v>
      </c>
      <c r="P24" s="65" t="str">
        <f t="shared" si="9"/>
        <v>WO</v>
      </c>
      <c r="Q24" s="10" t="s">
        <v>38</v>
      </c>
      <c r="R24" s="10" t="s">
        <v>38</v>
      </c>
      <c r="S24" s="10" t="s">
        <v>38</v>
      </c>
      <c r="T24" s="16" t="s">
        <v>38</v>
      </c>
      <c r="U24" s="16" t="s">
        <v>38</v>
      </c>
      <c r="V24" s="16" t="s">
        <v>38</v>
      </c>
      <c r="W24" s="65" t="str">
        <f t="shared" si="10"/>
        <v>WO</v>
      </c>
      <c r="X24" s="10" t="s">
        <v>38</v>
      </c>
      <c r="Y24" s="10" t="s">
        <v>38</v>
      </c>
      <c r="Z24" s="10" t="s">
        <v>38</v>
      </c>
      <c r="AA24" s="10" t="s">
        <v>38</v>
      </c>
      <c r="AB24" s="10" t="s">
        <v>38</v>
      </c>
      <c r="AC24" s="10" t="s">
        <v>38</v>
      </c>
      <c r="AD24" s="65" t="str">
        <f t="shared" si="11"/>
        <v>WO</v>
      </c>
      <c r="AE24" s="10" t="s">
        <v>38</v>
      </c>
      <c r="AF24" s="10" t="s">
        <v>38</v>
      </c>
      <c r="AG24" s="10" t="s">
        <v>38</v>
      </c>
      <c r="AH24" s="10" t="s">
        <v>38</v>
      </c>
      <c r="AI24" s="10" t="s">
        <v>38</v>
      </c>
      <c r="AJ24" s="10" t="s">
        <v>38</v>
      </c>
      <c r="AK24" s="65" t="str">
        <f t="shared" si="12"/>
        <v>WO</v>
      </c>
      <c r="AL24" s="10" t="s">
        <v>38</v>
      </c>
      <c r="AM24" s="10" t="s">
        <v>38</v>
      </c>
      <c r="AN24" s="64" t="s">
        <v>38</v>
      </c>
      <c r="AO24" s="29"/>
      <c r="AP24" s="21"/>
      <c r="AQ24" s="24"/>
      <c r="AR24" s="10">
        <v>15</v>
      </c>
      <c r="AS24" s="10" t="s">
        <v>16</v>
      </c>
      <c r="AT24" s="10" t="str">
        <f t="shared" si="2"/>
        <v>April</v>
      </c>
      <c r="AU24" s="10">
        <v>1015</v>
      </c>
      <c r="AV24" s="9">
        <f t="shared" si="3"/>
        <v>25</v>
      </c>
      <c r="AW24" s="16">
        <f t="shared" si="4"/>
        <v>0</v>
      </c>
      <c r="AX24" s="16">
        <f t="shared" si="5"/>
        <v>1</v>
      </c>
      <c r="AY24" s="16">
        <f t="shared" si="6"/>
        <v>4</v>
      </c>
      <c r="AZ24" s="16">
        <f t="shared" si="7"/>
        <v>30</v>
      </c>
      <c r="BA24" s="16">
        <f>AprReport[[#This Row],[Days]]-AprReport[[#This Row],[Absent]]</f>
        <v>30</v>
      </c>
      <c r="BB24" s="19">
        <v>72000</v>
      </c>
      <c r="BC24" s="20">
        <f>AprReport[[#This Row],[Salary ]]/AprReport[[#This Row],[Days]]</f>
        <v>2400</v>
      </c>
      <c r="BD24" s="20">
        <f>AprReport[[#This Row],[Per Day Salary ]]*AprReport[[#This Row],[Absent]]</f>
        <v>0</v>
      </c>
      <c r="BE24" s="20">
        <f>AprReport[[#This Row],[Salary ]]-AprReport[[#This Row],[Deduction]]</f>
        <v>72000</v>
      </c>
      <c r="BF24" s="20"/>
      <c r="BG24" s="24"/>
      <c r="BH24" s="22"/>
      <c r="BI24" s="22"/>
      <c r="BJ24" s="22"/>
      <c r="BK24" s="22"/>
      <c r="BL24" s="22"/>
      <c r="BM24" s="22"/>
      <c r="BN24" s="22"/>
    </row>
    <row r="25" spans="6:70" x14ac:dyDescent="0.25">
      <c r="F25" s="21"/>
      <c r="G25" s="8">
        <v>16</v>
      </c>
      <c r="H25" s="10" t="s">
        <v>17</v>
      </c>
      <c r="I25" s="10">
        <v>1016</v>
      </c>
      <c r="J25" s="47">
        <f t="shared" si="8"/>
        <v>4</v>
      </c>
      <c r="K25" s="10" t="s">
        <v>38</v>
      </c>
      <c r="L25" s="10" t="s">
        <v>40</v>
      </c>
      <c r="M25" s="10" t="s">
        <v>38</v>
      </c>
      <c r="N25" s="10" t="s">
        <v>38</v>
      </c>
      <c r="O25" s="10" t="s">
        <v>38</v>
      </c>
      <c r="P25" s="65" t="str">
        <f t="shared" si="9"/>
        <v>WO</v>
      </c>
      <c r="Q25" s="10" t="s">
        <v>39</v>
      </c>
      <c r="R25" s="10" t="s">
        <v>38</v>
      </c>
      <c r="S25" s="10" t="s">
        <v>38</v>
      </c>
      <c r="T25" s="16" t="s">
        <v>38</v>
      </c>
      <c r="U25" s="16" t="s">
        <v>38</v>
      </c>
      <c r="V25" s="16" t="s">
        <v>38</v>
      </c>
      <c r="W25" s="65" t="str">
        <f t="shared" si="10"/>
        <v>WO</v>
      </c>
      <c r="X25" s="10" t="s">
        <v>38</v>
      </c>
      <c r="Y25" s="10" t="s">
        <v>38</v>
      </c>
      <c r="Z25" s="10" t="s">
        <v>38</v>
      </c>
      <c r="AA25" s="10" t="s">
        <v>38</v>
      </c>
      <c r="AB25" s="10" t="s">
        <v>38</v>
      </c>
      <c r="AC25" s="10" t="s">
        <v>38</v>
      </c>
      <c r="AD25" s="65" t="str">
        <f t="shared" si="11"/>
        <v>WO</v>
      </c>
      <c r="AE25" s="10" t="s">
        <v>38</v>
      </c>
      <c r="AF25" s="10" t="s">
        <v>38</v>
      </c>
      <c r="AG25" s="10" t="s">
        <v>38</v>
      </c>
      <c r="AH25" s="10" t="s">
        <v>38</v>
      </c>
      <c r="AI25" s="10" t="s">
        <v>38</v>
      </c>
      <c r="AJ25" s="10" t="s">
        <v>38</v>
      </c>
      <c r="AK25" s="65" t="str">
        <f t="shared" si="12"/>
        <v>WO</v>
      </c>
      <c r="AL25" s="10" t="s">
        <v>39</v>
      </c>
      <c r="AM25" s="10" t="s">
        <v>38</v>
      </c>
      <c r="AN25" s="64" t="s">
        <v>38</v>
      </c>
      <c r="AO25" s="29"/>
      <c r="AP25" s="21"/>
      <c r="AQ25" s="24"/>
      <c r="AR25" s="10">
        <v>16</v>
      </c>
      <c r="AS25" s="10" t="s">
        <v>17</v>
      </c>
      <c r="AT25" s="10" t="str">
        <f t="shared" si="2"/>
        <v>April</v>
      </c>
      <c r="AU25" s="10">
        <v>1016</v>
      </c>
      <c r="AV25" s="9">
        <f t="shared" si="3"/>
        <v>23</v>
      </c>
      <c r="AW25" s="16">
        <f t="shared" si="4"/>
        <v>2</v>
      </c>
      <c r="AX25" s="16">
        <f t="shared" si="5"/>
        <v>1</v>
      </c>
      <c r="AY25" s="16">
        <f t="shared" si="6"/>
        <v>4</v>
      </c>
      <c r="AZ25" s="16">
        <f t="shared" si="7"/>
        <v>30</v>
      </c>
      <c r="BA25" s="16">
        <f>AprReport[[#This Row],[Days]]-AprReport[[#This Row],[Absent]]</f>
        <v>28</v>
      </c>
      <c r="BB25" s="19">
        <v>79000</v>
      </c>
      <c r="BC25" s="20">
        <f>AprReport[[#This Row],[Salary ]]/AprReport[[#This Row],[Days]]</f>
        <v>2633.3333333333335</v>
      </c>
      <c r="BD25" s="20">
        <f>AprReport[[#This Row],[Per Day Salary ]]*AprReport[[#This Row],[Absent]]</f>
        <v>5266.666666666667</v>
      </c>
      <c r="BE25" s="20">
        <f>AprReport[[#This Row],[Salary ]]-AprReport[[#This Row],[Deduction]]</f>
        <v>73733.333333333328</v>
      </c>
      <c r="BF25" s="20"/>
      <c r="BG25" s="24"/>
      <c r="BH25" s="22"/>
      <c r="BI25" s="22"/>
      <c r="BJ25" s="22"/>
      <c r="BK25" s="22"/>
      <c r="BL25" s="22"/>
      <c r="BM25" s="22"/>
      <c r="BN25" s="22"/>
    </row>
    <row r="26" spans="6:70" x14ac:dyDescent="0.25">
      <c r="F26" s="21"/>
      <c r="G26" s="8">
        <v>17</v>
      </c>
      <c r="H26" s="10" t="s">
        <v>18</v>
      </c>
      <c r="I26" s="10">
        <v>1017</v>
      </c>
      <c r="J26" s="47">
        <f t="shared" si="8"/>
        <v>4</v>
      </c>
      <c r="K26" s="10" t="s">
        <v>38</v>
      </c>
      <c r="L26" s="10" t="s">
        <v>38</v>
      </c>
      <c r="M26" s="10" t="s">
        <v>38</v>
      </c>
      <c r="N26" s="10" t="s">
        <v>38</v>
      </c>
      <c r="O26" s="10" t="s">
        <v>38</v>
      </c>
      <c r="P26" s="65" t="str">
        <f t="shared" si="9"/>
        <v>WO</v>
      </c>
      <c r="Q26" s="10" t="s">
        <v>38</v>
      </c>
      <c r="R26" s="10" t="s">
        <v>38</v>
      </c>
      <c r="S26" s="10" t="s">
        <v>38</v>
      </c>
      <c r="T26" s="16" t="s">
        <v>38</v>
      </c>
      <c r="U26" s="16" t="s">
        <v>38</v>
      </c>
      <c r="V26" s="16" t="s">
        <v>38</v>
      </c>
      <c r="W26" s="65" t="str">
        <f t="shared" si="10"/>
        <v>WO</v>
      </c>
      <c r="X26" s="10" t="s">
        <v>38</v>
      </c>
      <c r="Y26" s="10" t="s">
        <v>38</v>
      </c>
      <c r="Z26" s="10" t="s">
        <v>38</v>
      </c>
      <c r="AA26" s="10" t="s">
        <v>38</v>
      </c>
      <c r="AB26" s="10" t="s">
        <v>38</v>
      </c>
      <c r="AC26" s="10" t="s">
        <v>38</v>
      </c>
      <c r="AD26" s="65" t="str">
        <f t="shared" si="11"/>
        <v>WO</v>
      </c>
      <c r="AE26" s="10" t="s">
        <v>38</v>
      </c>
      <c r="AF26" s="10" t="s">
        <v>38</v>
      </c>
      <c r="AG26" s="10" t="s">
        <v>38</v>
      </c>
      <c r="AH26" s="10" t="s">
        <v>38</v>
      </c>
      <c r="AI26" s="10" t="s">
        <v>38</v>
      </c>
      <c r="AJ26" s="10" t="s">
        <v>38</v>
      </c>
      <c r="AK26" s="65" t="str">
        <f t="shared" si="12"/>
        <v>WO</v>
      </c>
      <c r="AL26" s="10" t="s">
        <v>38</v>
      </c>
      <c r="AM26" s="10" t="s">
        <v>38</v>
      </c>
      <c r="AN26" s="64" t="s">
        <v>38</v>
      </c>
      <c r="AO26" s="29"/>
      <c r="AP26" s="21"/>
      <c r="AQ26" s="24"/>
      <c r="AR26" s="10">
        <v>17</v>
      </c>
      <c r="AS26" s="10" t="s">
        <v>18</v>
      </c>
      <c r="AT26" s="10" t="str">
        <f t="shared" si="2"/>
        <v>April</v>
      </c>
      <c r="AU26" s="10">
        <v>1017</v>
      </c>
      <c r="AV26" s="9">
        <f t="shared" si="3"/>
        <v>26</v>
      </c>
      <c r="AW26" s="16">
        <f t="shared" si="4"/>
        <v>0</v>
      </c>
      <c r="AX26" s="16">
        <f t="shared" si="5"/>
        <v>0</v>
      </c>
      <c r="AY26" s="16">
        <f t="shared" si="6"/>
        <v>4</v>
      </c>
      <c r="AZ26" s="16">
        <f t="shared" si="7"/>
        <v>30</v>
      </c>
      <c r="BA26" s="16">
        <f>AprReport[[#This Row],[Days]]-AprReport[[#This Row],[Absent]]</f>
        <v>30</v>
      </c>
      <c r="BB26" s="19">
        <v>33000</v>
      </c>
      <c r="BC26" s="20">
        <f>AprReport[[#This Row],[Salary ]]/AprReport[[#This Row],[Days]]</f>
        <v>1100</v>
      </c>
      <c r="BD26" s="20">
        <f>AprReport[[#This Row],[Per Day Salary ]]*AprReport[[#This Row],[Absent]]</f>
        <v>0</v>
      </c>
      <c r="BE26" s="20">
        <f>AprReport[[#This Row],[Salary ]]-AprReport[[#This Row],[Deduction]]</f>
        <v>33000</v>
      </c>
      <c r="BF26" s="20"/>
      <c r="BG26" s="24"/>
      <c r="BH26" s="22"/>
      <c r="BI26" s="22"/>
      <c r="BJ26" s="22"/>
      <c r="BK26" s="22"/>
      <c r="BL26" s="22"/>
      <c r="BM26" s="22"/>
      <c r="BN26" s="22"/>
    </row>
    <row r="27" spans="6:70" x14ac:dyDescent="0.25">
      <c r="F27" s="21"/>
      <c r="G27" s="8">
        <v>18</v>
      </c>
      <c r="H27" s="10" t="s">
        <v>41</v>
      </c>
      <c r="I27" s="10">
        <v>1018</v>
      </c>
      <c r="J27" s="47">
        <f t="shared" si="8"/>
        <v>4</v>
      </c>
      <c r="K27" s="10" t="s">
        <v>38</v>
      </c>
      <c r="L27" s="10" t="s">
        <v>38</v>
      </c>
      <c r="M27" s="10" t="s">
        <v>38</v>
      </c>
      <c r="N27" s="10" t="s">
        <v>39</v>
      </c>
      <c r="O27" s="10" t="s">
        <v>38</v>
      </c>
      <c r="P27" s="65" t="str">
        <f t="shared" si="9"/>
        <v>WO</v>
      </c>
      <c r="Q27" s="10" t="s">
        <v>38</v>
      </c>
      <c r="R27" s="10" t="s">
        <v>38</v>
      </c>
      <c r="S27" s="10" t="s">
        <v>39</v>
      </c>
      <c r="T27" s="16" t="s">
        <v>38</v>
      </c>
      <c r="U27" s="16" t="s">
        <v>40</v>
      </c>
      <c r="V27" s="16" t="s">
        <v>38</v>
      </c>
      <c r="W27" s="65" t="str">
        <f t="shared" si="10"/>
        <v>WO</v>
      </c>
      <c r="X27" s="10" t="s">
        <v>38</v>
      </c>
      <c r="Y27" s="10" t="s">
        <v>38</v>
      </c>
      <c r="Z27" s="10" t="s">
        <v>40</v>
      </c>
      <c r="AA27" s="10" t="s">
        <v>38</v>
      </c>
      <c r="AB27" s="10" t="s">
        <v>38</v>
      </c>
      <c r="AC27" s="10" t="s">
        <v>40</v>
      </c>
      <c r="AD27" s="65" t="str">
        <f t="shared" si="11"/>
        <v>WO</v>
      </c>
      <c r="AE27" s="10" t="s">
        <v>38</v>
      </c>
      <c r="AF27" s="10" t="s">
        <v>38</v>
      </c>
      <c r="AG27" s="10" t="s">
        <v>40</v>
      </c>
      <c r="AH27" s="10" t="s">
        <v>38</v>
      </c>
      <c r="AI27" s="10" t="s">
        <v>38</v>
      </c>
      <c r="AJ27" s="10" t="s">
        <v>40</v>
      </c>
      <c r="AK27" s="65" t="str">
        <f t="shared" si="12"/>
        <v>WO</v>
      </c>
      <c r="AL27" s="10" t="s">
        <v>38</v>
      </c>
      <c r="AM27" s="10" t="s">
        <v>38</v>
      </c>
      <c r="AN27" s="64" t="s">
        <v>38</v>
      </c>
      <c r="AO27" s="29"/>
      <c r="AP27" s="21"/>
      <c r="AQ27" s="24"/>
      <c r="AR27" s="10">
        <v>18</v>
      </c>
      <c r="AS27" s="10" t="s">
        <v>41</v>
      </c>
      <c r="AT27" s="10" t="str">
        <f t="shared" si="2"/>
        <v>April</v>
      </c>
      <c r="AU27" s="10">
        <v>1018</v>
      </c>
      <c r="AV27" s="9">
        <f t="shared" si="3"/>
        <v>19</v>
      </c>
      <c r="AW27" s="16">
        <f t="shared" si="4"/>
        <v>2</v>
      </c>
      <c r="AX27" s="16">
        <f t="shared" si="5"/>
        <v>5</v>
      </c>
      <c r="AY27" s="16">
        <f t="shared" si="6"/>
        <v>4</v>
      </c>
      <c r="AZ27" s="16">
        <f t="shared" si="7"/>
        <v>30</v>
      </c>
      <c r="BA27" s="16">
        <f>AprReport[[#This Row],[Days]]-AprReport[[#This Row],[Absent]]</f>
        <v>28</v>
      </c>
      <c r="BB27" s="19">
        <v>12000</v>
      </c>
      <c r="BC27" s="20">
        <f>AprReport[[#This Row],[Salary ]]/AprReport[[#This Row],[Days]]</f>
        <v>400</v>
      </c>
      <c r="BD27" s="20">
        <f>AprReport[[#This Row],[Per Day Salary ]]*AprReport[[#This Row],[Absent]]</f>
        <v>800</v>
      </c>
      <c r="BE27" s="20">
        <f>AprReport[[#This Row],[Salary ]]-AprReport[[#This Row],[Deduction]]</f>
        <v>11200</v>
      </c>
      <c r="BF27" s="20"/>
      <c r="BG27" s="24"/>
      <c r="BH27" s="22"/>
      <c r="BI27" s="22"/>
      <c r="BJ27" s="22"/>
      <c r="BK27" s="22"/>
      <c r="BL27" s="22"/>
      <c r="BM27" s="22"/>
      <c r="BN27" s="22"/>
    </row>
    <row r="28" spans="6:70" x14ac:dyDescent="0.25">
      <c r="F28" s="21"/>
      <c r="G28" s="8">
        <v>19</v>
      </c>
      <c r="H28" s="10" t="s">
        <v>19</v>
      </c>
      <c r="I28" s="10">
        <v>1019</v>
      </c>
      <c r="J28" s="47">
        <f t="shared" si="8"/>
        <v>4</v>
      </c>
      <c r="K28" s="10" t="s">
        <v>38</v>
      </c>
      <c r="L28" s="10" t="s">
        <v>40</v>
      </c>
      <c r="M28" s="10" t="s">
        <v>38</v>
      </c>
      <c r="N28" s="10" t="s">
        <v>38</v>
      </c>
      <c r="O28" s="10" t="s">
        <v>38</v>
      </c>
      <c r="P28" s="65" t="str">
        <f t="shared" si="9"/>
        <v>WO</v>
      </c>
      <c r="Q28" s="10" t="s">
        <v>38</v>
      </c>
      <c r="R28" s="10" t="s">
        <v>38</v>
      </c>
      <c r="S28" s="10" t="s">
        <v>38</v>
      </c>
      <c r="T28" s="16" t="s">
        <v>38</v>
      </c>
      <c r="U28" s="16" t="s">
        <v>38</v>
      </c>
      <c r="V28" s="16" t="s">
        <v>38</v>
      </c>
      <c r="W28" s="65" t="str">
        <f t="shared" si="10"/>
        <v>WO</v>
      </c>
      <c r="X28" s="10" t="s">
        <v>38</v>
      </c>
      <c r="Y28" s="10" t="s">
        <v>38</v>
      </c>
      <c r="Z28" s="10" t="s">
        <v>38</v>
      </c>
      <c r="AA28" s="10" t="s">
        <v>38</v>
      </c>
      <c r="AB28" s="10" t="s">
        <v>40</v>
      </c>
      <c r="AC28" s="10" t="s">
        <v>38</v>
      </c>
      <c r="AD28" s="65" t="str">
        <f t="shared" si="11"/>
        <v>WO</v>
      </c>
      <c r="AE28" s="10" t="s">
        <v>38</v>
      </c>
      <c r="AF28" s="10" t="s">
        <v>38</v>
      </c>
      <c r="AG28" s="10" t="s">
        <v>38</v>
      </c>
      <c r="AH28" s="10" t="s">
        <v>38</v>
      </c>
      <c r="AI28" s="10" t="s">
        <v>40</v>
      </c>
      <c r="AJ28" s="10" t="s">
        <v>38</v>
      </c>
      <c r="AK28" s="65" t="str">
        <f t="shared" si="12"/>
        <v>WO</v>
      </c>
      <c r="AL28" s="10" t="s">
        <v>38</v>
      </c>
      <c r="AM28" s="10" t="s">
        <v>38</v>
      </c>
      <c r="AN28" s="64" t="s">
        <v>38</v>
      </c>
      <c r="AO28" s="29"/>
      <c r="AP28" s="21"/>
      <c r="AQ28" s="24"/>
      <c r="AR28" s="10">
        <v>19</v>
      </c>
      <c r="AS28" s="10" t="s">
        <v>19</v>
      </c>
      <c r="AT28" s="10" t="str">
        <f t="shared" si="2"/>
        <v>April</v>
      </c>
      <c r="AU28" s="10">
        <v>1019</v>
      </c>
      <c r="AV28" s="9">
        <f t="shared" si="3"/>
        <v>23</v>
      </c>
      <c r="AW28" s="16">
        <f t="shared" si="4"/>
        <v>0</v>
      </c>
      <c r="AX28" s="16">
        <f t="shared" si="5"/>
        <v>3</v>
      </c>
      <c r="AY28" s="16">
        <f t="shared" si="6"/>
        <v>4</v>
      </c>
      <c r="AZ28" s="16">
        <f t="shared" si="7"/>
        <v>30</v>
      </c>
      <c r="BA28" s="16">
        <f>AprReport[[#This Row],[Days]]-AprReport[[#This Row],[Absent]]</f>
        <v>30</v>
      </c>
      <c r="BB28" s="19">
        <v>19000</v>
      </c>
      <c r="BC28" s="20">
        <f>AprReport[[#This Row],[Salary ]]/AprReport[[#This Row],[Days]]</f>
        <v>633.33333333333337</v>
      </c>
      <c r="BD28" s="20">
        <f>AprReport[[#This Row],[Per Day Salary ]]*AprReport[[#This Row],[Absent]]</f>
        <v>0</v>
      </c>
      <c r="BE28" s="20">
        <f>AprReport[[#This Row],[Salary ]]-AprReport[[#This Row],[Deduction]]</f>
        <v>19000</v>
      </c>
      <c r="BF28" s="20"/>
      <c r="BG28" s="24"/>
      <c r="BH28" s="22"/>
      <c r="BI28" s="22"/>
      <c r="BJ28" s="22"/>
      <c r="BK28" s="22"/>
      <c r="BL28" s="22"/>
      <c r="BM28" s="22"/>
      <c r="BN28" s="22"/>
    </row>
    <row r="29" spans="6:70" ht="16.5" thickBot="1" x14ac:dyDescent="0.3">
      <c r="F29" s="21"/>
      <c r="G29" s="11">
        <v>20</v>
      </c>
      <c r="H29" s="12" t="s">
        <v>24</v>
      </c>
      <c r="I29" s="12">
        <v>1020</v>
      </c>
      <c r="J29" s="48">
        <f t="shared" si="8"/>
        <v>4</v>
      </c>
      <c r="K29" s="39" t="s">
        <v>40</v>
      </c>
      <c r="L29" s="39" t="s">
        <v>38</v>
      </c>
      <c r="M29" s="39" t="s">
        <v>38</v>
      </c>
      <c r="N29" s="39" t="s">
        <v>38</v>
      </c>
      <c r="O29" s="39" t="s">
        <v>38</v>
      </c>
      <c r="P29" s="66" t="str">
        <f t="shared" si="9"/>
        <v>WO</v>
      </c>
      <c r="Q29" s="39" t="s">
        <v>38</v>
      </c>
      <c r="R29" s="39" t="s">
        <v>38</v>
      </c>
      <c r="S29" s="39" t="s">
        <v>38</v>
      </c>
      <c r="T29" s="34" t="s">
        <v>38</v>
      </c>
      <c r="U29" s="34" t="s">
        <v>38</v>
      </c>
      <c r="V29" s="34" t="s">
        <v>39</v>
      </c>
      <c r="W29" s="66" t="str">
        <f t="shared" si="10"/>
        <v>WO</v>
      </c>
      <c r="X29" s="39" t="s">
        <v>39</v>
      </c>
      <c r="Y29" s="39" t="s">
        <v>38</v>
      </c>
      <c r="Z29" s="39" t="s">
        <v>38</v>
      </c>
      <c r="AA29" s="39" t="s">
        <v>38</v>
      </c>
      <c r="AB29" s="39" t="s">
        <v>38</v>
      </c>
      <c r="AC29" s="39" t="s">
        <v>38</v>
      </c>
      <c r="AD29" s="66" t="str">
        <f t="shared" si="11"/>
        <v>WO</v>
      </c>
      <c r="AE29" s="39" t="s">
        <v>39</v>
      </c>
      <c r="AF29" s="39" t="s">
        <v>38</v>
      </c>
      <c r="AG29" s="39" t="s">
        <v>38</v>
      </c>
      <c r="AH29" s="39" t="s">
        <v>38</v>
      </c>
      <c r="AI29" s="39" t="s">
        <v>38</v>
      </c>
      <c r="AJ29" s="39" t="s">
        <v>38</v>
      </c>
      <c r="AK29" s="66" t="str">
        <f t="shared" si="12"/>
        <v>WO</v>
      </c>
      <c r="AL29" s="39" t="s">
        <v>38</v>
      </c>
      <c r="AM29" s="39" t="s">
        <v>38</v>
      </c>
      <c r="AN29" s="63" t="s">
        <v>39</v>
      </c>
      <c r="AO29" s="29"/>
      <c r="AP29" s="21"/>
      <c r="AQ29" s="24"/>
      <c r="AR29" s="10">
        <v>20</v>
      </c>
      <c r="AS29" s="10" t="s">
        <v>24</v>
      </c>
      <c r="AT29" s="10" t="str">
        <f t="shared" si="2"/>
        <v>April</v>
      </c>
      <c r="AU29" s="10">
        <v>1020</v>
      </c>
      <c r="AV29" s="9">
        <f t="shared" si="3"/>
        <v>21</v>
      </c>
      <c r="AW29" s="16">
        <f t="shared" si="4"/>
        <v>4</v>
      </c>
      <c r="AX29" s="16">
        <f t="shared" si="5"/>
        <v>1</v>
      </c>
      <c r="AY29" s="16">
        <f t="shared" si="6"/>
        <v>4</v>
      </c>
      <c r="AZ29" s="16">
        <f t="shared" si="7"/>
        <v>30</v>
      </c>
      <c r="BA29" s="16">
        <f>AprReport[[#This Row],[Days]]-AprReport[[#This Row],[Absent]]</f>
        <v>26</v>
      </c>
      <c r="BB29" s="19">
        <v>17000</v>
      </c>
      <c r="BC29" s="20">
        <f>AprReport[[#This Row],[Salary ]]/AprReport[[#This Row],[Days]]</f>
        <v>566.66666666666663</v>
      </c>
      <c r="BD29" s="20">
        <f>AprReport[[#This Row],[Per Day Salary ]]*AprReport[[#This Row],[Absent]]</f>
        <v>2266.6666666666665</v>
      </c>
      <c r="BE29" s="20">
        <f>AprReport[[#This Row],[Salary ]]-AprReport[[#This Row],[Deduction]]</f>
        <v>14733.333333333334</v>
      </c>
      <c r="BF29" s="20"/>
      <c r="BG29" s="24"/>
      <c r="BH29" s="22"/>
      <c r="BI29" s="22"/>
      <c r="BJ29" s="22"/>
      <c r="BK29" s="22"/>
      <c r="BL29" s="22"/>
      <c r="BM29" s="22"/>
      <c r="BN29" s="22"/>
    </row>
    <row r="30" spans="6:70" x14ac:dyDescent="0.25"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2"/>
      <c r="BI30" s="22"/>
      <c r="BJ30" s="22"/>
      <c r="BK30" s="22"/>
      <c r="BL30" s="22"/>
      <c r="BM30" s="22"/>
      <c r="BN30" s="22"/>
    </row>
    <row r="31" spans="6:70" s="22" customFormat="1" x14ac:dyDescent="0.25"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O31" s="30"/>
      <c r="BP31" s="30"/>
      <c r="BQ31" s="30"/>
      <c r="BR31" s="30"/>
    </row>
    <row r="32" spans="6:70" s="22" customFormat="1" x14ac:dyDescent="0.25">
      <c r="BO32" s="30"/>
      <c r="BP32" s="30"/>
      <c r="BQ32" s="30"/>
      <c r="BR32" s="30"/>
    </row>
    <row r="33" spans="6:66" x14ac:dyDescent="0.25"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H33" s="22"/>
      <c r="BI33" s="22"/>
      <c r="BJ33" s="22"/>
      <c r="BK33" s="22"/>
      <c r="BL33" s="22"/>
      <c r="BM33" s="22"/>
      <c r="BN33" s="22"/>
    </row>
    <row r="34" spans="6:66" x14ac:dyDescent="0.25"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H34" s="22"/>
      <c r="BI34" s="22"/>
      <c r="BJ34" s="22"/>
      <c r="BK34" s="22"/>
      <c r="BL34" s="22"/>
      <c r="BM34" s="22"/>
      <c r="BN34" s="22"/>
    </row>
    <row r="35" spans="6:66" x14ac:dyDescent="0.25"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H35" s="22"/>
      <c r="BI35" s="22"/>
      <c r="BJ35" s="22"/>
      <c r="BK35" s="22"/>
      <c r="BL35" s="22"/>
      <c r="BM35" s="22"/>
      <c r="BN35" s="22"/>
    </row>
    <row r="36" spans="6:66" x14ac:dyDescent="0.25"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H36" s="22"/>
      <c r="BI36" s="22"/>
      <c r="BJ36" s="22"/>
      <c r="BK36" s="22"/>
      <c r="BL36" s="22"/>
      <c r="BM36" s="22"/>
      <c r="BN36" s="22"/>
    </row>
    <row r="37" spans="6:66" x14ac:dyDescent="0.25"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H37" s="22"/>
      <c r="BI37" s="22"/>
      <c r="BJ37" s="22"/>
      <c r="BK37" s="22"/>
      <c r="BL37" s="22"/>
      <c r="BM37" s="22"/>
      <c r="BN37" s="22"/>
    </row>
    <row r="38" spans="6:66" x14ac:dyDescent="0.25"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H38" s="22"/>
      <c r="BI38" s="22"/>
      <c r="BJ38" s="22"/>
      <c r="BK38" s="22"/>
      <c r="BL38" s="22"/>
      <c r="BM38" s="22"/>
      <c r="BN38" s="22"/>
    </row>
    <row r="39" spans="6:66" x14ac:dyDescent="0.25"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H39" s="22"/>
      <c r="BI39" s="22"/>
      <c r="BJ39" s="22"/>
      <c r="BK39" s="22"/>
      <c r="BL39" s="22"/>
      <c r="BM39" s="22"/>
      <c r="BN39" s="22"/>
    </row>
    <row r="40" spans="6:66" x14ac:dyDescent="0.25"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H40" s="22"/>
      <c r="BI40" s="22"/>
      <c r="BJ40" s="22"/>
      <c r="BK40" s="22"/>
      <c r="BL40" s="22"/>
      <c r="BM40" s="22"/>
      <c r="BN40" s="22"/>
    </row>
    <row r="41" spans="6:66" x14ac:dyDescent="0.25"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H41" s="22"/>
      <c r="BI41" s="22"/>
      <c r="BJ41" s="22"/>
      <c r="BK41" s="22"/>
      <c r="BL41" s="22"/>
      <c r="BM41" s="22"/>
      <c r="BN41" s="22"/>
    </row>
    <row r="42" spans="6:66" x14ac:dyDescent="0.25"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H42" s="22"/>
      <c r="BI42" s="22"/>
      <c r="BJ42" s="22"/>
      <c r="BK42" s="22"/>
      <c r="BL42" s="22"/>
      <c r="BM42" s="22"/>
      <c r="BN42" s="22"/>
    </row>
    <row r="43" spans="6:66" x14ac:dyDescent="0.25"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H43" s="22"/>
      <c r="BI43" s="22"/>
      <c r="BJ43" s="22"/>
      <c r="BK43" s="22"/>
      <c r="BL43" s="22"/>
      <c r="BM43" s="22"/>
      <c r="BN43" s="22"/>
    </row>
    <row r="44" spans="6:66" x14ac:dyDescent="0.25"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H44" s="22"/>
      <c r="BI44" s="22"/>
      <c r="BJ44" s="22"/>
      <c r="BK44" s="22"/>
      <c r="BL44" s="22"/>
      <c r="BM44" s="22"/>
      <c r="BN44" s="22"/>
    </row>
    <row r="45" spans="6:66" x14ac:dyDescent="0.25"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H45" s="22"/>
      <c r="BI45" s="22"/>
      <c r="BJ45" s="22"/>
      <c r="BK45" s="22"/>
      <c r="BL45" s="22"/>
      <c r="BM45" s="22"/>
      <c r="BN45" s="22"/>
    </row>
    <row r="46" spans="6:66" x14ac:dyDescent="0.25"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H46" s="22"/>
      <c r="BI46" s="22"/>
      <c r="BJ46" s="22"/>
      <c r="BK46" s="22"/>
      <c r="BL46" s="22"/>
      <c r="BM46" s="22"/>
      <c r="BN46" s="22"/>
    </row>
    <row r="47" spans="6:66" x14ac:dyDescent="0.25"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H47" s="22"/>
      <c r="BI47" s="22"/>
      <c r="BJ47" s="22"/>
      <c r="BK47" s="22"/>
      <c r="BL47" s="22"/>
      <c r="BM47" s="22"/>
      <c r="BN47" s="22"/>
    </row>
    <row r="48" spans="6:66" x14ac:dyDescent="0.25"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H48" s="22"/>
      <c r="BI48" s="22"/>
      <c r="BJ48" s="22"/>
      <c r="BK48" s="22"/>
      <c r="BL48" s="22"/>
      <c r="BM48" s="22"/>
      <c r="BN48" s="22"/>
    </row>
    <row r="49" spans="6:66" x14ac:dyDescent="0.25"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H49" s="22"/>
      <c r="BI49" s="22"/>
      <c r="BJ49" s="22"/>
      <c r="BK49" s="22"/>
      <c r="BL49" s="22"/>
      <c r="BM49" s="22"/>
      <c r="BN49" s="22"/>
    </row>
    <row r="50" spans="6:66" x14ac:dyDescent="0.25"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H50" s="22"/>
      <c r="BI50" s="22"/>
      <c r="BJ50" s="22"/>
      <c r="BK50" s="22"/>
      <c r="BL50" s="22"/>
      <c r="BM50" s="22"/>
      <c r="BN50" s="22"/>
    </row>
    <row r="51" spans="6:66" x14ac:dyDescent="0.25"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H51" s="22"/>
      <c r="BI51" s="22"/>
      <c r="BJ51" s="22"/>
      <c r="BK51" s="22"/>
      <c r="BL51" s="22"/>
      <c r="BM51" s="22"/>
      <c r="BN51" s="22"/>
    </row>
    <row r="52" spans="6:66" x14ac:dyDescent="0.25"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H52" s="22"/>
      <c r="BI52" s="22"/>
      <c r="BJ52" s="22"/>
      <c r="BK52" s="22"/>
      <c r="BL52" s="22"/>
      <c r="BM52" s="22"/>
      <c r="BN52" s="22"/>
    </row>
    <row r="53" spans="6:66" x14ac:dyDescent="0.25"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H53" s="22"/>
      <c r="BI53" s="22"/>
      <c r="BJ53" s="22"/>
      <c r="BK53" s="22"/>
      <c r="BL53" s="22"/>
      <c r="BM53" s="22"/>
      <c r="BN53" s="22"/>
    </row>
    <row r="54" spans="6:66" x14ac:dyDescent="0.25"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H54" s="22"/>
      <c r="BI54" s="22"/>
      <c r="BJ54" s="22"/>
      <c r="BK54" s="22"/>
      <c r="BL54" s="22"/>
      <c r="BM54" s="22"/>
      <c r="BN54" s="22"/>
    </row>
    <row r="55" spans="6:66" x14ac:dyDescent="0.25"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H55" s="22"/>
      <c r="BI55" s="22"/>
      <c r="BJ55" s="22"/>
      <c r="BK55" s="22"/>
      <c r="BL55" s="22"/>
      <c r="BM55" s="22"/>
      <c r="BN55" s="22"/>
    </row>
    <row r="56" spans="6:66" x14ac:dyDescent="0.25"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H56" s="22"/>
      <c r="BI56" s="22"/>
      <c r="BJ56" s="22"/>
      <c r="BK56" s="22"/>
      <c r="BL56" s="22"/>
      <c r="BM56" s="22"/>
      <c r="BN56" s="22"/>
    </row>
    <row r="57" spans="6:66" x14ac:dyDescent="0.25"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H57" s="22"/>
      <c r="BI57" s="22"/>
      <c r="BJ57" s="22"/>
      <c r="BK57" s="22"/>
      <c r="BL57" s="22"/>
      <c r="BM57" s="22"/>
      <c r="BN57" s="22"/>
    </row>
    <row r="58" spans="6:66" x14ac:dyDescent="0.25"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H58" s="22"/>
      <c r="BI58" s="22"/>
      <c r="BJ58" s="22"/>
      <c r="BK58" s="22"/>
      <c r="BL58" s="22"/>
      <c r="BM58" s="22"/>
      <c r="BN58" s="22"/>
    </row>
    <row r="59" spans="6:66" x14ac:dyDescent="0.25"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H59" s="22"/>
      <c r="BI59" s="22"/>
      <c r="BJ59" s="22"/>
      <c r="BK59" s="22"/>
      <c r="BL59" s="22"/>
      <c r="BM59" s="22"/>
      <c r="BN59" s="22"/>
    </row>
    <row r="60" spans="6:66" x14ac:dyDescent="0.25"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H60" s="22"/>
      <c r="BI60" s="22"/>
      <c r="BJ60" s="22"/>
      <c r="BK60" s="22"/>
      <c r="BL60" s="22"/>
      <c r="BM60" s="22"/>
      <c r="BN60" s="22"/>
    </row>
    <row r="61" spans="6:66" x14ac:dyDescent="0.25"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H61" s="22"/>
      <c r="BI61" s="22"/>
      <c r="BJ61" s="22"/>
      <c r="BK61" s="22"/>
      <c r="BL61" s="22"/>
      <c r="BM61" s="22"/>
      <c r="BN61" s="22"/>
    </row>
    <row r="62" spans="6:66" x14ac:dyDescent="0.25"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H62" s="22"/>
      <c r="BI62" s="22"/>
      <c r="BJ62" s="22"/>
      <c r="BK62" s="22"/>
      <c r="BL62" s="22"/>
      <c r="BM62" s="22"/>
      <c r="BN62" s="22"/>
    </row>
    <row r="63" spans="6:66" x14ac:dyDescent="0.25"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H63" s="22"/>
      <c r="BI63" s="22"/>
      <c r="BJ63" s="22"/>
      <c r="BK63" s="22"/>
      <c r="BL63" s="22"/>
      <c r="BM63" s="22"/>
      <c r="BN63" s="22"/>
    </row>
    <row r="64" spans="6:66" x14ac:dyDescent="0.25"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H64" s="22"/>
      <c r="BI64" s="22"/>
      <c r="BJ64" s="22"/>
      <c r="BK64" s="22"/>
      <c r="BL64" s="22"/>
      <c r="BM64" s="22"/>
      <c r="BN64" s="22"/>
    </row>
    <row r="65" spans="6:66" x14ac:dyDescent="0.25"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H65" s="22"/>
      <c r="BI65" s="22"/>
      <c r="BJ65" s="22"/>
      <c r="BK65" s="22"/>
      <c r="BL65" s="22"/>
      <c r="BM65" s="22"/>
      <c r="BN65" s="22"/>
    </row>
    <row r="66" spans="6:66" x14ac:dyDescent="0.25"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H66" s="22"/>
      <c r="BI66" s="22"/>
      <c r="BJ66" s="22"/>
      <c r="BK66" s="22"/>
      <c r="BL66" s="22"/>
      <c r="BM66" s="22"/>
      <c r="BN66" s="22"/>
    </row>
    <row r="67" spans="6:66" x14ac:dyDescent="0.25"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H67" s="22"/>
      <c r="BI67" s="22"/>
      <c r="BJ67" s="22"/>
      <c r="BK67" s="22"/>
      <c r="BL67" s="22"/>
      <c r="BM67" s="22"/>
      <c r="BN67" s="22"/>
    </row>
    <row r="68" spans="6:66" x14ac:dyDescent="0.25"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H68" s="22"/>
      <c r="BI68" s="22"/>
      <c r="BJ68" s="22"/>
      <c r="BK68" s="22"/>
      <c r="BL68" s="22"/>
      <c r="BM68" s="22"/>
      <c r="BN68" s="22"/>
    </row>
    <row r="69" spans="6:66" x14ac:dyDescent="0.25"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H69" s="22"/>
      <c r="BI69" s="22"/>
      <c r="BJ69" s="22"/>
      <c r="BK69" s="22"/>
      <c r="BL69" s="22"/>
      <c r="BM69" s="22"/>
      <c r="BN69" s="22"/>
    </row>
    <row r="70" spans="6:66" x14ac:dyDescent="0.25"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H70" s="22"/>
      <c r="BI70" s="22"/>
      <c r="BJ70" s="22"/>
      <c r="BK70" s="22"/>
      <c r="BL70" s="22"/>
      <c r="BM70" s="22"/>
      <c r="BN70" s="22"/>
    </row>
    <row r="71" spans="6:66" x14ac:dyDescent="0.25"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H71" s="22"/>
      <c r="BI71" s="22"/>
      <c r="BJ71" s="22"/>
      <c r="BK71" s="22"/>
      <c r="BL71" s="22"/>
      <c r="BM71" s="22"/>
      <c r="BN71" s="22"/>
    </row>
    <row r="72" spans="6:66" x14ac:dyDescent="0.25"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H72" s="22"/>
      <c r="BI72" s="22"/>
      <c r="BJ72" s="22"/>
      <c r="BK72" s="22"/>
      <c r="BL72" s="22"/>
      <c r="BM72" s="22"/>
      <c r="BN72" s="22"/>
    </row>
    <row r="73" spans="6:66" x14ac:dyDescent="0.25"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H73" s="22"/>
      <c r="BI73" s="22"/>
      <c r="BJ73" s="22"/>
      <c r="BK73" s="22"/>
      <c r="BL73" s="22"/>
      <c r="BM73" s="22"/>
      <c r="BN73" s="22"/>
    </row>
    <row r="74" spans="6:66" x14ac:dyDescent="0.25"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H74" s="22"/>
      <c r="BI74" s="22"/>
      <c r="BJ74" s="22"/>
      <c r="BK74" s="22"/>
      <c r="BL74" s="22"/>
      <c r="BM74" s="22"/>
      <c r="BN74" s="22"/>
    </row>
    <row r="75" spans="6:66" x14ac:dyDescent="0.25"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H75" s="22"/>
      <c r="BI75" s="22"/>
      <c r="BJ75" s="22"/>
      <c r="BK75" s="22"/>
      <c r="BL75" s="22"/>
      <c r="BM75" s="22"/>
      <c r="BN75" s="22"/>
    </row>
    <row r="76" spans="6:66" x14ac:dyDescent="0.25"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H76" s="22"/>
      <c r="BI76" s="22"/>
      <c r="BJ76" s="22"/>
      <c r="BK76" s="22"/>
      <c r="BL76" s="22"/>
      <c r="BM76" s="22"/>
      <c r="BN76" s="22"/>
    </row>
    <row r="77" spans="6:66" x14ac:dyDescent="0.25"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H77" s="22"/>
      <c r="BI77" s="22"/>
      <c r="BJ77" s="22"/>
      <c r="BK77" s="22"/>
      <c r="BL77" s="22"/>
      <c r="BM77" s="22"/>
      <c r="BN77" s="22"/>
    </row>
    <row r="78" spans="6:66" x14ac:dyDescent="0.25"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H78" s="22"/>
      <c r="BI78" s="22"/>
      <c r="BJ78" s="22"/>
      <c r="BK78" s="22"/>
      <c r="BL78" s="22"/>
      <c r="BM78" s="22"/>
      <c r="BN78" s="22"/>
    </row>
    <row r="79" spans="6:66" x14ac:dyDescent="0.25"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H79" s="22"/>
      <c r="BI79" s="22"/>
      <c r="BJ79" s="22"/>
      <c r="BK79" s="22"/>
      <c r="BL79" s="22"/>
      <c r="BM79" s="22"/>
      <c r="BN79" s="22"/>
    </row>
    <row r="80" spans="6:66" x14ac:dyDescent="0.25"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H80" s="22"/>
      <c r="BI80" s="22"/>
      <c r="BJ80" s="22"/>
      <c r="BK80" s="22"/>
      <c r="BL80" s="22"/>
      <c r="BM80" s="22"/>
      <c r="BN80" s="22"/>
    </row>
    <row r="81" spans="6:66" x14ac:dyDescent="0.25"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H81" s="22"/>
      <c r="BI81" s="22"/>
      <c r="BJ81" s="22"/>
      <c r="BK81" s="22"/>
      <c r="BL81" s="22"/>
      <c r="BM81" s="22"/>
      <c r="BN81" s="22"/>
    </row>
    <row r="82" spans="6:66" x14ac:dyDescent="0.25"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H82" s="22"/>
      <c r="BI82" s="22"/>
      <c r="BJ82" s="22"/>
      <c r="BK82" s="22"/>
      <c r="BL82" s="22"/>
      <c r="BM82" s="22"/>
      <c r="BN82" s="22"/>
    </row>
    <row r="83" spans="6:66" x14ac:dyDescent="0.25"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H83" s="22"/>
      <c r="BI83" s="22"/>
      <c r="BJ83" s="22"/>
      <c r="BK83" s="22"/>
      <c r="BL83" s="22"/>
      <c r="BM83" s="22"/>
      <c r="BN83" s="22"/>
    </row>
    <row r="84" spans="6:66" x14ac:dyDescent="0.25"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H84" s="22"/>
      <c r="BI84" s="22"/>
      <c r="BJ84" s="22"/>
      <c r="BK84" s="22"/>
      <c r="BL84" s="22"/>
      <c r="BM84" s="22"/>
      <c r="BN84" s="22"/>
    </row>
    <row r="85" spans="6:66" x14ac:dyDescent="0.25"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H85" s="22"/>
      <c r="BI85" s="22"/>
      <c r="BJ85" s="22"/>
      <c r="BK85" s="22"/>
      <c r="BL85" s="22"/>
      <c r="BM85" s="22"/>
      <c r="BN85" s="22"/>
    </row>
    <row r="86" spans="6:66" x14ac:dyDescent="0.25"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H86" s="22"/>
      <c r="BI86" s="22"/>
      <c r="BJ86" s="22"/>
      <c r="BK86" s="22"/>
      <c r="BL86" s="22"/>
      <c r="BM86" s="22"/>
      <c r="BN86" s="22"/>
    </row>
    <row r="87" spans="6:66" x14ac:dyDescent="0.25"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H87" s="22"/>
      <c r="BI87" s="22"/>
      <c r="BJ87" s="22"/>
      <c r="BK87" s="22"/>
      <c r="BL87" s="22"/>
      <c r="BM87" s="22"/>
      <c r="BN87" s="22"/>
    </row>
    <row r="88" spans="6:66" x14ac:dyDescent="0.25"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H88" s="22"/>
      <c r="BI88" s="22"/>
      <c r="BJ88" s="22"/>
      <c r="BK88" s="22"/>
      <c r="BL88" s="22"/>
      <c r="BM88" s="22"/>
      <c r="BN88" s="22"/>
    </row>
    <row r="89" spans="6:66" x14ac:dyDescent="0.25"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H89" s="22"/>
      <c r="BI89" s="22"/>
      <c r="BJ89" s="22"/>
      <c r="BK89" s="22"/>
      <c r="BL89" s="22"/>
      <c r="BM89" s="22"/>
      <c r="BN89" s="22"/>
    </row>
    <row r="90" spans="6:66" x14ac:dyDescent="0.25"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H90" s="22"/>
      <c r="BI90" s="22"/>
      <c r="BJ90" s="22"/>
      <c r="BK90" s="22"/>
      <c r="BL90" s="22"/>
      <c r="BM90" s="22"/>
      <c r="BN90" s="22"/>
    </row>
    <row r="91" spans="6:66" x14ac:dyDescent="0.25"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H91" s="22"/>
      <c r="BI91" s="22"/>
      <c r="BJ91" s="22"/>
      <c r="BK91" s="22"/>
      <c r="BL91" s="22"/>
      <c r="BM91" s="22"/>
      <c r="BN91" s="22"/>
    </row>
    <row r="92" spans="6:66" x14ac:dyDescent="0.25"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H92" s="22"/>
      <c r="BI92" s="22"/>
      <c r="BJ92" s="22"/>
      <c r="BK92" s="22"/>
      <c r="BL92" s="22"/>
      <c r="BM92" s="22"/>
      <c r="BN92" s="22"/>
    </row>
    <row r="93" spans="6:66" x14ac:dyDescent="0.25"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H93" s="22"/>
      <c r="BI93" s="22"/>
      <c r="BJ93" s="22"/>
      <c r="BK93" s="22"/>
      <c r="BL93" s="22"/>
      <c r="BM93" s="22"/>
      <c r="BN93" s="22"/>
    </row>
    <row r="94" spans="6:66" x14ac:dyDescent="0.25"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H94" s="22"/>
      <c r="BI94" s="22"/>
      <c r="BJ94" s="22"/>
      <c r="BK94" s="22"/>
      <c r="BL94" s="22"/>
      <c r="BM94" s="22"/>
      <c r="BN94" s="22"/>
    </row>
    <row r="95" spans="6:66" x14ac:dyDescent="0.25"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H95" s="22"/>
      <c r="BI95" s="22"/>
      <c r="BJ95" s="22"/>
      <c r="BK95" s="22"/>
      <c r="BL95" s="22"/>
      <c r="BM95" s="22"/>
      <c r="BN95" s="22"/>
    </row>
    <row r="96" spans="6:66" x14ac:dyDescent="0.25"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H96" s="22"/>
      <c r="BI96" s="22"/>
      <c r="BJ96" s="22"/>
      <c r="BK96" s="22"/>
      <c r="BL96" s="22"/>
      <c r="BM96" s="22"/>
      <c r="BN96" s="22"/>
    </row>
    <row r="97" spans="6:66" x14ac:dyDescent="0.25"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H97" s="22"/>
      <c r="BI97" s="22"/>
      <c r="BJ97" s="22"/>
      <c r="BK97" s="22"/>
      <c r="BL97" s="22"/>
      <c r="BM97" s="22"/>
      <c r="BN97" s="22"/>
    </row>
    <row r="98" spans="6:66" x14ac:dyDescent="0.25"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H98" s="22"/>
      <c r="BI98" s="22"/>
      <c r="BJ98" s="22"/>
      <c r="BK98" s="22"/>
      <c r="BL98" s="22"/>
      <c r="BM98" s="22"/>
      <c r="BN98" s="22"/>
    </row>
    <row r="99" spans="6:66" x14ac:dyDescent="0.25"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H99" s="22"/>
      <c r="BI99" s="22"/>
      <c r="BJ99" s="22"/>
      <c r="BK99" s="22"/>
      <c r="BL99" s="22"/>
      <c r="BM99" s="22"/>
      <c r="BN99" s="22"/>
    </row>
    <row r="100" spans="6:66" x14ac:dyDescent="0.25"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H100" s="22"/>
      <c r="BI100" s="22"/>
      <c r="BJ100" s="22"/>
      <c r="BK100" s="22"/>
      <c r="BL100" s="22"/>
      <c r="BM100" s="22"/>
      <c r="BN100" s="22"/>
    </row>
    <row r="101" spans="6:66" x14ac:dyDescent="0.25"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H101" s="22"/>
      <c r="BI101" s="22"/>
      <c r="BJ101" s="22"/>
      <c r="BK101" s="22"/>
      <c r="BL101" s="22"/>
      <c r="BM101" s="22"/>
      <c r="BN101" s="22"/>
    </row>
    <row r="102" spans="6:66" x14ac:dyDescent="0.25"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H102" s="22"/>
      <c r="BI102" s="22"/>
      <c r="BJ102" s="22"/>
      <c r="BK102" s="22"/>
      <c r="BL102" s="22"/>
      <c r="BM102" s="22"/>
      <c r="BN102" s="22"/>
    </row>
    <row r="103" spans="6:66" x14ac:dyDescent="0.25"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H103" s="22"/>
      <c r="BI103" s="22"/>
      <c r="BJ103" s="22"/>
      <c r="BK103" s="22"/>
      <c r="BL103" s="22"/>
      <c r="BM103" s="22"/>
      <c r="BN103" s="22"/>
    </row>
    <row r="104" spans="6:66" x14ac:dyDescent="0.25"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H104" s="22"/>
      <c r="BI104" s="22"/>
      <c r="BJ104" s="22"/>
      <c r="BK104" s="22"/>
      <c r="BL104" s="22"/>
      <c r="BM104" s="22"/>
      <c r="BN104" s="22"/>
    </row>
    <row r="105" spans="6:66" x14ac:dyDescent="0.25"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H105" s="22"/>
      <c r="BI105" s="22"/>
      <c r="BJ105" s="22"/>
      <c r="BK105" s="22"/>
      <c r="BL105" s="22"/>
      <c r="BM105" s="22"/>
      <c r="BN105" s="22"/>
    </row>
    <row r="106" spans="6:66" x14ac:dyDescent="0.25"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H106" s="22"/>
      <c r="BI106" s="22"/>
      <c r="BJ106" s="22"/>
      <c r="BK106" s="22"/>
      <c r="BL106" s="22"/>
      <c r="BM106" s="22"/>
      <c r="BN106" s="22"/>
    </row>
    <row r="107" spans="6:66" x14ac:dyDescent="0.25"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H107" s="22"/>
      <c r="BI107" s="22"/>
      <c r="BJ107" s="22"/>
      <c r="BK107" s="22"/>
      <c r="BL107" s="22"/>
      <c r="BM107" s="22"/>
      <c r="BN107" s="22"/>
    </row>
    <row r="108" spans="6:66" x14ac:dyDescent="0.25"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H108" s="22"/>
      <c r="BI108" s="22"/>
      <c r="BJ108" s="22"/>
      <c r="BK108" s="22"/>
      <c r="BL108" s="22"/>
      <c r="BM108" s="22"/>
      <c r="BN108" s="22"/>
    </row>
    <row r="109" spans="6:66" x14ac:dyDescent="0.25"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H109" s="22"/>
      <c r="BI109" s="22"/>
      <c r="BJ109" s="22"/>
      <c r="BK109" s="22"/>
      <c r="BL109" s="22"/>
      <c r="BM109" s="22"/>
      <c r="BN109" s="22"/>
    </row>
    <row r="110" spans="6:66" x14ac:dyDescent="0.25"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H110" s="22"/>
      <c r="BI110" s="22"/>
      <c r="BJ110" s="22"/>
      <c r="BK110" s="22"/>
      <c r="BL110" s="22"/>
      <c r="BM110" s="22"/>
      <c r="BN110" s="22"/>
    </row>
    <row r="111" spans="6:66" x14ac:dyDescent="0.25"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H111" s="22"/>
      <c r="BI111" s="22"/>
      <c r="BJ111" s="22"/>
      <c r="BK111" s="22"/>
      <c r="BL111" s="22"/>
      <c r="BM111" s="22"/>
      <c r="BN111" s="22"/>
    </row>
    <row r="112" spans="6:66" x14ac:dyDescent="0.25"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H112" s="22"/>
      <c r="BI112" s="22"/>
      <c r="BJ112" s="22"/>
      <c r="BK112" s="22"/>
      <c r="BL112" s="22"/>
      <c r="BM112" s="22"/>
      <c r="BN112" s="22"/>
    </row>
    <row r="113" spans="6:66" x14ac:dyDescent="0.25"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H113" s="22"/>
      <c r="BI113" s="22"/>
      <c r="BJ113" s="22"/>
      <c r="BK113" s="22"/>
      <c r="BL113" s="22"/>
      <c r="BM113" s="22"/>
      <c r="BN113" s="22"/>
    </row>
    <row r="114" spans="6:66" x14ac:dyDescent="0.25"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H114" s="22"/>
      <c r="BI114" s="22"/>
      <c r="BJ114" s="22"/>
      <c r="BK114" s="22"/>
      <c r="BL114" s="22"/>
      <c r="BM114" s="22"/>
      <c r="BN114" s="22"/>
    </row>
    <row r="115" spans="6:66" x14ac:dyDescent="0.25"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H115" s="22"/>
      <c r="BI115" s="22"/>
      <c r="BJ115" s="22"/>
      <c r="BK115" s="22"/>
      <c r="BL115" s="22"/>
      <c r="BM115" s="22"/>
      <c r="BN115" s="22"/>
    </row>
    <row r="116" spans="6:66" x14ac:dyDescent="0.25"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H116" s="22"/>
      <c r="BI116" s="22"/>
      <c r="BJ116" s="22"/>
      <c r="BK116" s="22"/>
      <c r="BL116" s="22"/>
      <c r="BM116" s="22"/>
      <c r="BN116" s="22"/>
    </row>
    <row r="117" spans="6:66" x14ac:dyDescent="0.25"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H117" s="22"/>
      <c r="BI117" s="22"/>
      <c r="BJ117" s="22"/>
      <c r="BK117" s="22"/>
      <c r="BL117" s="22"/>
      <c r="BM117" s="22"/>
      <c r="BN117" s="22"/>
    </row>
    <row r="118" spans="6:66" x14ac:dyDescent="0.25"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H118" s="22"/>
      <c r="BI118" s="22"/>
      <c r="BJ118" s="22"/>
      <c r="BK118" s="22"/>
      <c r="BL118" s="22"/>
      <c r="BM118" s="22"/>
      <c r="BN118" s="22"/>
    </row>
    <row r="119" spans="6:66" x14ac:dyDescent="0.25"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H119" s="22"/>
      <c r="BI119" s="22"/>
      <c r="BJ119" s="22"/>
      <c r="BK119" s="22"/>
      <c r="BL119" s="22"/>
      <c r="BM119" s="22"/>
      <c r="BN119" s="22"/>
    </row>
    <row r="120" spans="6:66" x14ac:dyDescent="0.25"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H120" s="22"/>
      <c r="BI120" s="22"/>
      <c r="BJ120" s="22"/>
      <c r="BK120" s="22"/>
      <c r="BL120" s="22"/>
      <c r="BM120" s="22"/>
      <c r="BN120" s="22"/>
    </row>
    <row r="121" spans="6:66" x14ac:dyDescent="0.25"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H121" s="22"/>
      <c r="BI121" s="22"/>
      <c r="BJ121" s="22"/>
      <c r="BK121" s="22"/>
      <c r="BL121" s="22"/>
      <c r="BM121" s="22"/>
      <c r="BN121" s="22"/>
    </row>
    <row r="122" spans="6:66" x14ac:dyDescent="0.25"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H122" s="22"/>
      <c r="BI122" s="22"/>
      <c r="BJ122" s="22"/>
      <c r="BK122" s="22"/>
      <c r="BL122" s="22"/>
      <c r="BM122" s="22"/>
      <c r="BN122" s="22"/>
    </row>
    <row r="123" spans="6:66" x14ac:dyDescent="0.25"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H123" s="22"/>
      <c r="BI123" s="22"/>
      <c r="BJ123" s="22"/>
      <c r="BK123" s="22"/>
      <c r="BL123" s="22"/>
      <c r="BM123" s="22"/>
      <c r="BN123" s="22"/>
    </row>
    <row r="124" spans="6:66" x14ac:dyDescent="0.25"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H124" s="22"/>
      <c r="BI124" s="22"/>
      <c r="BJ124" s="22"/>
      <c r="BK124" s="22"/>
      <c r="BL124" s="22"/>
      <c r="BM124" s="22"/>
      <c r="BN124" s="22"/>
    </row>
    <row r="125" spans="6:66" x14ac:dyDescent="0.25"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H125" s="22"/>
      <c r="BI125" s="22"/>
      <c r="BJ125" s="22"/>
      <c r="BK125" s="22"/>
      <c r="BL125" s="22"/>
      <c r="BM125" s="22"/>
      <c r="BN125" s="22"/>
    </row>
    <row r="126" spans="6:66" x14ac:dyDescent="0.25"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H126" s="22"/>
      <c r="BI126" s="22"/>
      <c r="BJ126" s="22"/>
      <c r="BK126" s="22"/>
      <c r="BL126" s="22"/>
      <c r="BM126" s="22"/>
      <c r="BN126" s="22"/>
    </row>
    <row r="127" spans="6:66" x14ac:dyDescent="0.25"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H127" s="22"/>
      <c r="BI127" s="22"/>
      <c r="BJ127" s="22"/>
      <c r="BK127" s="22"/>
      <c r="BL127" s="22"/>
      <c r="BM127" s="22"/>
      <c r="BN127" s="22"/>
    </row>
    <row r="128" spans="6:66" x14ac:dyDescent="0.25"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H128" s="22"/>
      <c r="BI128" s="22"/>
      <c r="BJ128" s="22"/>
      <c r="BK128" s="22"/>
      <c r="BL128" s="22"/>
      <c r="BM128" s="22"/>
      <c r="BN128" s="22"/>
    </row>
    <row r="129" spans="6:66" x14ac:dyDescent="0.25"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H129" s="22"/>
      <c r="BI129" s="22"/>
      <c r="BJ129" s="22"/>
      <c r="BK129" s="22"/>
      <c r="BL129" s="22"/>
      <c r="BM129" s="22"/>
      <c r="BN129" s="22"/>
    </row>
    <row r="130" spans="6:66" x14ac:dyDescent="0.25"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H130" s="22"/>
      <c r="BI130" s="22"/>
      <c r="BJ130" s="22"/>
      <c r="BK130" s="22"/>
      <c r="BL130" s="22"/>
      <c r="BM130" s="22"/>
      <c r="BN130" s="22"/>
    </row>
    <row r="131" spans="6:66" x14ac:dyDescent="0.25"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H131" s="22"/>
      <c r="BI131" s="22"/>
      <c r="BJ131" s="22"/>
      <c r="BK131" s="22"/>
      <c r="BL131" s="22"/>
      <c r="BM131" s="22"/>
      <c r="BN131" s="22"/>
    </row>
    <row r="132" spans="6:66" x14ac:dyDescent="0.25"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H132" s="22"/>
      <c r="BI132" s="22"/>
      <c r="BJ132" s="22"/>
      <c r="BK132" s="22"/>
      <c r="BL132" s="22"/>
      <c r="BM132" s="22"/>
      <c r="BN132" s="22"/>
    </row>
    <row r="133" spans="6:66" x14ac:dyDescent="0.25"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H133" s="22"/>
      <c r="BI133" s="22"/>
      <c r="BJ133" s="22"/>
      <c r="BK133" s="22"/>
      <c r="BL133" s="22"/>
      <c r="BM133" s="22"/>
      <c r="BN133" s="22"/>
    </row>
    <row r="134" spans="6:66" x14ac:dyDescent="0.25"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H134" s="22"/>
      <c r="BI134" s="22"/>
      <c r="BJ134" s="22"/>
      <c r="BK134" s="22"/>
      <c r="BL134" s="22"/>
      <c r="BM134" s="22"/>
      <c r="BN134" s="22"/>
    </row>
    <row r="135" spans="6:66" x14ac:dyDescent="0.25"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H135" s="22"/>
      <c r="BI135" s="22"/>
      <c r="BJ135" s="22"/>
      <c r="BK135" s="22"/>
      <c r="BL135" s="22"/>
      <c r="BM135" s="22"/>
      <c r="BN135" s="22"/>
    </row>
    <row r="136" spans="6:66" x14ac:dyDescent="0.25"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H136" s="22"/>
      <c r="BI136" s="22"/>
      <c r="BJ136" s="22"/>
      <c r="BK136" s="22"/>
      <c r="BL136" s="22"/>
      <c r="BM136" s="22"/>
      <c r="BN136" s="22"/>
    </row>
    <row r="137" spans="6:66" x14ac:dyDescent="0.25"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H137" s="22"/>
      <c r="BI137" s="22"/>
      <c r="BJ137" s="22"/>
      <c r="BK137" s="22"/>
      <c r="BL137" s="22"/>
      <c r="BM137" s="22"/>
      <c r="BN137" s="22"/>
    </row>
    <row r="138" spans="6:66" x14ac:dyDescent="0.25"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H138" s="22"/>
      <c r="BI138" s="22"/>
      <c r="BJ138" s="22"/>
      <c r="BK138" s="22"/>
      <c r="BL138" s="22"/>
      <c r="BM138" s="22"/>
      <c r="BN138" s="22"/>
    </row>
    <row r="139" spans="6:66" x14ac:dyDescent="0.25"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H139" s="22"/>
      <c r="BI139" s="22"/>
      <c r="BJ139" s="22"/>
      <c r="BK139" s="22"/>
      <c r="BL139" s="22"/>
      <c r="BM139" s="22"/>
      <c r="BN139" s="22"/>
    </row>
    <row r="140" spans="6:66" x14ac:dyDescent="0.25"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H140" s="22"/>
      <c r="BI140" s="22"/>
      <c r="BJ140" s="22"/>
      <c r="BK140" s="22"/>
      <c r="BL140" s="22"/>
      <c r="BM140" s="22"/>
      <c r="BN140" s="22"/>
    </row>
    <row r="141" spans="6:66" x14ac:dyDescent="0.25"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H141" s="22"/>
      <c r="BI141" s="22"/>
      <c r="BJ141" s="22"/>
      <c r="BK141" s="22"/>
      <c r="BL141" s="22"/>
      <c r="BM141" s="22"/>
      <c r="BN141" s="22"/>
    </row>
    <row r="142" spans="6:66" x14ac:dyDescent="0.25"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H142" s="22"/>
      <c r="BI142" s="22"/>
      <c r="BJ142" s="22"/>
      <c r="BK142" s="22"/>
      <c r="BL142" s="22"/>
      <c r="BM142" s="22"/>
      <c r="BN142" s="22"/>
    </row>
    <row r="143" spans="6:66" x14ac:dyDescent="0.25"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H143" s="22"/>
      <c r="BI143" s="22"/>
      <c r="BJ143" s="22"/>
      <c r="BK143" s="22"/>
      <c r="BL143" s="22"/>
      <c r="BM143" s="22"/>
      <c r="BN143" s="22"/>
    </row>
    <row r="144" spans="6:66" x14ac:dyDescent="0.25"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H144" s="22"/>
      <c r="BI144" s="22"/>
      <c r="BJ144" s="22"/>
      <c r="BK144" s="22"/>
      <c r="BL144" s="22"/>
      <c r="BM144" s="22"/>
      <c r="BN144" s="22"/>
    </row>
    <row r="145" spans="6:66" x14ac:dyDescent="0.25"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H145" s="22"/>
      <c r="BI145" s="22"/>
      <c r="BJ145" s="22"/>
      <c r="BK145" s="22"/>
      <c r="BL145" s="22"/>
      <c r="BM145" s="22"/>
      <c r="BN145" s="22"/>
    </row>
    <row r="146" spans="6:66" x14ac:dyDescent="0.25"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H146" s="22"/>
      <c r="BI146" s="22"/>
      <c r="BJ146" s="22"/>
      <c r="BK146" s="22"/>
      <c r="BL146" s="22"/>
      <c r="BM146" s="22"/>
      <c r="BN146" s="22"/>
    </row>
    <row r="147" spans="6:66" x14ac:dyDescent="0.25"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H147" s="22"/>
      <c r="BI147" s="22"/>
      <c r="BJ147" s="22"/>
      <c r="BK147" s="22"/>
      <c r="BL147" s="22"/>
      <c r="BM147" s="22"/>
      <c r="BN147" s="22"/>
    </row>
    <row r="148" spans="6:66" x14ac:dyDescent="0.25"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H148" s="22"/>
      <c r="BI148" s="22"/>
      <c r="BJ148" s="22"/>
      <c r="BK148" s="22"/>
      <c r="BL148" s="22"/>
      <c r="BM148" s="22"/>
      <c r="BN148" s="22"/>
    </row>
    <row r="149" spans="6:66" x14ac:dyDescent="0.25"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H149" s="22"/>
      <c r="BI149" s="22"/>
      <c r="BJ149" s="22"/>
      <c r="BK149" s="22"/>
      <c r="BL149" s="22"/>
      <c r="BM149" s="22"/>
      <c r="BN149" s="22"/>
    </row>
    <row r="150" spans="6:66" x14ac:dyDescent="0.25"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H150" s="22"/>
      <c r="BI150" s="22"/>
      <c r="BJ150" s="22"/>
      <c r="BK150" s="22"/>
      <c r="BL150" s="22"/>
      <c r="BM150" s="22"/>
      <c r="BN150" s="22"/>
    </row>
    <row r="151" spans="6:66" x14ac:dyDescent="0.25"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H151" s="22"/>
      <c r="BI151" s="22"/>
      <c r="BJ151" s="22"/>
      <c r="BK151" s="22"/>
      <c r="BL151" s="22"/>
      <c r="BM151" s="22"/>
      <c r="BN151" s="22"/>
    </row>
    <row r="152" spans="6:66" x14ac:dyDescent="0.25"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H152" s="22"/>
      <c r="BI152" s="22"/>
      <c r="BJ152" s="22"/>
      <c r="BK152" s="22"/>
      <c r="BL152" s="22"/>
      <c r="BM152" s="22"/>
      <c r="BN152" s="22"/>
    </row>
    <row r="153" spans="6:66" x14ac:dyDescent="0.25"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H153" s="22"/>
      <c r="BI153" s="22"/>
      <c r="BJ153" s="22"/>
      <c r="BK153" s="22"/>
      <c r="BL153" s="22"/>
      <c r="BM153" s="22"/>
      <c r="BN153" s="22"/>
    </row>
    <row r="154" spans="6:66" x14ac:dyDescent="0.25"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H154" s="22"/>
      <c r="BI154" s="22"/>
      <c r="BJ154" s="22"/>
      <c r="BK154" s="22"/>
      <c r="BL154" s="22"/>
      <c r="BM154" s="22"/>
      <c r="BN154" s="22"/>
    </row>
    <row r="155" spans="6:66" x14ac:dyDescent="0.25"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H155" s="22"/>
      <c r="BI155" s="22"/>
      <c r="BJ155" s="22"/>
      <c r="BK155" s="22"/>
      <c r="BL155" s="22"/>
      <c r="BM155" s="22"/>
      <c r="BN155" s="22"/>
    </row>
    <row r="156" spans="6:66" x14ac:dyDescent="0.25"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H156" s="22"/>
      <c r="BI156" s="22"/>
      <c r="BJ156" s="22"/>
      <c r="BK156" s="22"/>
      <c r="BL156" s="22"/>
      <c r="BM156" s="22"/>
      <c r="BN156" s="22"/>
    </row>
    <row r="157" spans="6:66" x14ac:dyDescent="0.25"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H157" s="22"/>
      <c r="BI157" s="22"/>
      <c r="BJ157" s="22"/>
      <c r="BK157" s="22"/>
      <c r="BL157" s="22"/>
      <c r="BM157" s="22"/>
      <c r="BN157" s="22"/>
    </row>
    <row r="158" spans="6:66" x14ac:dyDescent="0.25"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H158" s="22"/>
      <c r="BI158" s="22"/>
      <c r="BJ158" s="22"/>
      <c r="BK158" s="22"/>
      <c r="BL158" s="22"/>
      <c r="BM158" s="22"/>
      <c r="BN158" s="22"/>
    </row>
    <row r="159" spans="6:66" x14ac:dyDescent="0.25"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H159" s="22"/>
      <c r="BI159" s="22"/>
      <c r="BJ159" s="22"/>
      <c r="BK159" s="22"/>
      <c r="BL159" s="22"/>
      <c r="BM159" s="22"/>
      <c r="BN159" s="22"/>
    </row>
    <row r="160" spans="6:66" x14ac:dyDescent="0.25"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H160" s="22"/>
      <c r="BI160" s="22"/>
      <c r="BJ160" s="22"/>
      <c r="BK160" s="22"/>
      <c r="BL160" s="22"/>
      <c r="BM160" s="22"/>
      <c r="BN160" s="22"/>
    </row>
    <row r="161" spans="6:66" x14ac:dyDescent="0.25"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H161" s="22"/>
      <c r="BI161" s="22"/>
      <c r="BJ161" s="22"/>
      <c r="BK161" s="22"/>
      <c r="BL161" s="22"/>
      <c r="BM161" s="22"/>
      <c r="BN161" s="22"/>
    </row>
    <row r="162" spans="6:66" x14ac:dyDescent="0.25"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H162" s="22"/>
      <c r="BI162" s="22"/>
      <c r="BJ162" s="22"/>
      <c r="BK162" s="22"/>
      <c r="BL162" s="22"/>
      <c r="BM162" s="22"/>
      <c r="BN162" s="22"/>
    </row>
    <row r="163" spans="6:66" x14ac:dyDescent="0.25"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H163" s="22"/>
      <c r="BI163" s="22"/>
      <c r="BJ163" s="22"/>
      <c r="BK163" s="22"/>
      <c r="BL163" s="22"/>
      <c r="BM163" s="22"/>
      <c r="BN163" s="22"/>
    </row>
    <row r="164" spans="6:66" x14ac:dyDescent="0.25"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H164" s="22"/>
      <c r="BI164" s="22"/>
      <c r="BJ164" s="22"/>
      <c r="BK164" s="22"/>
      <c r="BL164" s="22"/>
      <c r="BM164" s="22"/>
      <c r="BN164" s="22"/>
    </row>
    <row r="165" spans="6:66" x14ac:dyDescent="0.25"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H165" s="22"/>
      <c r="BI165" s="22"/>
      <c r="BJ165" s="22"/>
      <c r="BK165" s="22"/>
      <c r="BL165" s="22"/>
      <c r="BM165" s="22"/>
      <c r="BN165" s="22"/>
    </row>
    <row r="166" spans="6:66" x14ac:dyDescent="0.25"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H166" s="22"/>
      <c r="BI166" s="22"/>
      <c r="BJ166" s="22"/>
      <c r="BK166" s="22"/>
      <c r="BL166" s="22"/>
      <c r="BM166" s="22"/>
      <c r="BN166" s="22"/>
    </row>
    <row r="167" spans="6:66" x14ac:dyDescent="0.25"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H167" s="22"/>
      <c r="BI167" s="22"/>
      <c r="BJ167" s="22"/>
      <c r="BK167" s="22"/>
      <c r="BL167" s="22"/>
      <c r="BM167" s="22"/>
      <c r="BN167" s="22"/>
    </row>
    <row r="168" spans="6:66" x14ac:dyDescent="0.25"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H168" s="22"/>
      <c r="BI168" s="22"/>
      <c r="BJ168" s="22"/>
      <c r="BK168" s="22"/>
      <c r="BL168" s="22"/>
      <c r="BM168" s="22"/>
      <c r="BN168" s="22"/>
    </row>
    <row r="169" spans="6:66" x14ac:dyDescent="0.25"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H169" s="22"/>
      <c r="BI169" s="22"/>
      <c r="BJ169" s="22"/>
      <c r="BK169" s="22"/>
      <c r="BL169" s="22"/>
      <c r="BM169" s="22"/>
      <c r="BN169" s="22"/>
    </row>
    <row r="170" spans="6:66" x14ac:dyDescent="0.25"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H170" s="22"/>
      <c r="BI170" s="22"/>
      <c r="BJ170" s="22"/>
      <c r="BK170" s="22"/>
      <c r="BL170" s="22"/>
      <c r="BM170" s="22"/>
      <c r="BN170" s="22"/>
    </row>
    <row r="171" spans="6:66" x14ac:dyDescent="0.25"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H171" s="22"/>
      <c r="BI171" s="22"/>
      <c r="BJ171" s="22"/>
      <c r="BK171" s="22"/>
      <c r="BL171" s="22"/>
      <c r="BM171" s="22"/>
      <c r="BN171" s="22"/>
    </row>
    <row r="172" spans="6:66" x14ac:dyDescent="0.25"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H172" s="22"/>
      <c r="BI172" s="22"/>
      <c r="BJ172" s="22"/>
      <c r="BK172" s="22"/>
      <c r="BL172" s="22"/>
      <c r="BM172" s="22"/>
      <c r="BN172" s="22"/>
    </row>
    <row r="173" spans="6:66" x14ac:dyDescent="0.25"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H173" s="22"/>
      <c r="BI173" s="22"/>
      <c r="BJ173" s="22"/>
      <c r="BK173" s="22"/>
      <c r="BL173" s="22"/>
      <c r="BM173" s="22"/>
      <c r="BN173" s="22"/>
    </row>
    <row r="174" spans="6:66" x14ac:dyDescent="0.25"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H174" s="22"/>
      <c r="BI174" s="22"/>
      <c r="BJ174" s="22"/>
      <c r="BK174" s="22"/>
      <c r="BL174" s="22"/>
      <c r="BM174" s="22"/>
      <c r="BN174" s="22"/>
    </row>
    <row r="175" spans="6:66" x14ac:dyDescent="0.25"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H175" s="22"/>
      <c r="BI175" s="22"/>
      <c r="BJ175" s="22"/>
      <c r="BK175" s="22"/>
      <c r="BL175" s="22"/>
      <c r="BM175" s="22"/>
      <c r="BN175" s="22"/>
    </row>
    <row r="176" spans="6:66" x14ac:dyDescent="0.25"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H176" s="22"/>
      <c r="BI176" s="22"/>
      <c r="BJ176" s="22"/>
      <c r="BK176" s="22"/>
      <c r="BL176" s="22"/>
      <c r="BM176" s="22"/>
      <c r="BN176" s="22"/>
    </row>
    <row r="177" spans="6:66" x14ac:dyDescent="0.25"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H177" s="22"/>
      <c r="BI177" s="22"/>
      <c r="BJ177" s="22"/>
      <c r="BK177" s="22"/>
      <c r="BL177" s="22"/>
      <c r="BM177" s="22"/>
      <c r="BN177" s="22"/>
    </row>
    <row r="178" spans="6:66" x14ac:dyDescent="0.25"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H178" s="22"/>
      <c r="BI178" s="22"/>
      <c r="BJ178" s="22"/>
      <c r="BK178" s="22"/>
      <c r="BL178" s="22"/>
      <c r="BM178" s="22"/>
      <c r="BN178" s="22"/>
    </row>
    <row r="179" spans="6:66" x14ac:dyDescent="0.25"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H179" s="22"/>
      <c r="BI179" s="22"/>
      <c r="BJ179" s="22"/>
      <c r="BK179" s="22"/>
      <c r="BL179" s="22"/>
      <c r="BM179" s="22"/>
      <c r="BN179" s="22"/>
    </row>
    <row r="180" spans="6:66" x14ac:dyDescent="0.25"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H180" s="22"/>
      <c r="BI180" s="22"/>
      <c r="BJ180" s="22"/>
      <c r="BK180" s="22"/>
      <c r="BL180" s="22"/>
      <c r="BM180" s="22"/>
      <c r="BN180" s="22"/>
    </row>
    <row r="181" spans="6:66" x14ac:dyDescent="0.25"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H181" s="22"/>
      <c r="BI181" s="22"/>
      <c r="BJ181" s="22"/>
      <c r="BK181" s="22"/>
      <c r="BL181" s="22"/>
      <c r="BM181" s="22"/>
      <c r="BN181" s="22"/>
    </row>
    <row r="182" spans="6:66" x14ac:dyDescent="0.25"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H182" s="22"/>
      <c r="BI182" s="22"/>
      <c r="BJ182" s="22"/>
      <c r="BK182" s="22"/>
      <c r="BL182" s="22"/>
      <c r="BM182" s="22"/>
      <c r="BN182" s="22"/>
    </row>
    <row r="183" spans="6:66" x14ac:dyDescent="0.25"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H183" s="22"/>
      <c r="BI183" s="22"/>
      <c r="BJ183" s="22"/>
      <c r="BK183" s="22"/>
      <c r="BL183" s="22"/>
      <c r="BM183" s="22"/>
      <c r="BN183" s="22"/>
    </row>
    <row r="184" spans="6:66" x14ac:dyDescent="0.25"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H184" s="22"/>
      <c r="BI184" s="22"/>
      <c r="BJ184" s="22"/>
      <c r="BK184" s="22"/>
      <c r="BL184" s="22"/>
      <c r="BM184" s="22"/>
      <c r="BN184" s="22"/>
    </row>
    <row r="185" spans="6:66" x14ac:dyDescent="0.25"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H185" s="22"/>
      <c r="BI185" s="22"/>
      <c r="BJ185" s="22"/>
      <c r="BK185" s="22"/>
      <c r="BL185" s="22"/>
      <c r="BM185" s="22"/>
      <c r="BN185" s="22"/>
    </row>
    <row r="186" spans="6:66" x14ac:dyDescent="0.25"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H186" s="22"/>
      <c r="BI186" s="22"/>
      <c r="BJ186" s="22"/>
      <c r="BK186" s="22"/>
      <c r="BL186" s="22"/>
      <c r="BM186" s="22"/>
      <c r="BN186" s="22"/>
    </row>
    <row r="187" spans="6:66" x14ac:dyDescent="0.25"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H187" s="22"/>
      <c r="BI187" s="22"/>
      <c r="BJ187" s="22"/>
      <c r="BK187" s="22"/>
      <c r="BL187" s="22"/>
      <c r="BM187" s="22"/>
      <c r="BN187" s="22"/>
    </row>
    <row r="188" spans="6:66" x14ac:dyDescent="0.25"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H188" s="22"/>
      <c r="BI188" s="22"/>
      <c r="BJ188" s="22"/>
      <c r="BK188" s="22"/>
      <c r="BL188" s="22"/>
      <c r="BM188" s="22"/>
      <c r="BN188" s="22"/>
    </row>
    <row r="189" spans="6:66" x14ac:dyDescent="0.25"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H189" s="22"/>
      <c r="BI189" s="22"/>
      <c r="BJ189" s="22"/>
      <c r="BK189" s="22"/>
      <c r="BL189" s="22"/>
      <c r="BM189" s="22"/>
      <c r="BN189" s="22"/>
    </row>
    <row r="190" spans="6:66" x14ac:dyDescent="0.25"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H190" s="22"/>
      <c r="BI190" s="22"/>
      <c r="BJ190" s="22"/>
      <c r="BK190" s="22"/>
      <c r="BL190" s="22"/>
      <c r="BM190" s="22"/>
      <c r="BN190" s="22"/>
    </row>
    <row r="191" spans="6:66" x14ac:dyDescent="0.25"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H191" s="22"/>
      <c r="BI191" s="22"/>
      <c r="BJ191" s="22"/>
      <c r="BK191" s="22"/>
      <c r="BL191" s="22"/>
      <c r="BM191" s="22"/>
      <c r="BN191" s="22"/>
    </row>
    <row r="192" spans="6:66" x14ac:dyDescent="0.25"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H192" s="22"/>
      <c r="BI192" s="22"/>
      <c r="BJ192" s="22"/>
      <c r="BK192" s="22"/>
      <c r="BL192" s="22"/>
      <c r="BM192" s="22"/>
      <c r="BN192" s="22"/>
    </row>
    <row r="193" spans="6:66" x14ac:dyDescent="0.25"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H193" s="22"/>
      <c r="BI193" s="22"/>
      <c r="BJ193" s="22"/>
      <c r="BK193" s="22"/>
      <c r="BL193" s="22"/>
      <c r="BM193" s="22"/>
      <c r="BN193" s="22"/>
    </row>
    <row r="194" spans="6:66" x14ac:dyDescent="0.25"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H194" s="22"/>
      <c r="BI194" s="22"/>
      <c r="BJ194" s="22"/>
      <c r="BK194" s="22"/>
      <c r="BL194" s="22"/>
      <c r="BM194" s="22"/>
      <c r="BN194" s="22"/>
    </row>
    <row r="195" spans="6:66" x14ac:dyDescent="0.25">
      <c r="BH195" s="22"/>
      <c r="BI195" s="22"/>
      <c r="BJ195" s="22"/>
      <c r="BK195" s="22"/>
      <c r="BL195" s="22"/>
      <c r="BM195" s="22"/>
      <c r="BN195" s="22"/>
    </row>
    <row r="196" spans="6:66" x14ac:dyDescent="0.25">
      <c r="BH196" s="22"/>
      <c r="BI196" s="22"/>
      <c r="BJ196" s="22"/>
      <c r="BK196" s="22"/>
      <c r="BL196" s="22"/>
      <c r="BM196" s="22"/>
      <c r="BN196" s="22"/>
    </row>
    <row r="197" spans="6:66" x14ac:dyDescent="0.25">
      <c r="BH197" s="22"/>
      <c r="BI197" s="22"/>
      <c r="BJ197" s="22"/>
      <c r="BK197" s="22"/>
      <c r="BL197" s="22"/>
      <c r="BM197" s="22"/>
      <c r="BN197" s="22"/>
    </row>
    <row r="198" spans="6:66" x14ac:dyDescent="0.25">
      <c r="BH198" s="22"/>
      <c r="BI198" s="22"/>
      <c r="BJ198" s="22"/>
      <c r="BK198" s="22"/>
      <c r="BL198" s="22"/>
      <c r="BM198" s="22"/>
      <c r="BN198" s="22"/>
    </row>
    <row r="199" spans="6:66" x14ac:dyDescent="0.25">
      <c r="BH199" s="22"/>
      <c r="BI199" s="22"/>
      <c r="BJ199" s="22"/>
      <c r="BK199" s="22"/>
      <c r="BL199" s="22"/>
      <c r="BM199" s="22"/>
      <c r="BN199" s="22"/>
    </row>
    <row r="200" spans="6:66" x14ac:dyDescent="0.25">
      <c r="BH200" s="22"/>
      <c r="BI200" s="22"/>
      <c r="BJ200" s="22"/>
      <c r="BK200" s="22"/>
      <c r="BL200" s="22"/>
      <c r="BM200" s="22"/>
      <c r="BN200" s="22"/>
    </row>
    <row r="201" spans="6:66" x14ac:dyDescent="0.25">
      <c r="BH201" s="22"/>
      <c r="BI201" s="22"/>
      <c r="BJ201" s="22"/>
      <c r="BK201" s="22"/>
      <c r="BL201" s="22"/>
      <c r="BM201" s="22"/>
      <c r="BN201" s="22"/>
    </row>
    <row r="202" spans="6:66" x14ac:dyDescent="0.25">
      <c r="BH202" s="22"/>
      <c r="BI202" s="22"/>
      <c r="BJ202" s="22"/>
      <c r="BK202" s="22"/>
      <c r="BL202" s="22"/>
      <c r="BM202" s="22"/>
      <c r="BN202" s="22"/>
    </row>
    <row r="203" spans="6:66" x14ac:dyDescent="0.25">
      <c r="BH203" s="22"/>
      <c r="BI203" s="22"/>
      <c r="BJ203" s="22"/>
      <c r="BK203" s="22"/>
      <c r="BL203" s="22"/>
      <c r="BM203" s="22"/>
      <c r="BN203" s="22"/>
    </row>
    <row r="204" spans="6:66" x14ac:dyDescent="0.25">
      <c r="BH204" s="22"/>
      <c r="BI204" s="22"/>
      <c r="BJ204" s="22"/>
      <c r="BK204" s="22"/>
      <c r="BL204" s="22"/>
      <c r="BM204" s="22"/>
      <c r="BN204" s="22"/>
    </row>
    <row r="205" spans="6:66" x14ac:dyDescent="0.25">
      <c r="BH205" s="22"/>
      <c r="BI205" s="22"/>
      <c r="BJ205" s="22"/>
      <c r="BK205" s="22"/>
      <c r="BL205" s="22"/>
      <c r="BM205" s="22"/>
      <c r="BN205" s="22"/>
    </row>
    <row r="206" spans="6:66" x14ac:dyDescent="0.25">
      <c r="BH206" s="22"/>
      <c r="BI206" s="22"/>
      <c r="BJ206" s="22"/>
      <c r="BK206" s="22"/>
      <c r="BL206" s="22"/>
      <c r="BM206" s="22"/>
      <c r="BN206" s="22"/>
    </row>
    <row r="207" spans="6:66" x14ac:dyDescent="0.25">
      <c r="BH207" s="22"/>
      <c r="BI207" s="22"/>
      <c r="BJ207" s="22"/>
      <c r="BK207" s="22"/>
      <c r="BL207" s="22"/>
      <c r="BM207" s="22"/>
      <c r="BN207" s="22"/>
    </row>
    <row r="208" spans="6:66" x14ac:dyDescent="0.25">
      <c r="BH208" s="22"/>
      <c r="BI208" s="22"/>
      <c r="BJ208" s="22"/>
      <c r="BK208" s="22"/>
      <c r="BL208" s="22"/>
      <c r="BM208" s="22"/>
      <c r="BN208" s="22"/>
    </row>
    <row r="209" spans="60:66" x14ac:dyDescent="0.25">
      <c r="BH209" s="22"/>
      <c r="BI209" s="22"/>
      <c r="BJ209" s="22"/>
      <c r="BK209" s="22"/>
      <c r="BL209" s="22"/>
      <c r="BM209" s="22"/>
      <c r="BN209" s="22"/>
    </row>
    <row r="210" spans="60:66" x14ac:dyDescent="0.25">
      <c r="BH210" s="22"/>
      <c r="BI210" s="22"/>
      <c r="BJ210" s="22"/>
      <c r="BK210" s="22"/>
      <c r="BL210" s="22"/>
      <c r="BM210" s="22"/>
      <c r="BN210" s="22"/>
    </row>
    <row r="211" spans="60:66" x14ac:dyDescent="0.25">
      <c r="BH211" s="22"/>
      <c r="BI211" s="22"/>
      <c r="BJ211" s="22"/>
      <c r="BK211" s="22"/>
      <c r="BL211" s="22"/>
      <c r="BM211" s="22"/>
      <c r="BN211" s="22"/>
    </row>
    <row r="212" spans="60:66" x14ac:dyDescent="0.25">
      <c r="BH212" s="22"/>
      <c r="BI212" s="22"/>
      <c r="BJ212" s="22"/>
      <c r="BK212" s="22"/>
      <c r="BL212" s="22"/>
      <c r="BM212" s="22"/>
      <c r="BN212" s="22"/>
    </row>
    <row r="213" spans="60:66" x14ac:dyDescent="0.25">
      <c r="BH213" s="22"/>
      <c r="BI213" s="22"/>
      <c r="BJ213" s="22"/>
      <c r="BK213" s="22"/>
      <c r="BL213" s="22"/>
      <c r="BM213" s="22"/>
      <c r="BN213" s="22"/>
    </row>
    <row r="214" spans="60:66" x14ac:dyDescent="0.25">
      <c r="BH214" s="22"/>
      <c r="BI214" s="22"/>
      <c r="BJ214" s="22"/>
      <c r="BK214" s="22"/>
      <c r="BL214" s="22"/>
      <c r="BM214" s="22"/>
      <c r="BN214" s="22"/>
    </row>
    <row r="215" spans="60:66" x14ac:dyDescent="0.25">
      <c r="BH215" s="22"/>
      <c r="BI215" s="22"/>
      <c r="BJ215" s="22"/>
      <c r="BK215" s="22"/>
      <c r="BL215" s="22"/>
      <c r="BM215" s="22"/>
      <c r="BN215" s="22"/>
    </row>
    <row r="216" spans="60:66" x14ac:dyDescent="0.25">
      <c r="BH216" s="22"/>
      <c r="BI216" s="22"/>
      <c r="BJ216" s="22"/>
      <c r="BK216" s="22"/>
      <c r="BL216" s="22"/>
      <c r="BM216" s="22"/>
      <c r="BN216" s="22"/>
    </row>
    <row r="217" spans="60:66" x14ac:dyDescent="0.25">
      <c r="BH217" s="22"/>
      <c r="BI217" s="22"/>
      <c r="BJ217" s="22"/>
      <c r="BK217" s="22"/>
      <c r="BL217" s="22"/>
      <c r="BM217" s="22"/>
      <c r="BN217" s="22"/>
    </row>
    <row r="218" spans="60:66" x14ac:dyDescent="0.25">
      <c r="BH218" s="22"/>
      <c r="BI218" s="22"/>
      <c r="BJ218" s="22"/>
      <c r="BK218" s="22"/>
      <c r="BL218" s="22"/>
      <c r="BM218" s="22"/>
      <c r="BN218" s="22"/>
    </row>
    <row r="219" spans="60:66" x14ac:dyDescent="0.25">
      <c r="BH219" s="22"/>
      <c r="BI219" s="22"/>
      <c r="BJ219" s="22"/>
      <c r="BK219" s="22"/>
      <c r="BL219" s="22"/>
      <c r="BM219" s="22"/>
      <c r="BN219" s="22"/>
    </row>
    <row r="220" spans="60:66" x14ac:dyDescent="0.25">
      <c r="BH220" s="22"/>
      <c r="BI220" s="22"/>
      <c r="BJ220" s="22"/>
      <c r="BK220" s="22"/>
      <c r="BL220" s="22"/>
      <c r="BM220" s="22"/>
      <c r="BN220" s="22"/>
    </row>
    <row r="221" spans="60:66" x14ac:dyDescent="0.25">
      <c r="BH221" s="22"/>
      <c r="BI221" s="22"/>
      <c r="BJ221" s="22"/>
      <c r="BK221" s="22"/>
      <c r="BL221" s="22"/>
      <c r="BM221" s="22"/>
      <c r="BN221" s="22"/>
    </row>
    <row r="222" spans="60:66" x14ac:dyDescent="0.25">
      <c r="BH222" s="22"/>
      <c r="BI222" s="22"/>
      <c r="BJ222" s="22"/>
      <c r="BK222" s="22"/>
      <c r="BL222" s="22"/>
      <c r="BM222" s="22"/>
      <c r="BN222" s="22"/>
    </row>
    <row r="223" spans="60:66" x14ac:dyDescent="0.25">
      <c r="BH223" s="22"/>
      <c r="BI223" s="22"/>
      <c r="BJ223" s="22"/>
      <c r="BK223" s="22"/>
      <c r="BL223" s="22"/>
      <c r="BM223" s="22"/>
      <c r="BN223" s="22"/>
    </row>
    <row r="224" spans="60:66" x14ac:dyDescent="0.25">
      <c r="BH224" s="22"/>
      <c r="BI224" s="22"/>
      <c r="BJ224" s="22"/>
      <c r="BK224" s="22"/>
      <c r="BL224" s="22"/>
      <c r="BM224" s="22"/>
      <c r="BN224" s="22"/>
    </row>
    <row r="225" spans="60:66" x14ac:dyDescent="0.25">
      <c r="BH225" s="22"/>
      <c r="BI225" s="22"/>
      <c r="BJ225" s="22"/>
      <c r="BK225" s="22"/>
      <c r="BL225" s="22"/>
      <c r="BM225" s="22"/>
      <c r="BN225" s="22"/>
    </row>
    <row r="226" spans="60:66" x14ac:dyDescent="0.25">
      <c r="BH226" s="22"/>
      <c r="BI226" s="22"/>
      <c r="BJ226" s="22"/>
      <c r="BK226" s="22"/>
      <c r="BL226" s="22"/>
      <c r="BM226" s="22"/>
      <c r="BN226" s="22"/>
    </row>
    <row r="227" spans="60:66" x14ac:dyDescent="0.25">
      <c r="BH227" s="22"/>
      <c r="BI227" s="22"/>
      <c r="BJ227" s="22"/>
      <c r="BK227" s="22"/>
      <c r="BL227" s="22"/>
      <c r="BM227" s="22"/>
      <c r="BN227" s="22"/>
    </row>
    <row r="228" spans="60:66" x14ac:dyDescent="0.25">
      <c r="BH228" s="22"/>
      <c r="BI228" s="22"/>
      <c r="BJ228" s="22"/>
      <c r="BK228" s="22"/>
      <c r="BL228" s="22"/>
      <c r="BM228" s="22"/>
      <c r="BN228" s="22"/>
    </row>
    <row r="229" spans="60:66" x14ac:dyDescent="0.25">
      <c r="BH229" s="22"/>
      <c r="BI229" s="22"/>
      <c r="BJ229" s="22"/>
      <c r="BK229" s="22"/>
      <c r="BL229" s="22"/>
      <c r="BM229" s="22"/>
      <c r="BN229" s="22"/>
    </row>
    <row r="230" spans="60:66" x14ac:dyDescent="0.25">
      <c r="BH230" s="22"/>
      <c r="BI230" s="22"/>
      <c r="BJ230" s="22"/>
      <c r="BK230" s="22"/>
      <c r="BL230" s="22"/>
      <c r="BM230" s="22"/>
      <c r="BN230" s="22"/>
    </row>
    <row r="231" spans="60:66" x14ac:dyDescent="0.25">
      <c r="BH231" s="22"/>
      <c r="BI231" s="22"/>
      <c r="BJ231" s="22"/>
      <c r="BK231" s="22"/>
      <c r="BL231" s="22"/>
      <c r="BM231" s="22"/>
      <c r="BN231" s="22"/>
    </row>
    <row r="232" spans="60:66" x14ac:dyDescent="0.25">
      <c r="BH232" s="22"/>
      <c r="BI232" s="22"/>
      <c r="BJ232" s="22"/>
      <c r="BK232" s="22"/>
      <c r="BL232" s="22"/>
      <c r="BM232" s="22"/>
      <c r="BN232" s="22"/>
    </row>
    <row r="233" spans="60:66" x14ac:dyDescent="0.25">
      <c r="BH233" s="22"/>
      <c r="BI233" s="22"/>
      <c r="BJ233" s="22"/>
      <c r="BK233" s="22"/>
      <c r="BL233" s="22"/>
      <c r="BM233" s="22"/>
      <c r="BN233" s="22"/>
    </row>
    <row r="234" spans="60:66" x14ac:dyDescent="0.25">
      <c r="BH234" s="22"/>
      <c r="BI234" s="22"/>
      <c r="BJ234" s="22"/>
      <c r="BK234" s="22"/>
      <c r="BL234" s="22"/>
      <c r="BM234" s="22"/>
      <c r="BN234" s="22"/>
    </row>
    <row r="235" spans="60:66" x14ac:dyDescent="0.25">
      <c r="BH235" s="22"/>
      <c r="BI235" s="22"/>
      <c r="BJ235" s="22"/>
      <c r="BK235" s="22"/>
      <c r="BL235" s="22"/>
      <c r="BM235" s="22"/>
      <c r="BN235" s="22"/>
    </row>
    <row r="236" spans="60:66" x14ac:dyDescent="0.25">
      <c r="BH236" s="22"/>
      <c r="BI236" s="22"/>
      <c r="BJ236" s="22"/>
      <c r="BK236" s="22"/>
      <c r="BL236" s="22"/>
      <c r="BM236" s="22"/>
      <c r="BN236" s="22"/>
    </row>
    <row r="237" spans="60:66" x14ac:dyDescent="0.25">
      <c r="BH237" s="22"/>
      <c r="BI237" s="22"/>
      <c r="BJ237" s="22"/>
      <c r="BK237" s="22"/>
      <c r="BL237" s="22"/>
      <c r="BM237" s="22"/>
      <c r="BN237" s="22"/>
    </row>
    <row r="238" spans="60:66" x14ac:dyDescent="0.25">
      <c r="BH238" s="22"/>
      <c r="BI238" s="22"/>
      <c r="BJ238" s="22"/>
      <c r="BK238" s="22"/>
      <c r="BL238" s="22"/>
      <c r="BM238" s="22"/>
      <c r="BN238" s="22"/>
    </row>
    <row r="239" spans="60:66" x14ac:dyDescent="0.25">
      <c r="BH239" s="22"/>
      <c r="BI239" s="22"/>
      <c r="BJ239" s="22"/>
      <c r="BK239" s="22"/>
      <c r="BL239" s="22"/>
      <c r="BM239" s="22"/>
      <c r="BN239" s="22"/>
    </row>
    <row r="240" spans="60:66" x14ac:dyDescent="0.25">
      <c r="BH240" s="22"/>
      <c r="BI240" s="22"/>
      <c r="BJ240" s="22"/>
      <c r="BK240" s="22"/>
      <c r="BL240" s="22"/>
      <c r="BM240" s="22"/>
      <c r="BN240" s="22"/>
    </row>
    <row r="241" spans="60:66" x14ac:dyDescent="0.25">
      <c r="BH241" s="22"/>
      <c r="BI241" s="22"/>
      <c r="BJ241" s="22"/>
      <c r="BK241" s="22"/>
      <c r="BL241" s="22"/>
      <c r="BM241" s="22"/>
      <c r="BN241" s="22"/>
    </row>
    <row r="242" spans="60:66" x14ac:dyDescent="0.25">
      <c r="BH242" s="22"/>
      <c r="BI242" s="22"/>
      <c r="BJ242" s="22"/>
      <c r="BK242" s="22"/>
      <c r="BL242" s="22"/>
      <c r="BM242" s="22"/>
      <c r="BN242" s="22"/>
    </row>
    <row r="243" spans="60:66" x14ac:dyDescent="0.25">
      <c r="BH243" s="22"/>
      <c r="BI243" s="22"/>
      <c r="BJ243" s="22"/>
      <c r="BK243" s="22"/>
      <c r="BL243" s="22"/>
      <c r="BM243" s="22"/>
      <c r="BN243" s="22"/>
    </row>
    <row r="244" spans="60:66" x14ac:dyDescent="0.25">
      <c r="BH244" s="22"/>
      <c r="BI244" s="22"/>
      <c r="BJ244" s="22"/>
      <c r="BK244" s="22"/>
      <c r="BL244" s="22"/>
      <c r="BM244" s="22"/>
      <c r="BN244" s="22"/>
    </row>
    <row r="245" spans="60:66" x14ac:dyDescent="0.25">
      <c r="BH245" s="22"/>
      <c r="BI245" s="22"/>
      <c r="BJ245" s="22"/>
      <c r="BK245" s="22"/>
      <c r="BL245" s="22"/>
      <c r="BM245" s="22"/>
      <c r="BN245" s="22"/>
    </row>
    <row r="246" spans="60:66" x14ac:dyDescent="0.25">
      <c r="BH246" s="22"/>
      <c r="BI246" s="22"/>
      <c r="BJ246" s="22"/>
      <c r="BK246" s="22"/>
      <c r="BL246" s="22"/>
      <c r="BM246" s="22"/>
      <c r="BN246" s="22"/>
    </row>
    <row r="247" spans="60:66" x14ac:dyDescent="0.25">
      <c r="BH247" s="22"/>
      <c r="BI247" s="22"/>
      <c r="BJ247" s="22"/>
      <c r="BK247" s="22"/>
      <c r="BL247" s="22"/>
      <c r="BM247" s="22"/>
      <c r="BN247" s="22"/>
    </row>
  </sheetData>
  <conditionalFormatting sqref="J10:J29">
    <cfRule type="containsText" dxfId="134" priority="45" operator="containsText" text="WO">
      <formula>NOT(ISERROR(SEARCH("WO",J10)))</formula>
    </cfRule>
  </conditionalFormatting>
  <conditionalFormatting sqref="K10:O29">
    <cfRule type="containsText" dxfId="133" priority="9" operator="containsText" text="L">
      <formula>NOT(ISERROR(SEARCH("L",K10)))</formula>
    </cfRule>
    <cfRule type="containsText" dxfId="132" priority="10" operator="containsText" text="A">
      <formula>NOT(ISERROR(SEARCH("A",K10)))</formula>
    </cfRule>
    <cfRule type="containsText" dxfId="131" priority="11" operator="containsText" text="P">
      <formula>NOT(ISERROR(SEARCH("P",K10)))</formula>
    </cfRule>
  </conditionalFormatting>
  <conditionalFormatting sqref="P10:P29">
    <cfRule type="containsText" dxfId="130" priority="12" operator="containsText" text="WO">
      <formula>NOT(ISERROR(SEARCH("WO",P10)))</formula>
    </cfRule>
  </conditionalFormatting>
  <conditionalFormatting sqref="P10:W29 AD10:AD29">
    <cfRule type="containsText" dxfId="129" priority="17" operator="containsText" text="A">
      <formula>NOT(ISERROR(SEARCH("A",P10)))</formula>
    </cfRule>
    <cfRule type="containsText" dxfId="128" priority="18" operator="containsText" text="P">
      <formula>NOT(ISERROR(SEARCH("P",P10)))</formula>
    </cfRule>
  </conditionalFormatting>
  <conditionalFormatting sqref="T11:T29">
    <cfRule type="containsText" dxfId="127" priority="41" operator="containsText" text="WO">
      <formula>NOT(ISERROR(SEARCH("WO",T11)))</formula>
    </cfRule>
  </conditionalFormatting>
  <conditionalFormatting sqref="U10:W29 AD10:AD29 AK10:AO29">
    <cfRule type="containsText" dxfId="126" priority="19" operator="containsText" text="WO">
      <formula>NOT(ISERROR(SEARCH("WO",U10)))</formula>
    </cfRule>
  </conditionalFormatting>
  <conditionalFormatting sqref="W10:W29">
    <cfRule type="containsText" dxfId="125" priority="14" operator="containsText" text="WO">
      <formula>NOT(ISERROR(SEARCH("WO",W10)))</formula>
    </cfRule>
  </conditionalFormatting>
  <conditionalFormatting sqref="X10:AC29">
    <cfRule type="containsText" dxfId="124" priority="5" operator="containsText" text="L">
      <formula>NOT(ISERROR(SEARCH("L",X10)))</formula>
    </cfRule>
    <cfRule type="containsText" dxfId="123" priority="6" operator="containsText" text="A">
      <formula>NOT(ISERROR(SEARCH("A",X10)))</formula>
    </cfRule>
    <cfRule type="containsText" dxfId="122" priority="7" operator="containsText" text="P">
      <formula>NOT(ISERROR(SEARCH("P",X10)))</formula>
    </cfRule>
  </conditionalFormatting>
  <conditionalFormatting sqref="Y10:Z29 X11:X29">
    <cfRule type="containsText" dxfId="121" priority="8" operator="containsText" text="WO">
      <formula>NOT(ISERROR(SEARCH("WO",X10)))</formula>
    </cfRule>
  </conditionalFormatting>
  <conditionalFormatting sqref="AD10:AD29 P10:W29">
    <cfRule type="containsText" dxfId="120" priority="16" operator="containsText" text="L">
      <formula>NOT(ISERROR(SEARCH("L",P10)))</formula>
    </cfRule>
  </conditionalFormatting>
  <conditionalFormatting sqref="AD10:AD29">
    <cfRule type="containsText" dxfId="119" priority="15" operator="containsText" text="WO">
      <formula>NOT(ISERROR(SEARCH("WO",AD10)))</formula>
    </cfRule>
  </conditionalFormatting>
  <conditionalFormatting sqref="AE10:AO29">
    <cfRule type="containsText" dxfId="118" priority="1" operator="containsText" text="L">
      <formula>NOT(ISERROR(SEARCH("L",AE10)))</formula>
    </cfRule>
    <cfRule type="containsText" dxfId="117" priority="2" operator="containsText" text="A">
      <formula>NOT(ISERROR(SEARCH("A",AE10)))</formula>
    </cfRule>
    <cfRule type="containsText" dxfId="116" priority="3" operator="containsText" text="P">
      <formula>NOT(ISERROR(SEARCH("P",AE10)))</formula>
    </cfRule>
  </conditionalFormatting>
  <conditionalFormatting sqref="AF10:AG29 AE11:AE29">
    <cfRule type="containsText" dxfId="115" priority="4" operator="containsText" text="WO">
      <formula>NOT(ISERROR(SEARCH("WO",AE10)))</formula>
    </cfRule>
  </conditionalFormatting>
  <dataValidations count="1">
    <dataValidation type="list" allowBlank="1" showInputMessage="1" showErrorMessage="1" sqref="K10:O29 Q10:V29 AL10:AN29 X10:AC29 AE10:AJ29" xr:uid="{0ED41450-2DA2-42C0-8A9E-1206D60D5AB7}">
      <formula1>"P, A, 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A1378EB-F422-4D64-A2BB-4FD0490632ED}">
          <x14:formula1>
            <xm:f>Sheet2!$A$1:$A$12</xm:f>
          </x14:formula1>
          <xm:sqref>H6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C360E546-38C8-4565-9F1B-AC5E46EB27C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Apr!AV10:AY10</xm:f>
              <xm:sqref>BF10</xm:sqref>
            </x14:sparkline>
            <x14:sparkline>
              <xm:f>Apr!AV11:AY11</xm:f>
              <xm:sqref>BF11</xm:sqref>
            </x14:sparkline>
            <x14:sparkline>
              <xm:f>Apr!AV12:AY12</xm:f>
              <xm:sqref>BF12</xm:sqref>
            </x14:sparkline>
            <x14:sparkline>
              <xm:f>Apr!AV13:AY13</xm:f>
              <xm:sqref>BF13</xm:sqref>
            </x14:sparkline>
            <x14:sparkline>
              <xm:f>Apr!AV14:AY14</xm:f>
              <xm:sqref>BF14</xm:sqref>
            </x14:sparkline>
            <x14:sparkline>
              <xm:f>Apr!AV15:AY15</xm:f>
              <xm:sqref>BF15</xm:sqref>
            </x14:sparkline>
            <x14:sparkline>
              <xm:f>Apr!AV16:AY16</xm:f>
              <xm:sqref>BF16</xm:sqref>
            </x14:sparkline>
            <x14:sparkline>
              <xm:f>Apr!AV17:AY17</xm:f>
              <xm:sqref>BF17</xm:sqref>
            </x14:sparkline>
            <x14:sparkline>
              <xm:f>Apr!AV18:AY18</xm:f>
              <xm:sqref>BF18</xm:sqref>
            </x14:sparkline>
            <x14:sparkline>
              <xm:f>Apr!AV19:AY19</xm:f>
              <xm:sqref>BF19</xm:sqref>
            </x14:sparkline>
            <x14:sparkline>
              <xm:f>Apr!AV20:AY20</xm:f>
              <xm:sqref>BF20</xm:sqref>
            </x14:sparkline>
            <x14:sparkline>
              <xm:f>Apr!AV21:AY21</xm:f>
              <xm:sqref>BF21</xm:sqref>
            </x14:sparkline>
            <x14:sparkline>
              <xm:f>Apr!AV22:AY22</xm:f>
              <xm:sqref>BF22</xm:sqref>
            </x14:sparkline>
            <x14:sparkline>
              <xm:f>Apr!AV23:AY23</xm:f>
              <xm:sqref>BF23</xm:sqref>
            </x14:sparkline>
            <x14:sparkline>
              <xm:f>Apr!AV24:AY24</xm:f>
              <xm:sqref>BF24</xm:sqref>
            </x14:sparkline>
            <x14:sparkline>
              <xm:f>Apr!AV25:AY25</xm:f>
              <xm:sqref>BF25</xm:sqref>
            </x14:sparkline>
            <x14:sparkline>
              <xm:f>Apr!AV26:AY26</xm:f>
              <xm:sqref>BF26</xm:sqref>
            </x14:sparkline>
            <x14:sparkline>
              <xm:f>Apr!AV27:AY27</xm:f>
              <xm:sqref>BF27</xm:sqref>
            </x14:sparkline>
            <x14:sparkline>
              <xm:f>Apr!AV28:AY28</xm:f>
              <xm:sqref>BF28</xm:sqref>
            </x14:sparkline>
            <x14:sparkline>
              <xm:f>Apr!AV29:AY29</xm:f>
              <xm:sqref>BF29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290A-EF4A-4CAC-A5BD-B0EC8A697884}">
  <dimension ref="E1:BO247"/>
  <sheetViews>
    <sheetView zoomScale="85" zoomScaleNormal="85" workbookViewId="0"/>
  </sheetViews>
  <sheetFormatPr defaultRowHeight="15.75" x14ac:dyDescent="0.25"/>
  <cols>
    <col min="1" max="4" width="9.140625" style="3"/>
    <col min="5" max="5" width="9.140625" style="22"/>
    <col min="6" max="6" width="9.140625" style="3"/>
    <col min="7" max="7" width="9.28515625" style="3" bestFit="1" customWidth="1"/>
    <col min="8" max="8" width="26.85546875" style="3" customWidth="1"/>
    <col min="9" max="9" width="15" style="3" customWidth="1"/>
    <col min="10" max="10" width="19.28515625" style="3" customWidth="1"/>
    <col min="11" max="11" width="9.140625" style="3"/>
    <col min="12" max="12" width="9.28515625" style="3" bestFit="1" customWidth="1"/>
    <col min="13" max="13" width="13.7109375" style="3" customWidth="1"/>
    <col min="14" max="41" width="9.28515625" style="3" bestFit="1" customWidth="1"/>
    <col min="42" max="42" width="9.140625" style="3"/>
    <col min="43" max="43" width="9.140625" style="22"/>
    <col min="44" max="44" width="9.140625" style="3"/>
    <col min="45" max="46" width="15.42578125" style="3" customWidth="1"/>
    <col min="47" max="47" width="15.5703125" style="3" customWidth="1"/>
    <col min="48" max="48" width="10.7109375" style="3" customWidth="1"/>
    <col min="49" max="49" width="10.28515625" style="3" customWidth="1"/>
    <col min="50" max="50" width="9.140625" style="3"/>
    <col min="51" max="51" width="11.5703125" style="3" customWidth="1"/>
    <col min="52" max="52" width="9.140625" style="3"/>
    <col min="53" max="53" width="13.7109375" style="3" customWidth="1"/>
    <col min="54" max="54" width="13.5703125" style="3" customWidth="1"/>
    <col min="55" max="55" width="17.85546875" style="3" customWidth="1"/>
    <col min="56" max="56" width="15" style="3" customWidth="1"/>
    <col min="57" max="57" width="18.140625" style="3" customWidth="1"/>
    <col min="58" max="58" width="25.140625" style="3" customWidth="1"/>
    <col min="59" max="59" width="9.140625" style="22"/>
    <col min="60" max="16384" width="9.140625" style="3"/>
  </cols>
  <sheetData>
    <row r="1" spans="6:67" x14ac:dyDescent="0.25">
      <c r="BH1" s="22"/>
      <c r="BI1" s="22"/>
      <c r="BJ1" s="22"/>
      <c r="BK1" s="22"/>
      <c r="BL1" s="22"/>
      <c r="BM1" s="22"/>
      <c r="BN1" s="22"/>
      <c r="BO1" s="22"/>
    </row>
    <row r="2" spans="6:67" x14ac:dyDescent="0.25">
      <c r="BH2" s="22"/>
      <c r="BI2" s="22"/>
      <c r="BJ2" s="22"/>
      <c r="BK2" s="22"/>
      <c r="BL2" s="22"/>
      <c r="BM2" s="22"/>
      <c r="BN2" s="22"/>
    </row>
    <row r="3" spans="6:67" x14ac:dyDescent="0.25">
      <c r="BH3" s="22"/>
      <c r="BI3" s="22"/>
      <c r="BJ3" s="22"/>
      <c r="BK3" s="22"/>
      <c r="BL3" s="22"/>
      <c r="BM3" s="22"/>
      <c r="BN3" s="22"/>
    </row>
    <row r="4" spans="6:67" s="22" customFormat="1" x14ac:dyDescent="0.25"/>
    <row r="5" spans="6:67" s="22" customFormat="1" x14ac:dyDescent="0.25"/>
    <row r="6" spans="6:67" s="22" customFormat="1" x14ac:dyDescent="0.25">
      <c r="G6" s="25" t="s">
        <v>22</v>
      </c>
      <c r="H6" s="26">
        <v>45778</v>
      </c>
      <c r="I6" s="27">
        <f>(DATEDIF($H$6,$M$6,"D"))+1</f>
        <v>31</v>
      </c>
      <c r="J6" s="25" t="str">
        <f>TEXT(H6,"MMMM")</f>
        <v>May</v>
      </c>
      <c r="K6" s="25"/>
      <c r="L6" s="25" t="s">
        <v>23</v>
      </c>
      <c r="M6" s="26">
        <f>EOMONTH(H6,0)</f>
        <v>45808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6:67" x14ac:dyDescent="0.25"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2"/>
      <c r="BI7" s="22"/>
      <c r="BJ7" s="22"/>
      <c r="BK7" s="22"/>
      <c r="BL7" s="22"/>
      <c r="BM7" s="22"/>
      <c r="BN7" s="22"/>
    </row>
    <row r="8" spans="6:67" x14ac:dyDescent="0.25">
      <c r="F8" s="21"/>
      <c r="G8" s="5"/>
      <c r="H8" s="5" t="s">
        <v>25</v>
      </c>
      <c r="I8" s="5"/>
      <c r="J8" s="5" t="s">
        <v>26</v>
      </c>
      <c r="K8" s="5" t="str">
        <f>TEXT(K9,"DDD")</f>
        <v>Thu</v>
      </c>
      <c r="L8" s="5" t="str">
        <f t="shared" ref="L8:AO8" si="0">TEXT(L9,"DDD")</f>
        <v>Fri</v>
      </c>
      <c r="M8" s="5" t="str">
        <f t="shared" si="0"/>
        <v>Sat</v>
      </c>
      <c r="N8" s="5" t="str">
        <f t="shared" si="0"/>
        <v>Sun</v>
      </c>
      <c r="O8" s="5" t="str">
        <f t="shared" si="0"/>
        <v>Mon</v>
      </c>
      <c r="P8" s="5" t="str">
        <f t="shared" si="0"/>
        <v>Tue</v>
      </c>
      <c r="Q8" s="5" t="str">
        <f t="shared" si="0"/>
        <v>Wed</v>
      </c>
      <c r="R8" s="5" t="str">
        <f t="shared" si="0"/>
        <v>Thu</v>
      </c>
      <c r="S8" s="5" t="str">
        <f t="shared" si="0"/>
        <v>Fri</v>
      </c>
      <c r="T8" s="5" t="str">
        <f t="shared" si="0"/>
        <v>Sat</v>
      </c>
      <c r="U8" s="5" t="str">
        <f t="shared" si="0"/>
        <v>Sun</v>
      </c>
      <c r="V8" s="5" t="str">
        <f t="shared" si="0"/>
        <v>Mon</v>
      </c>
      <c r="W8" s="5" t="str">
        <f t="shared" si="0"/>
        <v>Tue</v>
      </c>
      <c r="X8" s="5" t="str">
        <f t="shared" si="0"/>
        <v>Wed</v>
      </c>
      <c r="Y8" s="5" t="str">
        <f t="shared" si="0"/>
        <v>Thu</v>
      </c>
      <c r="Z8" s="5" t="str">
        <f t="shared" si="0"/>
        <v>Fri</v>
      </c>
      <c r="AA8" s="5" t="str">
        <f t="shared" si="0"/>
        <v>Sat</v>
      </c>
      <c r="AB8" s="5" t="str">
        <f t="shared" si="0"/>
        <v>Sun</v>
      </c>
      <c r="AC8" s="5" t="str">
        <f t="shared" si="0"/>
        <v>Mon</v>
      </c>
      <c r="AD8" s="5" t="str">
        <f t="shared" si="0"/>
        <v>Tue</v>
      </c>
      <c r="AE8" s="5" t="str">
        <f t="shared" si="0"/>
        <v>Wed</v>
      </c>
      <c r="AF8" s="5" t="str">
        <f t="shared" si="0"/>
        <v>Thu</v>
      </c>
      <c r="AG8" s="5" t="str">
        <f t="shared" si="0"/>
        <v>Fri</v>
      </c>
      <c r="AH8" s="5" t="str">
        <f t="shared" si="0"/>
        <v>Sat</v>
      </c>
      <c r="AI8" s="5" t="str">
        <f t="shared" si="0"/>
        <v>Sun</v>
      </c>
      <c r="AJ8" s="5" t="str">
        <f t="shared" si="0"/>
        <v>Mon</v>
      </c>
      <c r="AK8" s="5" t="str">
        <f t="shared" si="0"/>
        <v>Tue</v>
      </c>
      <c r="AL8" s="5" t="str">
        <f t="shared" si="0"/>
        <v>Wed</v>
      </c>
      <c r="AM8" s="5" t="str">
        <f t="shared" si="0"/>
        <v>Thu</v>
      </c>
      <c r="AN8" s="5" t="str">
        <f t="shared" si="0"/>
        <v>Fri</v>
      </c>
      <c r="AO8" s="5" t="str">
        <f t="shared" si="0"/>
        <v>Sat</v>
      </c>
      <c r="AP8" s="21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2"/>
      <c r="BI8" s="22"/>
      <c r="BJ8" s="22"/>
      <c r="BK8" s="22"/>
      <c r="BL8" s="22"/>
      <c r="BM8" s="22"/>
      <c r="BN8" s="22"/>
    </row>
    <row r="9" spans="6:67" ht="16.5" thickBot="1" x14ac:dyDescent="0.3">
      <c r="F9" s="21"/>
      <c r="G9" s="13" t="s">
        <v>0</v>
      </c>
      <c r="H9" s="13" t="s">
        <v>1</v>
      </c>
      <c r="I9" s="13" t="s">
        <v>2</v>
      </c>
      <c r="J9" s="14" t="s">
        <v>21</v>
      </c>
      <c r="K9" s="15">
        <f>H6</f>
        <v>45778</v>
      </c>
      <c r="L9" s="15">
        <f>IF(K9&lt;$M$6,K9+1,"")</f>
        <v>45779</v>
      </c>
      <c r="M9" s="15">
        <f t="shared" ref="M9:AO9" si="1">IF(L9&lt;$M$6,L9+1,"")</f>
        <v>45780</v>
      </c>
      <c r="N9" s="15">
        <f t="shared" si="1"/>
        <v>45781</v>
      </c>
      <c r="O9" s="15">
        <f t="shared" si="1"/>
        <v>45782</v>
      </c>
      <c r="P9" s="15">
        <f t="shared" si="1"/>
        <v>45783</v>
      </c>
      <c r="Q9" s="15">
        <f t="shared" si="1"/>
        <v>45784</v>
      </c>
      <c r="R9" s="15">
        <f t="shared" si="1"/>
        <v>45785</v>
      </c>
      <c r="S9" s="15">
        <f t="shared" si="1"/>
        <v>45786</v>
      </c>
      <c r="T9" s="15">
        <f t="shared" si="1"/>
        <v>45787</v>
      </c>
      <c r="U9" s="15">
        <f t="shared" si="1"/>
        <v>45788</v>
      </c>
      <c r="V9" s="15">
        <f t="shared" si="1"/>
        <v>45789</v>
      </c>
      <c r="W9" s="15">
        <f t="shared" si="1"/>
        <v>45790</v>
      </c>
      <c r="X9" s="15">
        <f t="shared" si="1"/>
        <v>45791</v>
      </c>
      <c r="Y9" s="15">
        <f t="shared" si="1"/>
        <v>45792</v>
      </c>
      <c r="Z9" s="15">
        <f t="shared" si="1"/>
        <v>45793</v>
      </c>
      <c r="AA9" s="15">
        <f t="shared" si="1"/>
        <v>45794</v>
      </c>
      <c r="AB9" s="15">
        <f t="shared" si="1"/>
        <v>45795</v>
      </c>
      <c r="AC9" s="15">
        <f t="shared" si="1"/>
        <v>45796</v>
      </c>
      <c r="AD9" s="15">
        <f t="shared" si="1"/>
        <v>45797</v>
      </c>
      <c r="AE9" s="15">
        <f t="shared" si="1"/>
        <v>45798</v>
      </c>
      <c r="AF9" s="15">
        <f t="shared" si="1"/>
        <v>45799</v>
      </c>
      <c r="AG9" s="15">
        <f t="shared" si="1"/>
        <v>45800</v>
      </c>
      <c r="AH9" s="15">
        <f t="shared" si="1"/>
        <v>45801</v>
      </c>
      <c r="AI9" s="15">
        <f t="shared" si="1"/>
        <v>45802</v>
      </c>
      <c r="AJ9" s="15">
        <f t="shared" si="1"/>
        <v>45803</v>
      </c>
      <c r="AK9" s="15">
        <f t="shared" si="1"/>
        <v>45804</v>
      </c>
      <c r="AL9" s="15">
        <f t="shared" si="1"/>
        <v>45805</v>
      </c>
      <c r="AM9" s="15">
        <f t="shared" si="1"/>
        <v>45806</v>
      </c>
      <c r="AN9" s="15">
        <f t="shared" si="1"/>
        <v>45807</v>
      </c>
      <c r="AO9" s="15">
        <f t="shared" si="1"/>
        <v>45808</v>
      </c>
      <c r="AP9" s="21"/>
      <c r="AQ9" s="24"/>
      <c r="AR9" s="18" t="s">
        <v>0</v>
      </c>
      <c r="AS9" s="18" t="s">
        <v>1</v>
      </c>
      <c r="AT9" s="18" t="s">
        <v>37</v>
      </c>
      <c r="AU9" s="18" t="s">
        <v>2</v>
      </c>
      <c r="AV9" s="18" t="s">
        <v>27</v>
      </c>
      <c r="AW9" s="18" t="s">
        <v>28</v>
      </c>
      <c r="AX9" s="18" t="s">
        <v>29</v>
      </c>
      <c r="AY9" s="18" t="s">
        <v>30</v>
      </c>
      <c r="AZ9" s="18" t="s">
        <v>26</v>
      </c>
      <c r="BA9" s="18" t="s">
        <v>31</v>
      </c>
      <c r="BB9" s="18" t="s">
        <v>32</v>
      </c>
      <c r="BC9" s="18" t="s">
        <v>33</v>
      </c>
      <c r="BD9" s="18" t="s">
        <v>34</v>
      </c>
      <c r="BE9" s="18" t="s">
        <v>35</v>
      </c>
      <c r="BF9" s="18" t="s">
        <v>36</v>
      </c>
      <c r="BG9" s="24"/>
      <c r="BH9" s="22"/>
      <c r="BI9" s="22"/>
      <c r="BJ9" s="22"/>
      <c r="BK9" s="22"/>
      <c r="BL9" s="22"/>
      <c r="BM9" s="22"/>
      <c r="BN9" s="22"/>
    </row>
    <row r="10" spans="6:67" x14ac:dyDescent="0.25">
      <c r="F10" s="21"/>
      <c r="G10" s="6">
        <v>1</v>
      </c>
      <c r="H10" s="7" t="s">
        <v>3</v>
      </c>
      <c r="I10" s="7">
        <v>1001</v>
      </c>
      <c r="J10" s="46">
        <f>COUNTIF($J$8:$AO$8,"SUN")</f>
        <v>4</v>
      </c>
      <c r="K10" s="56" t="s">
        <v>38</v>
      </c>
      <c r="L10" s="51" t="s">
        <v>39</v>
      </c>
      <c r="M10" s="51" t="s">
        <v>38</v>
      </c>
      <c r="N10" s="46" t="str">
        <f>IF(N$8="SUN","WO","")</f>
        <v>WO</v>
      </c>
      <c r="O10" s="51" t="s">
        <v>38</v>
      </c>
      <c r="P10" s="51" t="s">
        <v>38</v>
      </c>
      <c r="Q10" s="51" t="s">
        <v>38</v>
      </c>
      <c r="R10" s="51" t="s">
        <v>38</v>
      </c>
      <c r="S10" s="52" t="s">
        <v>38</v>
      </c>
      <c r="T10" s="52" t="s">
        <v>40</v>
      </c>
      <c r="U10" s="46" t="str">
        <f>IF(U$8="SUN","WO","")</f>
        <v>WO</v>
      </c>
      <c r="V10" s="52" t="s">
        <v>38</v>
      </c>
      <c r="W10" s="51" t="s">
        <v>38</v>
      </c>
      <c r="X10" s="51" t="s">
        <v>38</v>
      </c>
      <c r="Y10" s="51" t="s">
        <v>38</v>
      </c>
      <c r="Z10" s="51" t="s">
        <v>38</v>
      </c>
      <c r="AA10" s="51" t="s">
        <v>39</v>
      </c>
      <c r="AB10" s="46" t="str">
        <f>IF(AB$8="SUN","WO","")</f>
        <v>WO</v>
      </c>
      <c r="AC10" s="51" t="s">
        <v>38</v>
      </c>
      <c r="AD10" s="51" t="s">
        <v>38</v>
      </c>
      <c r="AE10" s="51" t="s">
        <v>39</v>
      </c>
      <c r="AF10" s="51" t="s">
        <v>38</v>
      </c>
      <c r="AG10" s="51" t="s">
        <v>38</v>
      </c>
      <c r="AH10" s="51" t="s">
        <v>38</v>
      </c>
      <c r="AI10" s="46" t="str">
        <f>IF(AI$8="SUN","WO","")</f>
        <v>WO</v>
      </c>
      <c r="AJ10" s="51" t="s">
        <v>38</v>
      </c>
      <c r="AK10" s="51" t="s">
        <v>38</v>
      </c>
      <c r="AL10" s="51" t="s">
        <v>39</v>
      </c>
      <c r="AM10" s="51" t="s">
        <v>38</v>
      </c>
      <c r="AN10" s="51" t="s">
        <v>38</v>
      </c>
      <c r="AO10" s="53" t="s">
        <v>38</v>
      </c>
      <c r="AP10" s="21"/>
      <c r="AQ10" s="24"/>
      <c r="AR10" s="10">
        <v>1</v>
      </c>
      <c r="AS10" s="9" t="s">
        <v>3</v>
      </c>
      <c r="AT10" s="9" t="str">
        <f t="shared" ref="AT10:AT29" si="2">$J$6</f>
        <v>May</v>
      </c>
      <c r="AU10" s="9">
        <v>1001</v>
      </c>
      <c r="AV10" s="9">
        <f t="shared" ref="AV10:AV29" si="3">COUNTIF($K10:$AO10,"P")</f>
        <v>22</v>
      </c>
      <c r="AW10" s="9">
        <f t="shared" ref="AW10:AW29" si="4">COUNTIF($K10:$AO10,"A")</f>
        <v>4</v>
      </c>
      <c r="AX10" s="9">
        <f t="shared" ref="AX10:AX29" si="5">COUNTIF($K10:$AO10,"L")</f>
        <v>1</v>
      </c>
      <c r="AY10" s="16">
        <f t="shared" ref="AY10:AY29" si="6">$J$10</f>
        <v>4</v>
      </c>
      <c r="AZ10" s="16">
        <f t="shared" ref="AZ10:AZ29" si="7">$I$6</f>
        <v>31</v>
      </c>
      <c r="BA10" s="16">
        <f>MayReport[[#This Row],[Days]]-MayReport[[#This Row],[Absent]]</f>
        <v>27</v>
      </c>
      <c r="BB10" s="19">
        <v>10000</v>
      </c>
      <c r="BC10" s="20">
        <f>MayReport[[#This Row],[Salary ]]/MayReport[[#This Row],[Days]]</f>
        <v>322.58064516129031</v>
      </c>
      <c r="BD10" s="20">
        <f>MayReport[[#This Row],[Per Day Salary ]]*MayReport[[#This Row],[Absent]]</f>
        <v>1290.3225806451612</v>
      </c>
      <c r="BE10" s="20">
        <f>MayReport[[#This Row],[Salary ]]-MayReport[[#This Row],[Deduction]]</f>
        <v>8709.677419354839</v>
      </c>
      <c r="BF10" s="20"/>
      <c r="BG10" s="24"/>
      <c r="BH10" s="22"/>
      <c r="BI10" s="22"/>
      <c r="BJ10" s="22"/>
      <c r="BK10" s="22"/>
      <c r="BL10" s="22"/>
      <c r="BM10" s="22"/>
      <c r="BN10" s="22"/>
    </row>
    <row r="11" spans="6:67" x14ac:dyDescent="0.25">
      <c r="F11" s="21"/>
      <c r="G11" s="8">
        <v>2</v>
      </c>
      <c r="H11" s="9" t="s">
        <v>4</v>
      </c>
      <c r="I11" s="10">
        <v>1002</v>
      </c>
      <c r="J11" s="47">
        <f t="shared" ref="J11:J29" si="8">COUNTIF($J$8:$AO$8,"SUN")</f>
        <v>4</v>
      </c>
      <c r="K11" s="10" t="s">
        <v>38</v>
      </c>
      <c r="L11" s="10" t="s">
        <v>38</v>
      </c>
      <c r="M11" s="10" t="s">
        <v>38</v>
      </c>
      <c r="N11" s="47" t="str">
        <f t="shared" ref="N11:N29" si="9">IF(N$8="SUN","WO","")</f>
        <v>WO</v>
      </c>
      <c r="O11" s="10" t="s">
        <v>40</v>
      </c>
      <c r="P11" s="10" t="s">
        <v>38</v>
      </c>
      <c r="Q11" s="10" t="s">
        <v>38</v>
      </c>
      <c r="R11" s="16" t="s">
        <v>38</v>
      </c>
      <c r="S11" s="16" t="s">
        <v>38</v>
      </c>
      <c r="T11" s="16" t="s">
        <v>38</v>
      </c>
      <c r="U11" s="47" t="str">
        <f t="shared" ref="U11:U29" si="10">IF(U$8="SUN","WO","")</f>
        <v>WO</v>
      </c>
      <c r="V11" s="16" t="s">
        <v>39</v>
      </c>
      <c r="W11" s="10" t="s">
        <v>38</v>
      </c>
      <c r="X11" s="10" t="s">
        <v>38</v>
      </c>
      <c r="Y11" s="10" t="s">
        <v>38</v>
      </c>
      <c r="Z11" s="10" t="s">
        <v>38</v>
      </c>
      <c r="AA11" s="16" t="s">
        <v>38</v>
      </c>
      <c r="AB11" s="47" t="str">
        <f t="shared" ref="AB11:AB29" si="11">IF(AB$8="SUN","WO","")</f>
        <v>WO</v>
      </c>
      <c r="AC11" s="10" t="s">
        <v>38</v>
      </c>
      <c r="AD11" s="10" t="s">
        <v>38</v>
      </c>
      <c r="AE11" s="10" t="s">
        <v>38</v>
      </c>
      <c r="AF11" s="10" t="s">
        <v>38</v>
      </c>
      <c r="AG11" s="10" t="s">
        <v>39</v>
      </c>
      <c r="AH11" s="10" t="s">
        <v>38</v>
      </c>
      <c r="AI11" s="47" t="str">
        <f t="shared" ref="AI11:AI29" si="12">IF(AI$8="SUN","WO","")</f>
        <v>WO</v>
      </c>
      <c r="AJ11" s="10" t="s">
        <v>38</v>
      </c>
      <c r="AK11" s="10" t="s">
        <v>38</v>
      </c>
      <c r="AL11" s="10" t="s">
        <v>38</v>
      </c>
      <c r="AM11" s="10" t="s">
        <v>38</v>
      </c>
      <c r="AN11" s="10" t="s">
        <v>39</v>
      </c>
      <c r="AO11" s="64" t="s">
        <v>38</v>
      </c>
      <c r="AP11" s="21"/>
      <c r="AQ11" s="24"/>
      <c r="AR11" s="10">
        <v>2</v>
      </c>
      <c r="AS11" s="9" t="s">
        <v>4</v>
      </c>
      <c r="AT11" s="9" t="str">
        <f t="shared" si="2"/>
        <v>May</v>
      </c>
      <c r="AU11" s="9">
        <v>1002</v>
      </c>
      <c r="AV11" s="9">
        <f t="shared" si="3"/>
        <v>23</v>
      </c>
      <c r="AW11" s="16">
        <f t="shared" si="4"/>
        <v>3</v>
      </c>
      <c r="AX11" s="16">
        <f t="shared" si="5"/>
        <v>1</v>
      </c>
      <c r="AY11" s="16">
        <f t="shared" si="6"/>
        <v>4</v>
      </c>
      <c r="AZ11" s="16">
        <f t="shared" si="7"/>
        <v>31</v>
      </c>
      <c r="BA11" s="16">
        <f>MayReport[[#This Row],[Days]]-MayReport[[#This Row],[Absent]]</f>
        <v>28</v>
      </c>
      <c r="BB11" s="19">
        <v>20000</v>
      </c>
      <c r="BC11" s="20">
        <f>MayReport[[#This Row],[Salary ]]/MayReport[[#This Row],[Days]]</f>
        <v>645.16129032258061</v>
      </c>
      <c r="BD11" s="20">
        <f>MayReport[[#This Row],[Per Day Salary ]]*MayReport[[#This Row],[Absent]]</f>
        <v>1935.483870967742</v>
      </c>
      <c r="BE11" s="20">
        <f>MayReport[[#This Row],[Salary ]]-MayReport[[#This Row],[Deduction]]</f>
        <v>18064.516129032258</v>
      </c>
      <c r="BF11" s="20"/>
      <c r="BG11" s="24"/>
      <c r="BH11" s="22"/>
      <c r="BI11" s="22"/>
      <c r="BJ11" s="22"/>
      <c r="BK11" s="22"/>
      <c r="BL11" s="22"/>
      <c r="BM11" s="22"/>
      <c r="BN11" s="22"/>
    </row>
    <row r="12" spans="6:67" x14ac:dyDescent="0.25">
      <c r="F12" s="21"/>
      <c r="G12" s="8">
        <v>3</v>
      </c>
      <c r="H12" s="10" t="s">
        <v>5</v>
      </c>
      <c r="I12" s="10">
        <v>1003</v>
      </c>
      <c r="J12" s="47">
        <f t="shared" si="8"/>
        <v>4</v>
      </c>
      <c r="K12" s="10" t="s">
        <v>38</v>
      </c>
      <c r="L12" s="10" t="s">
        <v>38</v>
      </c>
      <c r="M12" s="10" t="s">
        <v>39</v>
      </c>
      <c r="N12" s="47" t="str">
        <f t="shared" si="9"/>
        <v>WO</v>
      </c>
      <c r="O12" s="10" t="s">
        <v>38</v>
      </c>
      <c r="P12" s="10" t="s">
        <v>38</v>
      </c>
      <c r="Q12" s="10" t="s">
        <v>38</v>
      </c>
      <c r="R12" s="16" t="s">
        <v>38</v>
      </c>
      <c r="S12" s="16" t="s">
        <v>39</v>
      </c>
      <c r="T12" s="16" t="s">
        <v>38</v>
      </c>
      <c r="U12" s="47" t="str">
        <f t="shared" si="10"/>
        <v>WO</v>
      </c>
      <c r="V12" s="16" t="s">
        <v>38</v>
      </c>
      <c r="W12" s="10" t="s">
        <v>38</v>
      </c>
      <c r="X12" s="10" t="s">
        <v>40</v>
      </c>
      <c r="Y12" s="10" t="s">
        <v>38</v>
      </c>
      <c r="Z12" s="10" t="s">
        <v>38</v>
      </c>
      <c r="AA12" s="16" t="s">
        <v>38</v>
      </c>
      <c r="AB12" s="47" t="str">
        <f t="shared" si="11"/>
        <v>WO</v>
      </c>
      <c r="AC12" s="10" t="s">
        <v>38</v>
      </c>
      <c r="AD12" s="10" t="s">
        <v>40</v>
      </c>
      <c r="AE12" s="10" t="s">
        <v>38</v>
      </c>
      <c r="AF12" s="10" t="s">
        <v>38</v>
      </c>
      <c r="AG12" s="10" t="s">
        <v>38</v>
      </c>
      <c r="AH12" s="10" t="s">
        <v>38</v>
      </c>
      <c r="AI12" s="47" t="str">
        <f t="shared" si="12"/>
        <v>WO</v>
      </c>
      <c r="AJ12" s="10" t="s">
        <v>38</v>
      </c>
      <c r="AK12" s="10" t="s">
        <v>40</v>
      </c>
      <c r="AL12" s="10" t="s">
        <v>38</v>
      </c>
      <c r="AM12" s="10" t="s">
        <v>38</v>
      </c>
      <c r="AN12" s="10" t="s">
        <v>38</v>
      </c>
      <c r="AO12" s="64" t="s">
        <v>38</v>
      </c>
      <c r="AP12" s="21"/>
      <c r="AQ12" s="24"/>
      <c r="AR12" s="10">
        <v>3</v>
      </c>
      <c r="AS12" s="10" t="s">
        <v>5</v>
      </c>
      <c r="AT12" s="10" t="str">
        <f t="shared" si="2"/>
        <v>May</v>
      </c>
      <c r="AU12" s="10">
        <v>1003</v>
      </c>
      <c r="AV12" s="9">
        <f t="shared" si="3"/>
        <v>22</v>
      </c>
      <c r="AW12" s="16">
        <f t="shared" si="4"/>
        <v>2</v>
      </c>
      <c r="AX12" s="16">
        <f t="shared" si="5"/>
        <v>3</v>
      </c>
      <c r="AY12" s="16">
        <f t="shared" si="6"/>
        <v>4</v>
      </c>
      <c r="AZ12" s="16">
        <f t="shared" si="7"/>
        <v>31</v>
      </c>
      <c r="BA12" s="16">
        <f>MayReport[[#This Row],[Days]]-MayReport[[#This Row],[Absent]]</f>
        <v>29</v>
      </c>
      <c r="BB12" s="19">
        <v>30000</v>
      </c>
      <c r="BC12" s="20">
        <f>MayReport[[#This Row],[Salary ]]/MayReport[[#This Row],[Days]]</f>
        <v>967.74193548387098</v>
      </c>
      <c r="BD12" s="20">
        <f>MayReport[[#This Row],[Per Day Salary ]]*MayReport[[#This Row],[Absent]]</f>
        <v>1935.483870967742</v>
      </c>
      <c r="BE12" s="20">
        <f>MayReport[[#This Row],[Salary ]]-MayReport[[#This Row],[Deduction]]</f>
        <v>28064.516129032258</v>
      </c>
      <c r="BF12" s="20"/>
      <c r="BG12" s="24"/>
      <c r="BH12" s="22"/>
      <c r="BI12" s="22"/>
      <c r="BJ12" s="22"/>
      <c r="BK12" s="22"/>
      <c r="BL12" s="22"/>
      <c r="BM12" s="22"/>
      <c r="BN12" s="22"/>
    </row>
    <row r="13" spans="6:67" x14ac:dyDescent="0.25">
      <c r="F13" s="21"/>
      <c r="G13" s="8">
        <v>4</v>
      </c>
      <c r="H13" s="10" t="s">
        <v>6</v>
      </c>
      <c r="I13" s="10">
        <v>1004</v>
      </c>
      <c r="J13" s="47">
        <f t="shared" si="8"/>
        <v>4</v>
      </c>
      <c r="K13" s="10" t="s">
        <v>38</v>
      </c>
      <c r="L13" s="10" t="s">
        <v>38</v>
      </c>
      <c r="M13" s="10" t="s">
        <v>38</v>
      </c>
      <c r="N13" s="47" t="str">
        <f t="shared" si="9"/>
        <v>WO</v>
      </c>
      <c r="O13" s="10" t="s">
        <v>38</v>
      </c>
      <c r="P13" s="10" t="s">
        <v>38</v>
      </c>
      <c r="Q13" s="10" t="s">
        <v>38</v>
      </c>
      <c r="R13" s="16" t="s">
        <v>38</v>
      </c>
      <c r="S13" s="16" t="s">
        <v>38</v>
      </c>
      <c r="T13" s="16" t="s">
        <v>38</v>
      </c>
      <c r="U13" s="47" t="str">
        <f t="shared" si="10"/>
        <v>WO</v>
      </c>
      <c r="V13" s="16" t="s">
        <v>38</v>
      </c>
      <c r="W13" s="10" t="s">
        <v>38</v>
      </c>
      <c r="X13" s="10" t="s">
        <v>38</v>
      </c>
      <c r="Y13" s="10" t="s">
        <v>38</v>
      </c>
      <c r="Z13" s="10" t="s">
        <v>38</v>
      </c>
      <c r="AA13" s="16" t="s">
        <v>38</v>
      </c>
      <c r="AB13" s="47" t="str">
        <f t="shared" si="11"/>
        <v>WO</v>
      </c>
      <c r="AC13" s="10" t="s">
        <v>38</v>
      </c>
      <c r="AD13" s="10" t="s">
        <v>38</v>
      </c>
      <c r="AE13" s="10" t="s">
        <v>38</v>
      </c>
      <c r="AF13" s="10" t="s">
        <v>38</v>
      </c>
      <c r="AG13" s="10" t="s">
        <v>38</v>
      </c>
      <c r="AH13" s="10" t="s">
        <v>38</v>
      </c>
      <c r="AI13" s="47" t="str">
        <f t="shared" si="12"/>
        <v>WO</v>
      </c>
      <c r="AJ13" s="10" t="s">
        <v>38</v>
      </c>
      <c r="AK13" s="10" t="s">
        <v>38</v>
      </c>
      <c r="AL13" s="10" t="s">
        <v>38</v>
      </c>
      <c r="AM13" s="10" t="s">
        <v>38</v>
      </c>
      <c r="AN13" s="10" t="s">
        <v>38</v>
      </c>
      <c r="AO13" s="64" t="s">
        <v>38</v>
      </c>
      <c r="AP13" s="21"/>
      <c r="AQ13" s="24"/>
      <c r="AR13" s="10">
        <v>4</v>
      </c>
      <c r="AS13" s="10" t="s">
        <v>6</v>
      </c>
      <c r="AT13" s="10" t="str">
        <f t="shared" si="2"/>
        <v>May</v>
      </c>
      <c r="AU13" s="10">
        <v>1004</v>
      </c>
      <c r="AV13" s="9">
        <f t="shared" si="3"/>
        <v>27</v>
      </c>
      <c r="AW13" s="16">
        <f t="shared" si="4"/>
        <v>0</v>
      </c>
      <c r="AX13" s="16">
        <f t="shared" si="5"/>
        <v>0</v>
      </c>
      <c r="AY13" s="16">
        <f t="shared" si="6"/>
        <v>4</v>
      </c>
      <c r="AZ13" s="16">
        <f t="shared" si="7"/>
        <v>31</v>
      </c>
      <c r="BA13" s="16">
        <f>MayReport[[#This Row],[Days]]-MayReport[[#This Row],[Absent]]</f>
        <v>31</v>
      </c>
      <c r="BB13" s="19">
        <v>45000</v>
      </c>
      <c r="BC13" s="20">
        <f>MayReport[[#This Row],[Salary ]]/MayReport[[#This Row],[Days]]</f>
        <v>1451.6129032258063</v>
      </c>
      <c r="BD13" s="20">
        <f>MayReport[[#This Row],[Per Day Salary ]]*MayReport[[#This Row],[Absent]]</f>
        <v>0</v>
      </c>
      <c r="BE13" s="20">
        <f>MayReport[[#This Row],[Salary ]]-MayReport[[#This Row],[Deduction]]</f>
        <v>45000</v>
      </c>
      <c r="BF13" s="20"/>
      <c r="BG13" s="24"/>
      <c r="BH13" s="22"/>
      <c r="BI13" s="22"/>
      <c r="BJ13" s="22"/>
      <c r="BK13" s="22"/>
      <c r="BL13" s="22"/>
      <c r="BM13" s="22"/>
      <c r="BN13" s="22"/>
    </row>
    <row r="14" spans="6:67" x14ac:dyDescent="0.25">
      <c r="F14" s="21"/>
      <c r="G14" s="8">
        <v>5</v>
      </c>
      <c r="H14" s="10" t="s">
        <v>7</v>
      </c>
      <c r="I14" s="10">
        <v>1005</v>
      </c>
      <c r="J14" s="47">
        <f t="shared" si="8"/>
        <v>4</v>
      </c>
      <c r="K14" s="10" t="s">
        <v>39</v>
      </c>
      <c r="L14" s="10" t="s">
        <v>38</v>
      </c>
      <c r="M14" s="10" t="s">
        <v>38</v>
      </c>
      <c r="N14" s="47" t="str">
        <f t="shared" si="9"/>
        <v>WO</v>
      </c>
      <c r="O14" s="10" t="s">
        <v>38</v>
      </c>
      <c r="P14" s="10" t="s">
        <v>38</v>
      </c>
      <c r="Q14" s="10" t="s">
        <v>38</v>
      </c>
      <c r="R14" s="16" t="s">
        <v>38</v>
      </c>
      <c r="S14" s="16" t="s">
        <v>38</v>
      </c>
      <c r="T14" s="16" t="s">
        <v>38</v>
      </c>
      <c r="U14" s="47" t="str">
        <f t="shared" si="10"/>
        <v>WO</v>
      </c>
      <c r="V14" s="16" t="s">
        <v>38</v>
      </c>
      <c r="W14" s="10" t="s">
        <v>38</v>
      </c>
      <c r="X14" s="10" t="s">
        <v>38</v>
      </c>
      <c r="Y14" s="10" t="s">
        <v>38</v>
      </c>
      <c r="Z14" s="10" t="s">
        <v>39</v>
      </c>
      <c r="AA14" s="16" t="s">
        <v>38</v>
      </c>
      <c r="AB14" s="47" t="str">
        <f t="shared" si="11"/>
        <v>WO</v>
      </c>
      <c r="AC14" s="10" t="s">
        <v>38</v>
      </c>
      <c r="AD14" s="10" t="s">
        <v>40</v>
      </c>
      <c r="AE14" s="10" t="s">
        <v>38</v>
      </c>
      <c r="AF14" s="10" t="s">
        <v>38</v>
      </c>
      <c r="AG14" s="10" t="s">
        <v>38</v>
      </c>
      <c r="AH14" s="10" t="s">
        <v>38</v>
      </c>
      <c r="AI14" s="47" t="str">
        <f t="shared" si="12"/>
        <v>WO</v>
      </c>
      <c r="AJ14" s="10" t="s">
        <v>38</v>
      </c>
      <c r="AK14" s="10" t="s">
        <v>40</v>
      </c>
      <c r="AL14" s="10" t="s">
        <v>38</v>
      </c>
      <c r="AM14" s="10" t="s">
        <v>38</v>
      </c>
      <c r="AN14" s="10" t="s">
        <v>38</v>
      </c>
      <c r="AO14" s="64" t="s">
        <v>38</v>
      </c>
      <c r="AP14" s="21"/>
      <c r="AQ14" s="24"/>
      <c r="AR14" s="10">
        <v>5</v>
      </c>
      <c r="AS14" s="10" t="s">
        <v>7</v>
      </c>
      <c r="AT14" s="10" t="str">
        <f t="shared" si="2"/>
        <v>May</v>
      </c>
      <c r="AU14" s="10">
        <v>1005</v>
      </c>
      <c r="AV14" s="9">
        <f t="shared" si="3"/>
        <v>23</v>
      </c>
      <c r="AW14" s="16">
        <f t="shared" si="4"/>
        <v>2</v>
      </c>
      <c r="AX14" s="16">
        <f t="shared" si="5"/>
        <v>2</v>
      </c>
      <c r="AY14" s="16">
        <f t="shared" si="6"/>
        <v>4</v>
      </c>
      <c r="AZ14" s="16">
        <f t="shared" si="7"/>
        <v>31</v>
      </c>
      <c r="BA14" s="16">
        <f>MayReport[[#This Row],[Days]]-MayReport[[#This Row],[Absent]]</f>
        <v>29</v>
      </c>
      <c r="BB14" s="19">
        <v>62000</v>
      </c>
      <c r="BC14" s="20">
        <f>MayReport[[#This Row],[Salary ]]/MayReport[[#This Row],[Days]]</f>
        <v>2000</v>
      </c>
      <c r="BD14" s="20">
        <f>MayReport[[#This Row],[Per Day Salary ]]*MayReport[[#This Row],[Absent]]</f>
        <v>4000</v>
      </c>
      <c r="BE14" s="20">
        <f>MayReport[[#This Row],[Salary ]]-MayReport[[#This Row],[Deduction]]</f>
        <v>58000</v>
      </c>
      <c r="BF14" s="20"/>
      <c r="BG14" s="24"/>
      <c r="BH14" s="22"/>
      <c r="BI14" s="22"/>
      <c r="BJ14" s="22"/>
      <c r="BK14" s="22"/>
      <c r="BL14" s="22"/>
      <c r="BM14" s="22"/>
      <c r="BN14" s="22"/>
    </row>
    <row r="15" spans="6:67" x14ac:dyDescent="0.25">
      <c r="F15" s="21"/>
      <c r="G15" s="8">
        <v>6</v>
      </c>
      <c r="H15" s="10" t="s">
        <v>8</v>
      </c>
      <c r="I15" s="10">
        <v>1006</v>
      </c>
      <c r="J15" s="47">
        <f t="shared" si="8"/>
        <v>4</v>
      </c>
      <c r="K15" s="10" t="s">
        <v>38</v>
      </c>
      <c r="L15" s="10" t="s">
        <v>38</v>
      </c>
      <c r="M15" s="10" t="s">
        <v>38</v>
      </c>
      <c r="N15" s="47" t="str">
        <f t="shared" si="9"/>
        <v>WO</v>
      </c>
      <c r="O15" s="10" t="s">
        <v>38</v>
      </c>
      <c r="P15" s="10" t="s">
        <v>38</v>
      </c>
      <c r="Q15" s="10" t="s">
        <v>38</v>
      </c>
      <c r="R15" s="16" t="s">
        <v>38</v>
      </c>
      <c r="S15" s="16" t="s">
        <v>38</v>
      </c>
      <c r="T15" s="16" t="s">
        <v>38</v>
      </c>
      <c r="U15" s="47" t="str">
        <f t="shared" si="10"/>
        <v>WO</v>
      </c>
      <c r="V15" s="16" t="s">
        <v>38</v>
      </c>
      <c r="W15" s="10" t="s">
        <v>38</v>
      </c>
      <c r="X15" s="10" t="s">
        <v>38</v>
      </c>
      <c r="Y15" s="10" t="s">
        <v>38</v>
      </c>
      <c r="Z15" s="10" t="s">
        <v>38</v>
      </c>
      <c r="AA15" s="16" t="s">
        <v>38</v>
      </c>
      <c r="AB15" s="47" t="str">
        <f t="shared" si="11"/>
        <v>WO</v>
      </c>
      <c r="AC15" s="10" t="s">
        <v>38</v>
      </c>
      <c r="AD15" s="10" t="s">
        <v>38</v>
      </c>
      <c r="AE15" s="10" t="s">
        <v>38</v>
      </c>
      <c r="AF15" s="10" t="s">
        <v>38</v>
      </c>
      <c r="AG15" s="10" t="s">
        <v>38</v>
      </c>
      <c r="AH15" s="10" t="s">
        <v>39</v>
      </c>
      <c r="AI15" s="47" t="str">
        <f t="shared" si="12"/>
        <v>WO</v>
      </c>
      <c r="AJ15" s="10" t="s">
        <v>38</v>
      </c>
      <c r="AK15" s="10" t="s">
        <v>38</v>
      </c>
      <c r="AL15" s="10" t="s">
        <v>38</v>
      </c>
      <c r="AM15" s="10" t="s">
        <v>38</v>
      </c>
      <c r="AN15" s="10" t="s">
        <v>38</v>
      </c>
      <c r="AO15" s="64" t="s">
        <v>39</v>
      </c>
      <c r="AP15" s="21"/>
      <c r="AQ15" s="24"/>
      <c r="AR15" s="10">
        <v>6</v>
      </c>
      <c r="AS15" s="10" t="s">
        <v>8</v>
      </c>
      <c r="AT15" s="10" t="str">
        <f t="shared" si="2"/>
        <v>May</v>
      </c>
      <c r="AU15" s="10">
        <v>1006</v>
      </c>
      <c r="AV15" s="9">
        <f t="shared" si="3"/>
        <v>25</v>
      </c>
      <c r="AW15" s="16">
        <f t="shared" si="4"/>
        <v>2</v>
      </c>
      <c r="AX15" s="16">
        <f t="shared" si="5"/>
        <v>0</v>
      </c>
      <c r="AY15" s="16">
        <f t="shared" si="6"/>
        <v>4</v>
      </c>
      <c r="AZ15" s="16">
        <f t="shared" si="7"/>
        <v>31</v>
      </c>
      <c r="BA15" s="16">
        <f>MayReport[[#This Row],[Days]]-MayReport[[#This Row],[Absent]]</f>
        <v>29</v>
      </c>
      <c r="BB15" s="19">
        <v>13000</v>
      </c>
      <c r="BC15" s="20">
        <f>MayReport[[#This Row],[Salary ]]/MayReport[[#This Row],[Days]]</f>
        <v>419.35483870967744</v>
      </c>
      <c r="BD15" s="20">
        <f>MayReport[[#This Row],[Per Day Salary ]]*MayReport[[#This Row],[Absent]]</f>
        <v>838.70967741935488</v>
      </c>
      <c r="BE15" s="20">
        <f>MayReport[[#This Row],[Salary ]]-MayReport[[#This Row],[Deduction]]</f>
        <v>12161.290322580646</v>
      </c>
      <c r="BF15" s="20"/>
      <c r="BG15" s="24"/>
      <c r="BH15" s="22"/>
      <c r="BI15" s="22"/>
      <c r="BJ15" s="22"/>
      <c r="BK15" s="22"/>
      <c r="BL15" s="22"/>
      <c r="BM15" s="22"/>
      <c r="BN15" s="22"/>
    </row>
    <row r="16" spans="6:67" x14ac:dyDescent="0.25">
      <c r="F16" s="21"/>
      <c r="G16" s="8">
        <v>7</v>
      </c>
      <c r="H16" s="10" t="s">
        <v>9</v>
      </c>
      <c r="I16" s="10">
        <v>1007</v>
      </c>
      <c r="J16" s="47">
        <f t="shared" si="8"/>
        <v>4</v>
      </c>
      <c r="K16" s="10" t="s">
        <v>38</v>
      </c>
      <c r="L16" s="10" t="s">
        <v>38</v>
      </c>
      <c r="M16" s="10" t="s">
        <v>39</v>
      </c>
      <c r="N16" s="47" t="str">
        <f t="shared" si="9"/>
        <v>WO</v>
      </c>
      <c r="O16" s="10" t="s">
        <v>38</v>
      </c>
      <c r="P16" s="10" t="s">
        <v>38</v>
      </c>
      <c r="Q16" s="10" t="s">
        <v>38</v>
      </c>
      <c r="R16" s="16" t="s">
        <v>40</v>
      </c>
      <c r="S16" s="16" t="s">
        <v>38</v>
      </c>
      <c r="T16" s="16" t="s">
        <v>38</v>
      </c>
      <c r="U16" s="47" t="str">
        <f t="shared" si="10"/>
        <v>WO</v>
      </c>
      <c r="V16" s="16" t="s">
        <v>38</v>
      </c>
      <c r="W16" s="10" t="s">
        <v>39</v>
      </c>
      <c r="X16" s="10" t="s">
        <v>38</v>
      </c>
      <c r="Y16" s="10" t="s">
        <v>38</v>
      </c>
      <c r="Z16" s="10" t="s">
        <v>38</v>
      </c>
      <c r="AA16" s="16" t="s">
        <v>38</v>
      </c>
      <c r="AB16" s="47" t="str">
        <f t="shared" si="11"/>
        <v>WO</v>
      </c>
      <c r="AC16" s="10" t="s">
        <v>38</v>
      </c>
      <c r="AD16" s="10" t="s">
        <v>39</v>
      </c>
      <c r="AE16" s="10" t="s">
        <v>38</v>
      </c>
      <c r="AF16" s="10" t="s">
        <v>38</v>
      </c>
      <c r="AG16" s="10" t="s">
        <v>38</v>
      </c>
      <c r="AH16" s="10" t="s">
        <v>38</v>
      </c>
      <c r="AI16" s="47" t="str">
        <f t="shared" si="12"/>
        <v>WO</v>
      </c>
      <c r="AJ16" s="10" t="s">
        <v>38</v>
      </c>
      <c r="AK16" s="10" t="s">
        <v>39</v>
      </c>
      <c r="AL16" s="10" t="s">
        <v>38</v>
      </c>
      <c r="AM16" s="10" t="s">
        <v>38</v>
      </c>
      <c r="AN16" s="10" t="s">
        <v>38</v>
      </c>
      <c r="AO16" s="64" t="s">
        <v>38</v>
      </c>
      <c r="AP16" s="21"/>
      <c r="AQ16" s="24"/>
      <c r="AR16" s="10">
        <v>7</v>
      </c>
      <c r="AS16" s="10" t="s">
        <v>9</v>
      </c>
      <c r="AT16" s="10" t="str">
        <f t="shared" si="2"/>
        <v>May</v>
      </c>
      <c r="AU16" s="10">
        <v>1007</v>
      </c>
      <c r="AV16" s="9">
        <f t="shared" si="3"/>
        <v>22</v>
      </c>
      <c r="AW16" s="16">
        <f t="shared" si="4"/>
        <v>4</v>
      </c>
      <c r="AX16" s="16">
        <f t="shared" si="5"/>
        <v>1</v>
      </c>
      <c r="AY16" s="16">
        <f t="shared" si="6"/>
        <v>4</v>
      </c>
      <c r="AZ16" s="16">
        <f t="shared" si="7"/>
        <v>31</v>
      </c>
      <c r="BA16" s="16">
        <f>MayReport[[#This Row],[Days]]-MayReport[[#This Row],[Absent]]</f>
        <v>27</v>
      </c>
      <c r="BB16" s="19">
        <v>48000</v>
      </c>
      <c r="BC16" s="20">
        <f>MayReport[[#This Row],[Salary ]]/MayReport[[#This Row],[Days]]</f>
        <v>1548.3870967741937</v>
      </c>
      <c r="BD16" s="20">
        <f>MayReport[[#This Row],[Per Day Salary ]]*MayReport[[#This Row],[Absent]]</f>
        <v>6193.5483870967746</v>
      </c>
      <c r="BE16" s="20">
        <f>MayReport[[#This Row],[Salary ]]-MayReport[[#This Row],[Deduction]]</f>
        <v>41806.451612903227</v>
      </c>
      <c r="BF16" s="20"/>
      <c r="BG16" s="24"/>
      <c r="BH16" s="22"/>
      <c r="BI16" s="22"/>
      <c r="BJ16" s="22"/>
      <c r="BK16" s="22"/>
      <c r="BL16" s="22"/>
      <c r="BM16" s="22"/>
      <c r="BN16" s="22"/>
    </row>
    <row r="17" spans="6:66" x14ac:dyDescent="0.25">
      <c r="F17" s="21"/>
      <c r="G17" s="8">
        <v>8</v>
      </c>
      <c r="H17" s="10" t="s">
        <v>10</v>
      </c>
      <c r="I17" s="10">
        <v>1008</v>
      </c>
      <c r="J17" s="47">
        <f t="shared" si="8"/>
        <v>4</v>
      </c>
      <c r="K17" s="10" t="s">
        <v>38</v>
      </c>
      <c r="L17" s="10" t="s">
        <v>38</v>
      </c>
      <c r="M17" s="10" t="s">
        <v>38</v>
      </c>
      <c r="N17" s="47" t="str">
        <f t="shared" si="9"/>
        <v>WO</v>
      </c>
      <c r="O17" s="10" t="s">
        <v>38</v>
      </c>
      <c r="P17" s="10" t="s">
        <v>39</v>
      </c>
      <c r="Q17" s="10" t="s">
        <v>38</v>
      </c>
      <c r="R17" s="16" t="s">
        <v>38</v>
      </c>
      <c r="S17" s="16" t="s">
        <v>38</v>
      </c>
      <c r="T17" s="16" t="s">
        <v>38</v>
      </c>
      <c r="U17" s="47" t="str">
        <f t="shared" si="10"/>
        <v>WO</v>
      </c>
      <c r="V17" s="16" t="s">
        <v>38</v>
      </c>
      <c r="W17" s="10" t="s">
        <v>38</v>
      </c>
      <c r="X17" s="10" t="s">
        <v>38</v>
      </c>
      <c r="Y17" s="10" t="s">
        <v>38</v>
      </c>
      <c r="Z17" s="10" t="s">
        <v>38</v>
      </c>
      <c r="AA17" s="16" t="s">
        <v>38</v>
      </c>
      <c r="AB17" s="47" t="str">
        <f t="shared" si="11"/>
        <v>WO</v>
      </c>
      <c r="AC17" s="10" t="s">
        <v>38</v>
      </c>
      <c r="AD17" s="10" t="s">
        <v>38</v>
      </c>
      <c r="AE17" s="10" t="s">
        <v>38</v>
      </c>
      <c r="AF17" s="10" t="s">
        <v>38</v>
      </c>
      <c r="AG17" s="10" t="s">
        <v>39</v>
      </c>
      <c r="AH17" s="10" t="s">
        <v>38</v>
      </c>
      <c r="AI17" s="47" t="str">
        <f t="shared" si="12"/>
        <v>WO</v>
      </c>
      <c r="AJ17" s="10" t="s">
        <v>38</v>
      </c>
      <c r="AK17" s="10" t="s">
        <v>38</v>
      </c>
      <c r="AL17" s="10" t="s">
        <v>38</v>
      </c>
      <c r="AM17" s="10" t="s">
        <v>38</v>
      </c>
      <c r="AN17" s="10" t="s">
        <v>39</v>
      </c>
      <c r="AO17" s="64" t="s">
        <v>38</v>
      </c>
      <c r="AP17" s="21"/>
      <c r="AQ17" s="24"/>
      <c r="AR17" s="10">
        <v>8</v>
      </c>
      <c r="AS17" s="10" t="s">
        <v>10</v>
      </c>
      <c r="AT17" s="10" t="str">
        <f t="shared" si="2"/>
        <v>May</v>
      </c>
      <c r="AU17" s="10">
        <v>1008</v>
      </c>
      <c r="AV17" s="9">
        <f t="shared" si="3"/>
        <v>24</v>
      </c>
      <c r="AW17" s="16">
        <f t="shared" si="4"/>
        <v>3</v>
      </c>
      <c r="AX17" s="16">
        <f t="shared" si="5"/>
        <v>0</v>
      </c>
      <c r="AY17" s="16">
        <f t="shared" si="6"/>
        <v>4</v>
      </c>
      <c r="AZ17" s="16">
        <f t="shared" si="7"/>
        <v>31</v>
      </c>
      <c r="BA17" s="16">
        <f>MayReport[[#This Row],[Days]]-MayReport[[#This Row],[Absent]]</f>
        <v>28</v>
      </c>
      <c r="BB17" s="19">
        <v>17000</v>
      </c>
      <c r="BC17" s="20">
        <f>MayReport[[#This Row],[Salary ]]/MayReport[[#This Row],[Days]]</f>
        <v>548.38709677419354</v>
      </c>
      <c r="BD17" s="20">
        <f>MayReport[[#This Row],[Per Day Salary ]]*MayReport[[#This Row],[Absent]]</f>
        <v>1645.1612903225805</v>
      </c>
      <c r="BE17" s="20">
        <f>MayReport[[#This Row],[Salary ]]-MayReport[[#This Row],[Deduction]]</f>
        <v>15354.83870967742</v>
      </c>
      <c r="BF17" s="20"/>
      <c r="BG17" s="24"/>
      <c r="BH17" s="22"/>
      <c r="BI17" s="22"/>
      <c r="BJ17" s="22"/>
      <c r="BK17" s="22"/>
      <c r="BL17" s="22"/>
      <c r="BM17" s="22"/>
      <c r="BN17" s="22"/>
    </row>
    <row r="18" spans="6:66" x14ac:dyDescent="0.25">
      <c r="F18" s="21"/>
      <c r="G18" s="8">
        <v>9</v>
      </c>
      <c r="H18" s="10" t="s">
        <v>11</v>
      </c>
      <c r="I18" s="10">
        <v>1009</v>
      </c>
      <c r="J18" s="47">
        <f t="shared" si="8"/>
        <v>4</v>
      </c>
      <c r="K18" s="10" t="s">
        <v>38</v>
      </c>
      <c r="L18" s="10" t="s">
        <v>38</v>
      </c>
      <c r="M18" s="10" t="s">
        <v>38</v>
      </c>
      <c r="N18" s="47" t="str">
        <f t="shared" si="9"/>
        <v>WO</v>
      </c>
      <c r="O18" s="10" t="s">
        <v>38</v>
      </c>
      <c r="P18" s="10" t="s">
        <v>38</v>
      </c>
      <c r="Q18" s="10" t="s">
        <v>39</v>
      </c>
      <c r="R18" s="16" t="s">
        <v>38</v>
      </c>
      <c r="S18" s="16" t="s">
        <v>38</v>
      </c>
      <c r="T18" s="16" t="s">
        <v>38</v>
      </c>
      <c r="U18" s="47" t="str">
        <f t="shared" si="10"/>
        <v>WO</v>
      </c>
      <c r="V18" s="16" t="s">
        <v>38</v>
      </c>
      <c r="W18" s="10" t="s">
        <v>38</v>
      </c>
      <c r="X18" s="10" t="s">
        <v>38</v>
      </c>
      <c r="Y18" s="10" t="s">
        <v>40</v>
      </c>
      <c r="Z18" s="10" t="s">
        <v>38</v>
      </c>
      <c r="AA18" s="16" t="s">
        <v>38</v>
      </c>
      <c r="AB18" s="47" t="str">
        <f t="shared" si="11"/>
        <v>WO</v>
      </c>
      <c r="AC18" s="10" t="s">
        <v>38</v>
      </c>
      <c r="AD18" s="10" t="s">
        <v>38</v>
      </c>
      <c r="AE18" s="10" t="s">
        <v>38</v>
      </c>
      <c r="AF18" s="10" t="s">
        <v>38</v>
      </c>
      <c r="AG18" s="10" t="s">
        <v>38</v>
      </c>
      <c r="AH18" s="10" t="s">
        <v>38</v>
      </c>
      <c r="AI18" s="47" t="str">
        <f t="shared" si="12"/>
        <v>WO</v>
      </c>
      <c r="AJ18" s="10" t="s">
        <v>38</v>
      </c>
      <c r="AK18" s="10" t="s">
        <v>38</v>
      </c>
      <c r="AL18" s="10" t="s">
        <v>38</v>
      </c>
      <c r="AM18" s="10" t="s">
        <v>38</v>
      </c>
      <c r="AN18" s="10" t="s">
        <v>38</v>
      </c>
      <c r="AO18" s="64" t="s">
        <v>38</v>
      </c>
      <c r="AP18" s="21"/>
      <c r="AQ18" s="24"/>
      <c r="AR18" s="10">
        <v>9</v>
      </c>
      <c r="AS18" s="10" t="s">
        <v>11</v>
      </c>
      <c r="AT18" s="10" t="str">
        <f t="shared" si="2"/>
        <v>May</v>
      </c>
      <c r="AU18" s="10">
        <v>1009</v>
      </c>
      <c r="AV18" s="9">
        <f t="shared" si="3"/>
        <v>25</v>
      </c>
      <c r="AW18" s="16">
        <f t="shared" si="4"/>
        <v>1</v>
      </c>
      <c r="AX18" s="16">
        <f t="shared" si="5"/>
        <v>1</v>
      </c>
      <c r="AY18" s="16">
        <f t="shared" si="6"/>
        <v>4</v>
      </c>
      <c r="AZ18" s="16">
        <f t="shared" si="7"/>
        <v>31</v>
      </c>
      <c r="BA18" s="16">
        <f>MayReport[[#This Row],[Days]]-MayReport[[#This Row],[Absent]]</f>
        <v>30</v>
      </c>
      <c r="BB18" s="19">
        <v>39000</v>
      </c>
      <c r="BC18" s="20">
        <f>MayReport[[#This Row],[Salary ]]/MayReport[[#This Row],[Days]]</f>
        <v>1258.0645161290322</v>
      </c>
      <c r="BD18" s="20">
        <f>MayReport[[#This Row],[Per Day Salary ]]*MayReport[[#This Row],[Absent]]</f>
        <v>1258.0645161290322</v>
      </c>
      <c r="BE18" s="20">
        <f>MayReport[[#This Row],[Salary ]]-MayReport[[#This Row],[Deduction]]</f>
        <v>37741.93548387097</v>
      </c>
      <c r="BF18" s="20"/>
      <c r="BG18" s="24"/>
      <c r="BH18" s="22"/>
      <c r="BI18" s="22"/>
      <c r="BJ18" s="22"/>
      <c r="BK18" s="22"/>
      <c r="BL18" s="22"/>
      <c r="BM18" s="22"/>
      <c r="BN18" s="22"/>
    </row>
    <row r="19" spans="6:66" x14ac:dyDescent="0.25">
      <c r="F19" s="21"/>
      <c r="G19" s="8">
        <v>10</v>
      </c>
      <c r="H19" s="10" t="s">
        <v>3</v>
      </c>
      <c r="I19" s="10">
        <v>1010</v>
      </c>
      <c r="J19" s="47">
        <f t="shared" si="8"/>
        <v>4</v>
      </c>
      <c r="K19" s="10" t="s">
        <v>38</v>
      </c>
      <c r="L19" s="10" t="s">
        <v>38</v>
      </c>
      <c r="M19" s="10" t="s">
        <v>38</v>
      </c>
      <c r="N19" s="47" t="str">
        <f t="shared" si="9"/>
        <v>WO</v>
      </c>
      <c r="O19" s="10" t="s">
        <v>38</v>
      </c>
      <c r="P19" s="10" t="s">
        <v>38</v>
      </c>
      <c r="Q19" s="10" t="s">
        <v>38</v>
      </c>
      <c r="R19" s="16" t="s">
        <v>38</v>
      </c>
      <c r="S19" s="16" t="s">
        <v>38</v>
      </c>
      <c r="T19" s="16" t="s">
        <v>40</v>
      </c>
      <c r="U19" s="47" t="str">
        <f t="shared" si="10"/>
        <v>WO</v>
      </c>
      <c r="V19" s="16" t="s">
        <v>38</v>
      </c>
      <c r="W19" s="10" t="s">
        <v>38</v>
      </c>
      <c r="X19" s="10" t="s">
        <v>38</v>
      </c>
      <c r="Y19" s="10" t="s">
        <v>38</v>
      </c>
      <c r="Z19" s="10" t="s">
        <v>38</v>
      </c>
      <c r="AA19" s="16" t="s">
        <v>38</v>
      </c>
      <c r="AB19" s="47" t="str">
        <f t="shared" si="11"/>
        <v>WO</v>
      </c>
      <c r="AC19" s="10" t="s">
        <v>39</v>
      </c>
      <c r="AD19" s="10" t="s">
        <v>38</v>
      </c>
      <c r="AE19" s="10" t="s">
        <v>38</v>
      </c>
      <c r="AF19" s="10" t="s">
        <v>38</v>
      </c>
      <c r="AG19" s="10" t="s">
        <v>38</v>
      </c>
      <c r="AH19" s="10" t="s">
        <v>38</v>
      </c>
      <c r="AI19" s="47" t="str">
        <f t="shared" si="12"/>
        <v>WO</v>
      </c>
      <c r="AJ19" s="10" t="s">
        <v>39</v>
      </c>
      <c r="AK19" s="10" t="s">
        <v>38</v>
      </c>
      <c r="AL19" s="10" t="s">
        <v>38</v>
      </c>
      <c r="AM19" s="10" t="s">
        <v>38</v>
      </c>
      <c r="AN19" s="10" t="s">
        <v>38</v>
      </c>
      <c r="AO19" s="64" t="s">
        <v>38</v>
      </c>
      <c r="AP19" s="21"/>
      <c r="AQ19" s="24"/>
      <c r="AR19" s="10">
        <v>10</v>
      </c>
      <c r="AS19" s="10" t="s">
        <v>3</v>
      </c>
      <c r="AT19" s="10" t="str">
        <f t="shared" si="2"/>
        <v>May</v>
      </c>
      <c r="AU19" s="10">
        <v>1010</v>
      </c>
      <c r="AV19" s="9">
        <f t="shared" si="3"/>
        <v>24</v>
      </c>
      <c r="AW19" s="16">
        <f t="shared" si="4"/>
        <v>2</v>
      </c>
      <c r="AX19" s="16">
        <f t="shared" si="5"/>
        <v>1</v>
      </c>
      <c r="AY19" s="16">
        <f t="shared" si="6"/>
        <v>4</v>
      </c>
      <c r="AZ19" s="16">
        <f t="shared" si="7"/>
        <v>31</v>
      </c>
      <c r="BA19" s="16">
        <f>MayReport[[#This Row],[Days]]-MayReport[[#This Row],[Absent]]</f>
        <v>29</v>
      </c>
      <c r="BB19" s="19">
        <v>72000</v>
      </c>
      <c r="BC19" s="20">
        <f>MayReport[[#This Row],[Salary ]]/MayReport[[#This Row],[Days]]</f>
        <v>2322.5806451612902</v>
      </c>
      <c r="BD19" s="20">
        <f>MayReport[[#This Row],[Per Day Salary ]]*MayReport[[#This Row],[Absent]]</f>
        <v>4645.1612903225805</v>
      </c>
      <c r="BE19" s="20">
        <f>MayReport[[#This Row],[Salary ]]-MayReport[[#This Row],[Deduction]]</f>
        <v>67354.838709677424</v>
      </c>
      <c r="BF19" s="20"/>
      <c r="BG19" s="24"/>
      <c r="BH19" s="22"/>
      <c r="BI19" s="22"/>
      <c r="BJ19" s="22"/>
      <c r="BK19" s="22"/>
      <c r="BL19" s="22"/>
      <c r="BM19" s="22"/>
      <c r="BN19" s="22"/>
    </row>
    <row r="20" spans="6:66" x14ac:dyDescent="0.25">
      <c r="F20" s="21"/>
      <c r="G20" s="8">
        <v>11</v>
      </c>
      <c r="H20" s="9" t="s">
        <v>12</v>
      </c>
      <c r="I20" s="10">
        <v>1011</v>
      </c>
      <c r="J20" s="47">
        <f t="shared" si="8"/>
        <v>4</v>
      </c>
      <c r="K20" s="10" t="s">
        <v>38</v>
      </c>
      <c r="L20" s="10" t="s">
        <v>40</v>
      </c>
      <c r="M20" s="10" t="s">
        <v>38</v>
      </c>
      <c r="N20" s="47" t="str">
        <f t="shared" si="9"/>
        <v>WO</v>
      </c>
      <c r="O20" s="10" t="s">
        <v>38</v>
      </c>
      <c r="P20" s="10" t="s">
        <v>38</v>
      </c>
      <c r="Q20" s="10" t="s">
        <v>38</v>
      </c>
      <c r="R20" s="16" t="s">
        <v>38</v>
      </c>
      <c r="S20" s="16" t="s">
        <v>38</v>
      </c>
      <c r="T20" s="16" t="s">
        <v>38</v>
      </c>
      <c r="U20" s="47" t="str">
        <f t="shared" si="10"/>
        <v>WO</v>
      </c>
      <c r="V20" s="16" t="s">
        <v>38</v>
      </c>
      <c r="W20" s="10" t="s">
        <v>38</v>
      </c>
      <c r="X20" s="10" t="s">
        <v>38</v>
      </c>
      <c r="Y20" s="10" t="s">
        <v>40</v>
      </c>
      <c r="Z20" s="10" t="s">
        <v>38</v>
      </c>
      <c r="AA20" s="16" t="s">
        <v>38</v>
      </c>
      <c r="AB20" s="47" t="str">
        <f t="shared" si="11"/>
        <v>WO</v>
      </c>
      <c r="AC20" s="10" t="s">
        <v>38</v>
      </c>
      <c r="AD20" s="10" t="s">
        <v>38</v>
      </c>
      <c r="AE20" s="10" t="s">
        <v>38</v>
      </c>
      <c r="AF20" s="10" t="s">
        <v>38</v>
      </c>
      <c r="AG20" s="10" t="s">
        <v>38</v>
      </c>
      <c r="AH20" s="10" t="s">
        <v>38</v>
      </c>
      <c r="AI20" s="47" t="str">
        <f t="shared" si="12"/>
        <v>WO</v>
      </c>
      <c r="AJ20" s="10" t="s">
        <v>38</v>
      </c>
      <c r="AK20" s="10" t="s">
        <v>38</v>
      </c>
      <c r="AL20" s="10" t="s">
        <v>38</v>
      </c>
      <c r="AM20" s="10" t="s">
        <v>38</v>
      </c>
      <c r="AN20" s="10" t="s">
        <v>38</v>
      </c>
      <c r="AO20" s="64" t="s">
        <v>38</v>
      </c>
      <c r="AP20" s="21"/>
      <c r="AQ20" s="24"/>
      <c r="AR20" s="10">
        <v>11</v>
      </c>
      <c r="AS20" s="9" t="s">
        <v>12</v>
      </c>
      <c r="AT20" s="9" t="str">
        <f t="shared" si="2"/>
        <v>May</v>
      </c>
      <c r="AU20" s="10">
        <v>1011</v>
      </c>
      <c r="AV20" s="9">
        <f t="shared" si="3"/>
        <v>25</v>
      </c>
      <c r="AW20" s="16">
        <f t="shared" si="4"/>
        <v>0</v>
      </c>
      <c r="AX20" s="16">
        <f t="shared" si="5"/>
        <v>2</v>
      </c>
      <c r="AY20" s="16">
        <f t="shared" si="6"/>
        <v>4</v>
      </c>
      <c r="AZ20" s="16">
        <f t="shared" si="7"/>
        <v>31</v>
      </c>
      <c r="BA20" s="16">
        <f>MayReport[[#This Row],[Days]]-MayReport[[#This Row],[Absent]]</f>
        <v>31</v>
      </c>
      <c r="BB20" s="19">
        <v>13000</v>
      </c>
      <c r="BC20" s="20">
        <f>MayReport[[#This Row],[Salary ]]/MayReport[[#This Row],[Days]]</f>
        <v>419.35483870967744</v>
      </c>
      <c r="BD20" s="20">
        <f>MayReport[[#This Row],[Per Day Salary ]]*MayReport[[#This Row],[Absent]]</f>
        <v>0</v>
      </c>
      <c r="BE20" s="20">
        <f>MayReport[[#This Row],[Salary ]]-MayReport[[#This Row],[Deduction]]</f>
        <v>13000</v>
      </c>
      <c r="BF20" s="20"/>
      <c r="BG20" s="24"/>
      <c r="BH20" s="22"/>
      <c r="BI20" s="22"/>
      <c r="BJ20" s="22"/>
      <c r="BK20" s="22"/>
      <c r="BL20" s="22"/>
      <c r="BM20" s="22"/>
      <c r="BN20" s="22"/>
    </row>
    <row r="21" spans="6:66" x14ac:dyDescent="0.25">
      <c r="F21" s="21"/>
      <c r="G21" s="8">
        <v>12</v>
      </c>
      <c r="H21" s="10" t="s">
        <v>13</v>
      </c>
      <c r="I21" s="10">
        <v>1012</v>
      </c>
      <c r="J21" s="47">
        <f t="shared" si="8"/>
        <v>4</v>
      </c>
      <c r="K21" s="10" t="s">
        <v>38</v>
      </c>
      <c r="L21" s="10" t="s">
        <v>38</v>
      </c>
      <c r="M21" s="10" t="s">
        <v>38</v>
      </c>
      <c r="N21" s="47" t="str">
        <f t="shared" si="9"/>
        <v>WO</v>
      </c>
      <c r="O21" s="10" t="s">
        <v>38</v>
      </c>
      <c r="P21" s="10" t="s">
        <v>38</v>
      </c>
      <c r="Q21" s="10" t="s">
        <v>39</v>
      </c>
      <c r="R21" s="16" t="s">
        <v>38</v>
      </c>
      <c r="S21" s="16" t="s">
        <v>38</v>
      </c>
      <c r="T21" s="16" t="s">
        <v>38</v>
      </c>
      <c r="U21" s="47" t="str">
        <f t="shared" si="10"/>
        <v>WO</v>
      </c>
      <c r="V21" s="16" t="s">
        <v>38</v>
      </c>
      <c r="W21" s="10" t="s">
        <v>38</v>
      </c>
      <c r="X21" s="10" t="s">
        <v>38</v>
      </c>
      <c r="Y21" s="10" t="s">
        <v>38</v>
      </c>
      <c r="Z21" s="10" t="s">
        <v>38</v>
      </c>
      <c r="AA21" s="16" t="s">
        <v>38</v>
      </c>
      <c r="AB21" s="47" t="str">
        <f t="shared" si="11"/>
        <v>WO</v>
      </c>
      <c r="AC21" s="10" t="s">
        <v>38</v>
      </c>
      <c r="AD21" s="10" t="s">
        <v>38</v>
      </c>
      <c r="AE21" s="10" t="s">
        <v>38</v>
      </c>
      <c r="AF21" s="10" t="s">
        <v>38</v>
      </c>
      <c r="AG21" s="10" t="s">
        <v>38</v>
      </c>
      <c r="AH21" s="10" t="s">
        <v>38</v>
      </c>
      <c r="AI21" s="47" t="str">
        <f t="shared" si="12"/>
        <v>WO</v>
      </c>
      <c r="AJ21" s="10" t="s">
        <v>38</v>
      </c>
      <c r="AK21" s="10" t="s">
        <v>38</v>
      </c>
      <c r="AL21" s="10" t="s">
        <v>38</v>
      </c>
      <c r="AM21" s="10" t="s">
        <v>38</v>
      </c>
      <c r="AN21" s="10" t="s">
        <v>38</v>
      </c>
      <c r="AO21" s="64" t="s">
        <v>38</v>
      </c>
      <c r="AP21" s="21"/>
      <c r="AQ21" s="24"/>
      <c r="AR21" s="10">
        <v>12</v>
      </c>
      <c r="AS21" s="10" t="s">
        <v>13</v>
      </c>
      <c r="AT21" s="10" t="str">
        <f t="shared" si="2"/>
        <v>May</v>
      </c>
      <c r="AU21" s="10">
        <v>1012</v>
      </c>
      <c r="AV21" s="9">
        <f t="shared" si="3"/>
        <v>26</v>
      </c>
      <c r="AW21" s="16">
        <f t="shared" si="4"/>
        <v>1</v>
      </c>
      <c r="AX21" s="16">
        <f t="shared" si="5"/>
        <v>0</v>
      </c>
      <c r="AY21" s="16">
        <f t="shared" si="6"/>
        <v>4</v>
      </c>
      <c r="AZ21" s="16">
        <f t="shared" si="7"/>
        <v>31</v>
      </c>
      <c r="BA21" s="16">
        <f>MayReport[[#This Row],[Days]]-MayReport[[#This Row],[Absent]]</f>
        <v>30</v>
      </c>
      <c r="BB21" s="19">
        <v>22000</v>
      </c>
      <c r="BC21" s="20">
        <f>MayReport[[#This Row],[Salary ]]/MayReport[[#This Row],[Days]]</f>
        <v>709.67741935483866</v>
      </c>
      <c r="BD21" s="20">
        <f>MayReport[[#This Row],[Per Day Salary ]]*MayReport[[#This Row],[Absent]]</f>
        <v>709.67741935483866</v>
      </c>
      <c r="BE21" s="20">
        <f>MayReport[[#This Row],[Salary ]]-MayReport[[#This Row],[Deduction]]</f>
        <v>21290.322580645163</v>
      </c>
      <c r="BF21" s="20"/>
      <c r="BG21" s="24"/>
      <c r="BH21" s="22"/>
      <c r="BI21" s="22"/>
      <c r="BJ21" s="22"/>
      <c r="BK21" s="22"/>
      <c r="BL21" s="22"/>
      <c r="BM21" s="22"/>
      <c r="BN21" s="22"/>
    </row>
    <row r="22" spans="6:66" x14ac:dyDescent="0.25">
      <c r="F22" s="21"/>
      <c r="G22" s="8">
        <v>13</v>
      </c>
      <c r="H22" s="10" t="s">
        <v>14</v>
      </c>
      <c r="I22" s="10">
        <v>1013</v>
      </c>
      <c r="J22" s="47">
        <f t="shared" si="8"/>
        <v>4</v>
      </c>
      <c r="K22" s="10" t="s">
        <v>38</v>
      </c>
      <c r="L22" s="10" t="s">
        <v>38</v>
      </c>
      <c r="M22" s="10" t="s">
        <v>38</v>
      </c>
      <c r="N22" s="47" t="str">
        <f t="shared" si="9"/>
        <v>WO</v>
      </c>
      <c r="O22" s="10" t="s">
        <v>38</v>
      </c>
      <c r="P22" s="10" t="s">
        <v>38</v>
      </c>
      <c r="Q22" s="10" t="s">
        <v>38</v>
      </c>
      <c r="R22" s="16" t="s">
        <v>38</v>
      </c>
      <c r="S22" s="16" t="s">
        <v>38</v>
      </c>
      <c r="T22" s="16" t="s">
        <v>38</v>
      </c>
      <c r="U22" s="47" t="str">
        <f t="shared" si="10"/>
        <v>WO</v>
      </c>
      <c r="V22" s="16" t="s">
        <v>40</v>
      </c>
      <c r="W22" s="10" t="s">
        <v>38</v>
      </c>
      <c r="X22" s="10" t="s">
        <v>38</v>
      </c>
      <c r="Y22" s="10" t="s">
        <v>38</v>
      </c>
      <c r="Z22" s="10" t="s">
        <v>38</v>
      </c>
      <c r="AA22" s="16" t="s">
        <v>38</v>
      </c>
      <c r="AB22" s="47" t="str">
        <f t="shared" si="11"/>
        <v>WO</v>
      </c>
      <c r="AC22" s="10" t="s">
        <v>38</v>
      </c>
      <c r="AD22" s="10" t="s">
        <v>38</v>
      </c>
      <c r="AE22" s="10" t="s">
        <v>38</v>
      </c>
      <c r="AF22" s="10" t="s">
        <v>38</v>
      </c>
      <c r="AG22" s="10" t="s">
        <v>38</v>
      </c>
      <c r="AH22" s="10" t="s">
        <v>38</v>
      </c>
      <c r="AI22" s="47" t="str">
        <f t="shared" si="12"/>
        <v>WO</v>
      </c>
      <c r="AJ22" s="10" t="s">
        <v>38</v>
      </c>
      <c r="AK22" s="10" t="s">
        <v>38</v>
      </c>
      <c r="AL22" s="10" t="s">
        <v>38</v>
      </c>
      <c r="AM22" s="10" t="s">
        <v>38</v>
      </c>
      <c r="AN22" s="10" t="s">
        <v>38</v>
      </c>
      <c r="AO22" s="64" t="s">
        <v>38</v>
      </c>
      <c r="AP22" s="21"/>
      <c r="AQ22" s="24"/>
      <c r="AR22" s="10">
        <v>13</v>
      </c>
      <c r="AS22" s="10" t="s">
        <v>14</v>
      </c>
      <c r="AT22" s="10" t="str">
        <f t="shared" si="2"/>
        <v>May</v>
      </c>
      <c r="AU22" s="10">
        <v>1013</v>
      </c>
      <c r="AV22" s="9">
        <f t="shared" si="3"/>
        <v>26</v>
      </c>
      <c r="AW22" s="16">
        <f t="shared" si="4"/>
        <v>0</v>
      </c>
      <c r="AX22" s="16">
        <f t="shared" si="5"/>
        <v>1</v>
      </c>
      <c r="AY22" s="16">
        <f t="shared" si="6"/>
        <v>4</v>
      </c>
      <c r="AZ22" s="16">
        <f t="shared" si="7"/>
        <v>31</v>
      </c>
      <c r="BA22" s="16">
        <f>MayReport[[#This Row],[Days]]-MayReport[[#This Row],[Absent]]</f>
        <v>31</v>
      </c>
      <c r="BB22" s="19">
        <v>35000</v>
      </c>
      <c r="BC22" s="20">
        <f>MayReport[[#This Row],[Salary ]]/MayReport[[#This Row],[Days]]</f>
        <v>1129.0322580645161</v>
      </c>
      <c r="BD22" s="20">
        <f>MayReport[[#This Row],[Per Day Salary ]]*MayReport[[#This Row],[Absent]]</f>
        <v>0</v>
      </c>
      <c r="BE22" s="20">
        <f>MayReport[[#This Row],[Salary ]]-MayReport[[#This Row],[Deduction]]</f>
        <v>35000</v>
      </c>
      <c r="BF22" s="20"/>
      <c r="BG22" s="24"/>
      <c r="BH22" s="22"/>
      <c r="BI22" s="22"/>
      <c r="BJ22" s="22"/>
      <c r="BK22" s="22"/>
      <c r="BL22" s="22"/>
      <c r="BM22" s="22"/>
      <c r="BN22" s="22"/>
    </row>
    <row r="23" spans="6:66" x14ac:dyDescent="0.25">
      <c r="F23" s="21"/>
      <c r="G23" s="8">
        <v>14</v>
      </c>
      <c r="H23" s="10" t="s">
        <v>15</v>
      </c>
      <c r="I23" s="10">
        <v>1014</v>
      </c>
      <c r="J23" s="47">
        <f t="shared" si="8"/>
        <v>4</v>
      </c>
      <c r="K23" s="10" t="s">
        <v>38</v>
      </c>
      <c r="L23" s="10" t="s">
        <v>38</v>
      </c>
      <c r="M23" s="10" t="s">
        <v>38</v>
      </c>
      <c r="N23" s="47" t="str">
        <f t="shared" si="9"/>
        <v>WO</v>
      </c>
      <c r="O23" s="10" t="s">
        <v>38</v>
      </c>
      <c r="P23" s="10" t="s">
        <v>38</v>
      </c>
      <c r="Q23" s="10" t="s">
        <v>38</v>
      </c>
      <c r="R23" s="16" t="s">
        <v>38</v>
      </c>
      <c r="S23" s="16" t="s">
        <v>39</v>
      </c>
      <c r="T23" s="16" t="s">
        <v>38</v>
      </c>
      <c r="U23" s="47" t="str">
        <f t="shared" si="10"/>
        <v>WO</v>
      </c>
      <c r="V23" s="16" t="s">
        <v>38</v>
      </c>
      <c r="W23" s="10" t="s">
        <v>38</v>
      </c>
      <c r="X23" s="10" t="s">
        <v>38</v>
      </c>
      <c r="Y23" s="10" t="s">
        <v>38</v>
      </c>
      <c r="Z23" s="10" t="s">
        <v>38</v>
      </c>
      <c r="AA23" s="16" t="s">
        <v>38</v>
      </c>
      <c r="AB23" s="47" t="str">
        <f t="shared" si="11"/>
        <v>WO</v>
      </c>
      <c r="AC23" s="10" t="s">
        <v>40</v>
      </c>
      <c r="AD23" s="10" t="s">
        <v>38</v>
      </c>
      <c r="AE23" s="10" t="s">
        <v>38</v>
      </c>
      <c r="AF23" s="10" t="s">
        <v>39</v>
      </c>
      <c r="AG23" s="10" t="s">
        <v>38</v>
      </c>
      <c r="AH23" s="10" t="s">
        <v>38</v>
      </c>
      <c r="AI23" s="47" t="str">
        <f t="shared" si="12"/>
        <v>WO</v>
      </c>
      <c r="AJ23" s="10" t="s">
        <v>40</v>
      </c>
      <c r="AK23" s="10" t="s">
        <v>38</v>
      </c>
      <c r="AL23" s="10" t="s">
        <v>38</v>
      </c>
      <c r="AM23" s="10" t="s">
        <v>39</v>
      </c>
      <c r="AN23" s="10" t="s">
        <v>38</v>
      </c>
      <c r="AO23" s="64" t="s">
        <v>38</v>
      </c>
      <c r="AP23" s="21"/>
      <c r="AQ23" s="24"/>
      <c r="AR23" s="10">
        <v>14</v>
      </c>
      <c r="AS23" s="10" t="s">
        <v>15</v>
      </c>
      <c r="AT23" s="10" t="str">
        <f t="shared" si="2"/>
        <v>May</v>
      </c>
      <c r="AU23" s="10">
        <v>1014</v>
      </c>
      <c r="AV23" s="9">
        <f t="shared" si="3"/>
        <v>22</v>
      </c>
      <c r="AW23" s="16">
        <f t="shared" si="4"/>
        <v>3</v>
      </c>
      <c r="AX23" s="16">
        <f t="shared" si="5"/>
        <v>2</v>
      </c>
      <c r="AY23" s="16">
        <f t="shared" si="6"/>
        <v>4</v>
      </c>
      <c r="AZ23" s="16">
        <f t="shared" si="7"/>
        <v>31</v>
      </c>
      <c r="BA23" s="16">
        <f>MayReport[[#This Row],[Days]]-MayReport[[#This Row],[Absent]]</f>
        <v>28</v>
      </c>
      <c r="BB23" s="19">
        <v>14000</v>
      </c>
      <c r="BC23" s="20">
        <f>MayReport[[#This Row],[Salary ]]/MayReport[[#This Row],[Days]]</f>
        <v>451.61290322580646</v>
      </c>
      <c r="BD23" s="20">
        <f>MayReport[[#This Row],[Per Day Salary ]]*MayReport[[#This Row],[Absent]]</f>
        <v>1354.8387096774195</v>
      </c>
      <c r="BE23" s="20">
        <f>MayReport[[#This Row],[Salary ]]-MayReport[[#This Row],[Deduction]]</f>
        <v>12645.16129032258</v>
      </c>
      <c r="BF23" s="20"/>
      <c r="BG23" s="24"/>
      <c r="BH23" s="22"/>
      <c r="BI23" s="22"/>
      <c r="BJ23" s="22"/>
      <c r="BK23" s="22"/>
      <c r="BL23" s="22"/>
      <c r="BM23" s="22"/>
      <c r="BN23" s="22"/>
    </row>
    <row r="24" spans="6:66" x14ac:dyDescent="0.25">
      <c r="F24" s="21"/>
      <c r="G24" s="8">
        <v>15</v>
      </c>
      <c r="H24" s="10" t="s">
        <v>16</v>
      </c>
      <c r="I24" s="10">
        <v>1015</v>
      </c>
      <c r="J24" s="47">
        <f t="shared" si="8"/>
        <v>4</v>
      </c>
      <c r="K24" s="10" t="s">
        <v>38</v>
      </c>
      <c r="L24" s="10" t="s">
        <v>38</v>
      </c>
      <c r="M24" s="10" t="s">
        <v>38</v>
      </c>
      <c r="N24" s="47" t="str">
        <f t="shared" si="9"/>
        <v>WO</v>
      </c>
      <c r="O24" s="10" t="s">
        <v>38</v>
      </c>
      <c r="P24" s="10" t="s">
        <v>38</v>
      </c>
      <c r="Q24" s="10" t="s">
        <v>38</v>
      </c>
      <c r="R24" s="16" t="s">
        <v>38</v>
      </c>
      <c r="S24" s="16" t="s">
        <v>38</v>
      </c>
      <c r="T24" s="16" t="s">
        <v>38</v>
      </c>
      <c r="U24" s="47" t="str">
        <f t="shared" si="10"/>
        <v>WO</v>
      </c>
      <c r="V24" s="16" t="s">
        <v>38</v>
      </c>
      <c r="W24" s="10" t="s">
        <v>39</v>
      </c>
      <c r="X24" s="10" t="s">
        <v>38</v>
      </c>
      <c r="Y24" s="10" t="s">
        <v>38</v>
      </c>
      <c r="Z24" s="10" t="s">
        <v>38</v>
      </c>
      <c r="AA24" s="16" t="s">
        <v>40</v>
      </c>
      <c r="AB24" s="47" t="str">
        <f t="shared" si="11"/>
        <v>WO</v>
      </c>
      <c r="AC24" s="10" t="s">
        <v>38</v>
      </c>
      <c r="AD24" s="10" t="s">
        <v>38</v>
      </c>
      <c r="AE24" s="10" t="s">
        <v>38</v>
      </c>
      <c r="AF24" s="10" t="s">
        <v>38</v>
      </c>
      <c r="AG24" s="10" t="s">
        <v>38</v>
      </c>
      <c r="AH24" s="10" t="s">
        <v>38</v>
      </c>
      <c r="AI24" s="47" t="str">
        <f t="shared" si="12"/>
        <v>WO</v>
      </c>
      <c r="AJ24" s="10" t="s">
        <v>38</v>
      </c>
      <c r="AK24" s="10" t="s">
        <v>38</v>
      </c>
      <c r="AL24" s="10" t="s">
        <v>38</v>
      </c>
      <c r="AM24" s="10" t="s">
        <v>38</v>
      </c>
      <c r="AN24" s="10" t="s">
        <v>38</v>
      </c>
      <c r="AO24" s="64" t="s">
        <v>38</v>
      </c>
      <c r="AP24" s="21"/>
      <c r="AQ24" s="24"/>
      <c r="AR24" s="10">
        <v>15</v>
      </c>
      <c r="AS24" s="10" t="s">
        <v>16</v>
      </c>
      <c r="AT24" s="10" t="str">
        <f t="shared" si="2"/>
        <v>May</v>
      </c>
      <c r="AU24" s="10">
        <v>1015</v>
      </c>
      <c r="AV24" s="9">
        <f t="shared" si="3"/>
        <v>25</v>
      </c>
      <c r="AW24" s="16">
        <f t="shared" si="4"/>
        <v>1</v>
      </c>
      <c r="AX24" s="16">
        <f t="shared" si="5"/>
        <v>1</v>
      </c>
      <c r="AY24" s="16">
        <f t="shared" si="6"/>
        <v>4</v>
      </c>
      <c r="AZ24" s="16">
        <f t="shared" si="7"/>
        <v>31</v>
      </c>
      <c r="BA24" s="16">
        <f>MayReport[[#This Row],[Days]]-MayReport[[#This Row],[Absent]]</f>
        <v>30</v>
      </c>
      <c r="BB24" s="19">
        <v>72000</v>
      </c>
      <c r="BC24" s="20">
        <f>MayReport[[#This Row],[Salary ]]/MayReport[[#This Row],[Days]]</f>
        <v>2322.5806451612902</v>
      </c>
      <c r="BD24" s="20">
        <f>MayReport[[#This Row],[Per Day Salary ]]*MayReport[[#This Row],[Absent]]</f>
        <v>2322.5806451612902</v>
      </c>
      <c r="BE24" s="20">
        <f>MayReport[[#This Row],[Salary ]]-MayReport[[#This Row],[Deduction]]</f>
        <v>69677.419354838712</v>
      </c>
      <c r="BF24" s="20"/>
      <c r="BG24" s="24"/>
      <c r="BH24" s="22"/>
      <c r="BI24" s="22"/>
      <c r="BJ24" s="22"/>
      <c r="BK24" s="22"/>
      <c r="BL24" s="22"/>
      <c r="BM24" s="22"/>
      <c r="BN24" s="22"/>
    </row>
    <row r="25" spans="6:66" x14ac:dyDescent="0.25">
      <c r="F25" s="21"/>
      <c r="G25" s="8">
        <v>16</v>
      </c>
      <c r="H25" s="10" t="s">
        <v>17</v>
      </c>
      <c r="I25" s="10">
        <v>1016</v>
      </c>
      <c r="J25" s="47">
        <f t="shared" si="8"/>
        <v>4</v>
      </c>
      <c r="K25" s="10" t="s">
        <v>40</v>
      </c>
      <c r="L25" s="10" t="s">
        <v>38</v>
      </c>
      <c r="M25" s="10" t="s">
        <v>38</v>
      </c>
      <c r="N25" s="47" t="str">
        <f t="shared" si="9"/>
        <v>WO</v>
      </c>
      <c r="O25" s="10" t="s">
        <v>39</v>
      </c>
      <c r="P25" s="10" t="s">
        <v>38</v>
      </c>
      <c r="Q25" s="10" t="s">
        <v>38</v>
      </c>
      <c r="R25" s="16" t="s">
        <v>38</v>
      </c>
      <c r="S25" s="16" t="s">
        <v>38</v>
      </c>
      <c r="T25" s="16" t="s">
        <v>38</v>
      </c>
      <c r="U25" s="47" t="str">
        <f t="shared" si="10"/>
        <v>WO</v>
      </c>
      <c r="V25" s="16" t="s">
        <v>38</v>
      </c>
      <c r="W25" s="10" t="s">
        <v>38</v>
      </c>
      <c r="X25" s="10" t="s">
        <v>38</v>
      </c>
      <c r="Y25" s="10" t="s">
        <v>38</v>
      </c>
      <c r="Z25" s="10" t="s">
        <v>38</v>
      </c>
      <c r="AA25" s="16" t="s">
        <v>38</v>
      </c>
      <c r="AB25" s="47" t="str">
        <f t="shared" si="11"/>
        <v>WO</v>
      </c>
      <c r="AC25" s="10" t="s">
        <v>38</v>
      </c>
      <c r="AD25" s="10" t="s">
        <v>38</v>
      </c>
      <c r="AE25" s="10" t="s">
        <v>38</v>
      </c>
      <c r="AF25" s="10" t="s">
        <v>38</v>
      </c>
      <c r="AG25" s="10" t="s">
        <v>38</v>
      </c>
      <c r="AH25" s="10" t="s">
        <v>38</v>
      </c>
      <c r="AI25" s="47" t="str">
        <f t="shared" si="12"/>
        <v>WO</v>
      </c>
      <c r="AJ25" s="10" t="s">
        <v>38</v>
      </c>
      <c r="AK25" s="10" t="s">
        <v>38</v>
      </c>
      <c r="AL25" s="10" t="s">
        <v>38</v>
      </c>
      <c r="AM25" s="10" t="s">
        <v>38</v>
      </c>
      <c r="AN25" s="10" t="s">
        <v>38</v>
      </c>
      <c r="AO25" s="64" t="s">
        <v>38</v>
      </c>
      <c r="AP25" s="21"/>
      <c r="AQ25" s="24"/>
      <c r="AR25" s="10">
        <v>16</v>
      </c>
      <c r="AS25" s="10" t="s">
        <v>17</v>
      </c>
      <c r="AT25" s="10" t="str">
        <f t="shared" si="2"/>
        <v>May</v>
      </c>
      <c r="AU25" s="10">
        <v>1016</v>
      </c>
      <c r="AV25" s="9">
        <f t="shared" si="3"/>
        <v>25</v>
      </c>
      <c r="AW25" s="16">
        <f t="shared" si="4"/>
        <v>1</v>
      </c>
      <c r="AX25" s="16">
        <f t="shared" si="5"/>
        <v>1</v>
      </c>
      <c r="AY25" s="16">
        <f t="shared" si="6"/>
        <v>4</v>
      </c>
      <c r="AZ25" s="16">
        <f t="shared" si="7"/>
        <v>31</v>
      </c>
      <c r="BA25" s="16">
        <f>MayReport[[#This Row],[Days]]-MayReport[[#This Row],[Absent]]</f>
        <v>30</v>
      </c>
      <c r="BB25" s="19">
        <v>79000</v>
      </c>
      <c r="BC25" s="20">
        <f>MayReport[[#This Row],[Salary ]]/MayReport[[#This Row],[Days]]</f>
        <v>2548.3870967741937</v>
      </c>
      <c r="BD25" s="20">
        <f>MayReport[[#This Row],[Per Day Salary ]]*MayReport[[#This Row],[Absent]]</f>
        <v>2548.3870967741937</v>
      </c>
      <c r="BE25" s="20">
        <f>MayReport[[#This Row],[Salary ]]-MayReport[[#This Row],[Deduction]]</f>
        <v>76451.612903225803</v>
      </c>
      <c r="BF25" s="20"/>
      <c r="BG25" s="24"/>
      <c r="BH25" s="22"/>
      <c r="BI25" s="22"/>
      <c r="BJ25" s="22"/>
      <c r="BK25" s="22"/>
      <c r="BL25" s="22"/>
      <c r="BM25" s="22"/>
      <c r="BN25" s="22"/>
    </row>
    <row r="26" spans="6:66" x14ac:dyDescent="0.25">
      <c r="F26" s="21"/>
      <c r="G26" s="8">
        <v>17</v>
      </c>
      <c r="H26" s="10" t="s">
        <v>18</v>
      </c>
      <c r="I26" s="10">
        <v>1017</v>
      </c>
      <c r="J26" s="47">
        <f t="shared" si="8"/>
        <v>4</v>
      </c>
      <c r="K26" s="10" t="s">
        <v>38</v>
      </c>
      <c r="L26" s="10" t="s">
        <v>38</v>
      </c>
      <c r="M26" s="10" t="s">
        <v>38</v>
      </c>
      <c r="N26" s="47" t="str">
        <f t="shared" si="9"/>
        <v>WO</v>
      </c>
      <c r="O26" s="10" t="s">
        <v>38</v>
      </c>
      <c r="P26" s="10" t="s">
        <v>38</v>
      </c>
      <c r="Q26" s="10" t="s">
        <v>38</v>
      </c>
      <c r="R26" s="16" t="s">
        <v>38</v>
      </c>
      <c r="S26" s="16" t="s">
        <v>38</v>
      </c>
      <c r="T26" s="16" t="s">
        <v>38</v>
      </c>
      <c r="U26" s="47" t="str">
        <f t="shared" si="10"/>
        <v>WO</v>
      </c>
      <c r="V26" s="16" t="s">
        <v>38</v>
      </c>
      <c r="W26" s="10" t="s">
        <v>38</v>
      </c>
      <c r="X26" s="10" t="s">
        <v>38</v>
      </c>
      <c r="Y26" s="10" t="s">
        <v>38</v>
      </c>
      <c r="Z26" s="10" t="s">
        <v>38</v>
      </c>
      <c r="AA26" s="16" t="s">
        <v>38</v>
      </c>
      <c r="AB26" s="47" t="str">
        <f t="shared" si="11"/>
        <v>WO</v>
      </c>
      <c r="AC26" s="10" t="s">
        <v>38</v>
      </c>
      <c r="AD26" s="10" t="s">
        <v>38</v>
      </c>
      <c r="AE26" s="10" t="s">
        <v>38</v>
      </c>
      <c r="AF26" s="10" t="s">
        <v>38</v>
      </c>
      <c r="AG26" s="10" t="s">
        <v>38</v>
      </c>
      <c r="AH26" s="10" t="s">
        <v>38</v>
      </c>
      <c r="AI26" s="47" t="str">
        <f t="shared" si="12"/>
        <v>WO</v>
      </c>
      <c r="AJ26" s="10" t="s">
        <v>38</v>
      </c>
      <c r="AK26" s="10" t="s">
        <v>38</v>
      </c>
      <c r="AL26" s="10" t="s">
        <v>38</v>
      </c>
      <c r="AM26" s="10" t="s">
        <v>38</v>
      </c>
      <c r="AN26" s="10" t="s">
        <v>38</v>
      </c>
      <c r="AO26" s="64" t="s">
        <v>38</v>
      </c>
      <c r="AP26" s="21"/>
      <c r="AQ26" s="24"/>
      <c r="AR26" s="10">
        <v>17</v>
      </c>
      <c r="AS26" s="10" t="s">
        <v>18</v>
      </c>
      <c r="AT26" s="10" t="str">
        <f t="shared" si="2"/>
        <v>May</v>
      </c>
      <c r="AU26" s="10">
        <v>1017</v>
      </c>
      <c r="AV26" s="9">
        <f t="shared" si="3"/>
        <v>27</v>
      </c>
      <c r="AW26" s="16">
        <f t="shared" si="4"/>
        <v>0</v>
      </c>
      <c r="AX26" s="16">
        <f t="shared" si="5"/>
        <v>0</v>
      </c>
      <c r="AY26" s="16">
        <f t="shared" si="6"/>
        <v>4</v>
      </c>
      <c r="AZ26" s="16">
        <f t="shared" si="7"/>
        <v>31</v>
      </c>
      <c r="BA26" s="16">
        <f>MayReport[[#This Row],[Days]]-MayReport[[#This Row],[Absent]]</f>
        <v>31</v>
      </c>
      <c r="BB26" s="19">
        <v>33000</v>
      </c>
      <c r="BC26" s="20">
        <f>MayReport[[#This Row],[Salary ]]/MayReport[[#This Row],[Days]]</f>
        <v>1064.516129032258</v>
      </c>
      <c r="BD26" s="20">
        <f>MayReport[[#This Row],[Per Day Salary ]]*MayReport[[#This Row],[Absent]]</f>
        <v>0</v>
      </c>
      <c r="BE26" s="20">
        <f>MayReport[[#This Row],[Salary ]]-MayReport[[#This Row],[Deduction]]</f>
        <v>33000</v>
      </c>
      <c r="BF26" s="20"/>
      <c r="BG26" s="24"/>
      <c r="BH26" s="22"/>
      <c r="BI26" s="22"/>
      <c r="BJ26" s="22"/>
      <c r="BK26" s="22"/>
      <c r="BL26" s="22"/>
      <c r="BM26" s="22"/>
      <c r="BN26" s="22"/>
    </row>
    <row r="27" spans="6:66" x14ac:dyDescent="0.25">
      <c r="F27" s="21"/>
      <c r="G27" s="8">
        <v>18</v>
      </c>
      <c r="H27" s="10" t="s">
        <v>41</v>
      </c>
      <c r="I27" s="10">
        <v>1018</v>
      </c>
      <c r="J27" s="47">
        <f t="shared" si="8"/>
        <v>4</v>
      </c>
      <c r="K27" s="10" t="s">
        <v>38</v>
      </c>
      <c r="L27" s="10" t="s">
        <v>38</v>
      </c>
      <c r="M27" s="10" t="s">
        <v>38</v>
      </c>
      <c r="N27" s="47" t="str">
        <f t="shared" si="9"/>
        <v>WO</v>
      </c>
      <c r="O27" s="10" t="s">
        <v>38</v>
      </c>
      <c r="P27" s="10" t="s">
        <v>38</v>
      </c>
      <c r="Q27" s="10" t="s">
        <v>39</v>
      </c>
      <c r="R27" s="16" t="s">
        <v>38</v>
      </c>
      <c r="S27" s="16" t="s">
        <v>40</v>
      </c>
      <c r="T27" s="16" t="s">
        <v>38</v>
      </c>
      <c r="U27" s="47" t="str">
        <f t="shared" si="10"/>
        <v>WO</v>
      </c>
      <c r="V27" s="16" t="s">
        <v>38</v>
      </c>
      <c r="W27" s="10" t="s">
        <v>38</v>
      </c>
      <c r="X27" s="10" t="s">
        <v>38</v>
      </c>
      <c r="Y27" s="10" t="s">
        <v>38</v>
      </c>
      <c r="Z27" s="10" t="s">
        <v>38</v>
      </c>
      <c r="AA27" s="16" t="s">
        <v>38</v>
      </c>
      <c r="AB27" s="47" t="str">
        <f t="shared" si="11"/>
        <v>WO</v>
      </c>
      <c r="AC27" s="10" t="s">
        <v>38</v>
      </c>
      <c r="AD27" s="10" t="s">
        <v>38</v>
      </c>
      <c r="AE27" s="10" t="s">
        <v>40</v>
      </c>
      <c r="AF27" s="10" t="s">
        <v>38</v>
      </c>
      <c r="AG27" s="10" t="s">
        <v>38</v>
      </c>
      <c r="AH27" s="10" t="s">
        <v>40</v>
      </c>
      <c r="AI27" s="47" t="str">
        <f t="shared" si="12"/>
        <v>WO</v>
      </c>
      <c r="AJ27" s="10" t="s">
        <v>38</v>
      </c>
      <c r="AK27" s="10" t="s">
        <v>38</v>
      </c>
      <c r="AL27" s="10" t="s">
        <v>40</v>
      </c>
      <c r="AM27" s="10" t="s">
        <v>38</v>
      </c>
      <c r="AN27" s="10" t="s">
        <v>38</v>
      </c>
      <c r="AO27" s="64" t="s">
        <v>40</v>
      </c>
      <c r="AP27" s="21"/>
      <c r="AQ27" s="24"/>
      <c r="AR27" s="10">
        <v>18</v>
      </c>
      <c r="AS27" s="10" t="s">
        <v>41</v>
      </c>
      <c r="AT27" s="10" t="str">
        <f t="shared" si="2"/>
        <v>May</v>
      </c>
      <c r="AU27" s="10">
        <v>1018</v>
      </c>
      <c r="AV27" s="9">
        <f t="shared" si="3"/>
        <v>21</v>
      </c>
      <c r="AW27" s="16">
        <f t="shared" si="4"/>
        <v>1</v>
      </c>
      <c r="AX27" s="16">
        <f t="shared" si="5"/>
        <v>5</v>
      </c>
      <c r="AY27" s="16">
        <f t="shared" si="6"/>
        <v>4</v>
      </c>
      <c r="AZ27" s="16">
        <f t="shared" si="7"/>
        <v>31</v>
      </c>
      <c r="BA27" s="16">
        <f>MayReport[[#This Row],[Days]]-MayReport[[#This Row],[Absent]]</f>
        <v>30</v>
      </c>
      <c r="BB27" s="19">
        <v>12000</v>
      </c>
      <c r="BC27" s="20">
        <f>MayReport[[#This Row],[Salary ]]/MayReport[[#This Row],[Days]]</f>
        <v>387.09677419354841</v>
      </c>
      <c r="BD27" s="20">
        <f>MayReport[[#This Row],[Per Day Salary ]]*MayReport[[#This Row],[Absent]]</f>
        <v>387.09677419354841</v>
      </c>
      <c r="BE27" s="20">
        <f>MayReport[[#This Row],[Salary ]]-MayReport[[#This Row],[Deduction]]</f>
        <v>11612.903225806451</v>
      </c>
      <c r="BF27" s="20"/>
      <c r="BG27" s="24"/>
      <c r="BH27" s="22"/>
      <c r="BI27" s="22"/>
      <c r="BJ27" s="22"/>
      <c r="BK27" s="22"/>
      <c r="BL27" s="22"/>
      <c r="BM27" s="22"/>
      <c r="BN27" s="22"/>
    </row>
    <row r="28" spans="6:66" x14ac:dyDescent="0.25">
      <c r="F28" s="21"/>
      <c r="G28" s="8">
        <v>19</v>
      </c>
      <c r="H28" s="10" t="s">
        <v>19</v>
      </c>
      <c r="I28" s="10">
        <v>1019</v>
      </c>
      <c r="J28" s="47">
        <f t="shared" si="8"/>
        <v>4</v>
      </c>
      <c r="K28" s="10" t="s">
        <v>38</v>
      </c>
      <c r="L28" s="10" t="s">
        <v>38</v>
      </c>
      <c r="M28" s="10" t="s">
        <v>40</v>
      </c>
      <c r="N28" s="47" t="str">
        <f t="shared" si="9"/>
        <v>WO</v>
      </c>
      <c r="O28" s="10" t="s">
        <v>38</v>
      </c>
      <c r="P28" s="10" t="s">
        <v>38</v>
      </c>
      <c r="Q28" s="10" t="s">
        <v>38</v>
      </c>
      <c r="R28" s="16" t="s">
        <v>38</v>
      </c>
      <c r="S28" s="16" t="s">
        <v>38</v>
      </c>
      <c r="T28" s="16" t="s">
        <v>38</v>
      </c>
      <c r="U28" s="47" t="str">
        <f t="shared" si="10"/>
        <v>WO</v>
      </c>
      <c r="V28" s="16" t="s">
        <v>38</v>
      </c>
      <c r="W28" s="10" t="s">
        <v>38</v>
      </c>
      <c r="X28" s="10" t="s">
        <v>38</v>
      </c>
      <c r="Y28" s="10" t="s">
        <v>38</v>
      </c>
      <c r="Z28" s="10" t="s">
        <v>38</v>
      </c>
      <c r="AA28" s="16" t="s">
        <v>38</v>
      </c>
      <c r="AB28" s="47" t="str">
        <f t="shared" si="11"/>
        <v>WO</v>
      </c>
      <c r="AC28" s="10" t="s">
        <v>38</v>
      </c>
      <c r="AD28" s="10" t="s">
        <v>38</v>
      </c>
      <c r="AE28" s="10" t="s">
        <v>38</v>
      </c>
      <c r="AF28" s="10" t="s">
        <v>38</v>
      </c>
      <c r="AG28" s="10" t="s">
        <v>40</v>
      </c>
      <c r="AH28" s="10" t="s">
        <v>38</v>
      </c>
      <c r="AI28" s="47" t="str">
        <f t="shared" si="12"/>
        <v>WO</v>
      </c>
      <c r="AJ28" s="10" t="s">
        <v>38</v>
      </c>
      <c r="AK28" s="10" t="s">
        <v>38</v>
      </c>
      <c r="AL28" s="10" t="s">
        <v>38</v>
      </c>
      <c r="AM28" s="10" t="s">
        <v>38</v>
      </c>
      <c r="AN28" s="10" t="s">
        <v>40</v>
      </c>
      <c r="AO28" s="64" t="s">
        <v>38</v>
      </c>
      <c r="AP28" s="21"/>
      <c r="AQ28" s="24"/>
      <c r="AR28" s="10">
        <v>19</v>
      </c>
      <c r="AS28" s="10" t="s">
        <v>19</v>
      </c>
      <c r="AT28" s="10" t="str">
        <f t="shared" si="2"/>
        <v>May</v>
      </c>
      <c r="AU28" s="10">
        <v>1019</v>
      </c>
      <c r="AV28" s="9">
        <f t="shared" si="3"/>
        <v>24</v>
      </c>
      <c r="AW28" s="16">
        <f t="shared" si="4"/>
        <v>0</v>
      </c>
      <c r="AX28" s="16">
        <f t="shared" si="5"/>
        <v>3</v>
      </c>
      <c r="AY28" s="16">
        <f t="shared" si="6"/>
        <v>4</v>
      </c>
      <c r="AZ28" s="16">
        <f t="shared" si="7"/>
        <v>31</v>
      </c>
      <c r="BA28" s="16">
        <f>MayReport[[#This Row],[Days]]-MayReport[[#This Row],[Absent]]</f>
        <v>31</v>
      </c>
      <c r="BB28" s="19">
        <v>19000</v>
      </c>
      <c r="BC28" s="20">
        <f>MayReport[[#This Row],[Salary ]]/MayReport[[#This Row],[Days]]</f>
        <v>612.90322580645159</v>
      </c>
      <c r="BD28" s="20">
        <f>MayReport[[#This Row],[Per Day Salary ]]*MayReport[[#This Row],[Absent]]</f>
        <v>0</v>
      </c>
      <c r="BE28" s="20">
        <f>MayReport[[#This Row],[Salary ]]-MayReport[[#This Row],[Deduction]]</f>
        <v>19000</v>
      </c>
      <c r="BF28" s="20"/>
      <c r="BG28" s="24"/>
      <c r="BH28" s="22"/>
      <c r="BI28" s="22"/>
      <c r="BJ28" s="22"/>
      <c r="BK28" s="22"/>
      <c r="BL28" s="22"/>
      <c r="BM28" s="22"/>
      <c r="BN28" s="22"/>
    </row>
    <row r="29" spans="6:66" ht="16.5" thickBot="1" x14ac:dyDescent="0.3">
      <c r="F29" s="21"/>
      <c r="G29" s="11">
        <v>20</v>
      </c>
      <c r="H29" s="12" t="s">
        <v>24</v>
      </c>
      <c r="I29" s="12">
        <v>1020</v>
      </c>
      <c r="J29" s="48">
        <f t="shared" si="8"/>
        <v>4</v>
      </c>
      <c r="K29" s="39" t="s">
        <v>38</v>
      </c>
      <c r="L29" s="39" t="s">
        <v>38</v>
      </c>
      <c r="M29" s="39" t="s">
        <v>38</v>
      </c>
      <c r="N29" s="48" t="str">
        <f t="shared" si="9"/>
        <v>WO</v>
      </c>
      <c r="O29" s="39" t="s">
        <v>38</v>
      </c>
      <c r="P29" s="39" t="s">
        <v>38</v>
      </c>
      <c r="Q29" s="39" t="s">
        <v>38</v>
      </c>
      <c r="R29" s="34" t="s">
        <v>38</v>
      </c>
      <c r="S29" s="34" t="s">
        <v>38</v>
      </c>
      <c r="T29" s="34" t="s">
        <v>39</v>
      </c>
      <c r="U29" s="48" t="str">
        <f t="shared" si="10"/>
        <v>WO</v>
      </c>
      <c r="V29" s="34" t="s">
        <v>38</v>
      </c>
      <c r="W29" s="39" t="s">
        <v>38</v>
      </c>
      <c r="X29" s="39" t="s">
        <v>38</v>
      </c>
      <c r="Y29" s="39" t="s">
        <v>39</v>
      </c>
      <c r="Z29" s="39" t="s">
        <v>38</v>
      </c>
      <c r="AA29" s="34" t="s">
        <v>38</v>
      </c>
      <c r="AB29" s="48" t="str">
        <f t="shared" si="11"/>
        <v>WO</v>
      </c>
      <c r="AC29" s="39" t="s">
        <v>39</v>
      </c>
      <c r="AD29" s="39" t="s">
        <v>38</v>
      </c>
      <c r="AE29" s="39" t="s">
        <v>38</v>
      </c>
      <c r="AF29" s="39" t="s">
        <v>38</v>
      </c>
      <c r="AG29" s="39" t="s">
        <v>38</v>
      </c>
      <c r="AH29" s="39" t="s">
        <v>38</v>
      </c>
      <c r="AI29" s="48" t="str">
        <f t="shared" si="12"/>
        <v>WO</v>
      </c>
      <c r="AJ29" s="39" t="s">
        <v>39</v>
      </c>
      <c r="AK29" s="39" t="s">
        <v>38</v>
      </c>
      <c r="AL29" s="39" t="s">
        <v>38</v>
      </c>
      <c r="AM29" s="39" t="s">
        <v>38</v>
      </c>
      <c r="AN29" s="39" t="s">
        <v>38</v>
      </c>
      <c r="AO29" s="63" t="s">
        <v>38</v>
      </c>
      <c r="AP29" s="21"/>
      <c r="AQ29" s="24"/>
      <c r="AR29" s="10">
        <v>20</v>
      </c>
      <c r="AS29" s="10" t="s">
        <v>24</v>
      </c>
      <c r="AT29" s="10" t="str">
        <f t="shared" si="2"/>
        <v>May</v>
      </c>
      <c r="AU29" s="10">
        <v>1020</v>
      </c>
      <c r="AV29" s="9">
        <f t="shared" si="3"/>
        <v>23</v>
      </c>
      <c r="AW29" s="16">
        <f t="shared" si="4"/>
        <v>4</v>
      </c>
      <c r="AX29" s="16">
        <f t="shared" si="5"/>
        <v>0</v>
      </c>
      <c r="AY29" s="16">
        <f t="shared" si="6"/>
        <v>4</v>
      </c>
      <c r="AZ29" s="16">
        <f t="shared" si="7"/>
        <v>31</v>
      </c>
      <c r="BA29" s="16">
        <f>MayReport[[#This Row],[Days]]-MayReport[[#This Row],[Absent]]</f>
        <v>27</v>
      </c>
      <c r="BB29" s="19">
        <v>17000</v>
      </c>
      <c r="BC29" s="20">
        <f>MayReport[[#This Row],[Salary ]]/MayReport[[#This Row],[Days]]</f>
        <v>548.38709677419354</v>
      </c>
      <c r="BD29" s="20">
        <f>MayReport[[#This Row],[Per Day Salary ]]*MayReport[[#This Row],[Absent]]</f>
        <v>2193.5483870967741</v>
      </c>
      <c r="BE29" s="20">
        <f>MayReport[[#This Row],[Salary ]]-MayReport[[#This Row],[Deduction]]</f>
        <v>14806.451612903225</v>
      </c>
      <c r="BF29" s="20"/>
      <c r="BG29" s="24"/>
      <c r="BH29" s="22"/>
      <c r="BI29" s="22"/>
      <c r="BJ29" s="22"/>
      <c r="BK29" s="22"/>
      <c r="BL29" s="22"/>
      <c r="BM29" s="22"/>
      <c r="BN29" s="22"/>
    </row>
    <row r="30" spans="6:66" x14ac:dyDescent="0.25"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2"/>
      <c r="BI30" s="22"/>
      <c r="BJ30" s="22"/>
      <c r="BK30" s="22"/>
      <c r="BL30" s="22"/>
      <c r="BM30" s="22"/>
      <c r="BN30" s="22"/>
    </row>
    <row r="31" spans="6:66" s="22" customFormat="1" x14ac:dyDescent="0.25"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</row>
    <row r="32" spans="6:66" s="22" customFormat="1" x14ac:dyDescent="0.25"/>
    <row r="33" spans="6:66" x14ac:dyDescent="0.25"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H33" s="22"/>
      <c r="BI33" s="22"/>
      <c r="BJ33" s="22"/>
      <c r="BK33" s="22"/>
      <c r="BL33" s="22"/>
      <c r="BM33" s="22"/>
      <c r="BN33" s="22"/>
    </row>
    <row r="34" spans="6:66" x14ac:dyDescent="0.25"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H34" s="22"/>
      <c r="BI34" s="22"/>
      <c r="BJ34" s="22"/>
      <c r="BK34" s="22"/>
      <c r="BL34" s="22"/>
      <c r="BM34" s="22"/>
      <c r="BN34" s="22"/>
    </row>
    <row r="35" spans="6:66" x14ac:dyDescent="0.25"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H35" s="22"/>
      <c r="BI35" s="22"/>
      <c r="BJ35" s="22"/>
      <c r="BK35" s="22"/>
      <c r="BL35" s="22"/>
      <c r="BM35" s="22"/>
      <c r="BN35" s="22"/>
    </row>
    <row r="36" spans="6:66" x14ac:dyDescent="0.25"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H36" s="22"/>
      <c r="BI36" s="22"/>
      <c r="BJ36" s="22"/>
      <c r="BK36" s="22"/>
      <c r="BL36" s="22"/>
      <c r="BM36" s="22"/>
      <c r="BN36" s="22"/>
    </row>
    <row r="37" spans="6:66" x14ac:dyDescent="0.25"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H37" s="22"/>
      <c r="BI37" s="22"/>
      <c r="BJ37" s="22"/>
      <c r="BK37" s="22"/>
      <c r="BL37" s="22"/>
      <c r="BM37" s="22"/>
      <c r="BN37" s="22"/>
    </row>
    <row r="38" spans="6:66" x14ac:dyDescent="0.25"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H38" s="22"/>
      <c r="BI38" s="22"/>
      <c r="BJ38" s="22"/>
      <c r="BK38" s="22"/>
      <c r="BL38" s="22"/>
      <c r="BM38" s="22"/>
      <c r="BN38" s="22"/>
    </row>
    <row r="39" spans="6:66" x14ac:dyDescent="0.25"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H39" s="22"/>
      <c r="BI39" s="22"/>
      <c r="BJ39" s="22"/>
      <c r="BK39" s="22"/>
      <c r="BL39" s="22"/>
      <c r="BM39" s="22"/>
      <c r="BN39" s="22"/>
    </row>
    <row r="40" spans="6:66" x14ac:dyDescent="0.25"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H40" s="22"/>
      <c r="BI40" s="22"/>
      <c r="BJ40" s="22"/>
      <c r="BK40" s="22"/>
      <c r="BL40" s="22"/>
      <c r="BM40" s="22"/>
      <c r="BN40" s="22"/>
    </row>
    <row r="41" spans="6:66" x14ac:dyDescent="0.25"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H41" s="22"/>
      <c r="BI41" s="22"/>
      <c r="BJ41" s="22"/>
      <c r="BK41" s="22"/>
      <c r="BL41" s="22"/>
      <c r="BM41" s="22"/>
      <c r="BN41" s="22"/>
    </row>
    <row r="42" spans="6:66" x14ac:dyDescent="0.25"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H42" s="22"/>
      <c r="BI42" s="22"/>
      <c r="BJ42" s="22"/>
      <c r="BK42" s="22"/>
      <c r="BL42" s="22"/>
      <c r="BM42" s="22"/>
      <c r="BN42" s="22"/>
    </row>
    <row r="43" spans="6:66" x14ac:dyDescent="0.25"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H43" s="22"/>
      <c r="BI43" s="22"/>
      <c r="BJ43" s="22"/>
      <c r="BK43" s="22"/>
      <c r="BL43" s="22"/>
      <c r="BM43" s="22"/>
      <c r="BN43" s="22"/>
    </row>
    <row r="44" spans="6:66" x14ac:dyDescent="0.25"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H44" s="22"/>
      <c r="BI44" s="22"/>
      <c r="BJ44" s="22"/>
      <c r="BK44" s="22"/>
      <c r="BL44" s="22"/>
      <c r="BM44" s="22"/>
      <c r="BN44" s="22"/>
    </row>
    <row r="45" spans="6:66" x14ac:dyDescent="0.25"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H45" s="22"/>
      <c r="BI45" s="22"/>
      <c r="BJ45" s="22"/>
      <c r="BK45" s="22"/>
      <c r="BL45" s="22"/>
      <c r="BM45" s="22"/>
      <c r="BN45" s="22"/>
    </row>
    <row r="46" spans="6:66" x14ac:dyDescent="0.25"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H46" s="22"/>
      <c r="BI46" s="22"/>
      <c r="BJ46" s="22"/>
      <c r="BK46" s="22"/>
      <c r="BL46" s="22"/>
      <c r="BM46" s="22"/>
      <c r="BN46" s="22"/>
    </row>
    <row r="47" spans="6:66" x14ac:dyDescent="0.25"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H47" s="22"/>
      <c r="BI47" s="22"/>
      <c r="BJ47" s="22"/>
      <c r="BK47" s="22"/>
      <c r="BL47" s="22"/>
      <c r="BM47" s="22"/>
      <c r="BN47" s="22"/>
    </row>
    <row r="48" spans="6:66" x14ac:dyDescent="0.25"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H48" s="22"/>
      <c r="BI48" s="22"/>
      <c r="BJ48" s="22"/>
      <c r="BK48" s="22"/>
      <c r="BL48" s="22"/>
      <c r="BM48" s="22"/>
      <c r="BN48" s="22"/>
    </row>
    <row r="49" spans="6:66" x14ac:dyDescent="0.25"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H49" s="22"/>
      <c r="BI49" s="22"/>
      <c r="BJ49" s="22"/>
      <c r="BK49" s="22"/>
      <c r="BL49" s="22"/>
      <c r="BM49" s="22"/>
      <c r="BN49" s="22"/>
    </row>
    <row r="50" spans="6:66" x14ac:dyDescent="0.25"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H50" s="22"/>
      <c r="BI50" s="22"/>
      <c r="BJ50" s="22"/>
      <c r="BK50" s="22"/>
      <c r="BL50" s="22"/>
      <c r="BM50" s="22"/>
      <c r="BN50" s="22"/>
    </row>
    <row r="51" spans="6:66" x14ac:dyDescent="0.25"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H51" s="22"/>
      <c r="BI51" s="22"/>
      <c r="BJ51" s="22"/>
      <c r="BK51" s="22"/>
      <c r="BL51" s="22"/>
      <c r="BM51" s="22"/>
      <c r="BN51" s="22"/>
    </row>
    <row r="52" spans="6:66" x14ac:dyDescent="0.25"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H52" s="22"/>
      <c r="BI52" s="22"/>
      <c r="BJ52" s="22"/>
      <c r="BK52" s="22"/>
      <c r="BL52" s="22"/>
      <c r="BM52" s="22"/>
      <c r="BN52" s="22"/>
    </row>
    <row r="53" spans="6:66" x14ac:dyDescent="0.25"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H53" s="22"/>
      <c r="BI53" s="22"/>
      <c r="BJ53" s="22"/>
      <c r="BK53" s="22"/>
      <c r="BL53" s="22"/>
      <c r="BM53" s="22"/>
      <c r="BN53" s="22"/>
    </row>
    <row r="54" spans="6:66" x14ac:dyDescent="0.25"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H54" s="22"/>
      <c r="BI54" s="22"/>
      <c r="BJ54" s="22"/>
      <c r="BK54" s="22"/>
      <c r="BL54" s="22"/>
      <c r="BM54" s="22"/>
      <c r="BN54" s="22"/>
    </row>
    <row r="55" spans="6:66" x14ac:dyDescent="0.25"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H55" s="22"/>
      <c r="BI55" s="22"/>
      <c r="BJ55" s="22"/>
      <c r="BK55" s="22"/>
      <c r="BL55" s="22"/>
      <c r="BM55" s="22"/>
      <c r="BN55" s="22"/>
    </row>
    <row r="56" spans="6:66" x14ac:dyDescent="0.25"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H56" s="22"/>
      <c r="BI56" s="22"/>
      <c r="BJ56" s="22"/>
      <c r="BK56" s="22"/>
      <c r="BL56" s="22"/>
      <c r="BM56" s="22"/>
      <c r="BN56" s="22"/>
    </row>
    <row r="57" spans="6:66" x14ac:dyDescent="0.25"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H57" s="22"/>
      <c r="BI57" s="22"/>
      <c r="BJ57" s="22"/>
      <c r="BK57" s="22"/>
      <c r="BL57" s="22"/>
      <c r="BM57" s="22"/>
      <c r="BN57" s="22"/>
    </row>
    <row r="58" spans="6:66" x14ac:dyDescent="0.25"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H58" s="22"/>
      <c r="BI58" s="22"/>
      <c r="BJ58" s="22"/>
      <c r="BK58" s="22"/>
      <c r="BL58" s="22"/>
      <c r="BM58" s="22"/>
      <c r="BN58" s="22"/>
    </row>
    <row r="59" spans="6:66" x14ac:dyDescent="0.25"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H59" s="22"/>
      <c r="BI59" s="22"/>
      <c r="BJ59" s="22"/>
      <c r="BK59" s="22"/>
      <c r="BL59" s="22"/>
      <c r="BM59" s="22"/>
      <c r="BN59" s="22"/>
    </row>
    <row r="60" spans="6:66" x14ac:dyDescent="0.25"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H60" s="22"/>
      <c r="BI60" s="22"/>
      <c r="BJ60" s="22"/>
      <c r="BK60" s="22"/>
      <c r="BL60" s="22"/>
      <c r="BM60" s="22"/>
      <c r="BN60" s="22"/>
    </row>
    <row r="61" spans="6:66" x14ac:dyDescent="0.25"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H61" s="22"/>
      <c r="BI61" s="22"/>
      <c r="BJ61" s="22"/>
      <c r="BK61" s="22"/>
      <c r="BL61" s="22"/>
      <c r="BM61" s="22"/>
      <c r="BN61" s="22"/>
    </row>
    <row r="62" spans="6:66" x14ac:dyDescent="0.25"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H62" s="22"/>
      <c r="BI62" s="22"/>
      <c r="BJ62" s="22"/>
      <c r="BK62" s="22"/>
      <c r="BL62" s="22"/>
      <c r="BM62" s="22"/>
      <c r="BN62" s="22"/>
    </row>
    <row r="63" spans="6:66" x14ac:dyDescent="0.25"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H63" s="22"/>
      <c r="BI63" s="22"/>
      <c r="BJ63" s="22"/>
      <c r="BK63" s="22"/>
      <c r="BL63" s="22"/>
      <c r="BM63" s="22"/>
      <c r="BN63" s="22"/>
    </row>
    <row r="64" spans="6:66" x14ac:dyDescent="0.25"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H64" s="22"/>
      <c r="BI64" s="22"/>
      <c r="BJ64" s="22"/>
      <c r="BK64" s="22"/>
      <c r="BL64" s="22"/>
      <c r="BM64" s="22"/>
      <c r="BN64" s="22"/>
    </row>
    <row r="65" spans="6:66" x14ac:dyDescent="0.25"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H65" s="22"/>
      <c r="BI65" s="22"/>
      <c r="BJ65" s="22"/>
      <c r="BK65" s="22"/>
      <c r="BL65" s="22"/>
      <c r="BM65" s="22"/>
      <c r="BN65" s="22"/>
    </row>
    <row r="66" spans="6:66" x14ac:dyDescent="0.25"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H66" s="22"/>
      <c r="BI66" s="22"/>
      <c r="BJ66" s="22"/>
      <c r="BK66" s="22"/>
      <c r="BL66" s="22"/>
      <c r="BM66" s="22"/>
      <c r="BN66" s="22"/>
    </row>
    <row r="67" spans="6:66" x14ac:dyDescent="0.25"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H67" s="22"/>
      <c r="BI67" s="22"/>
      <c r="BJ67" s="22"/>
      <c r="BK67" s="22"/>
      <c r="BL67" s="22"/>
      <c r="BM67" s="22"/>
      <c r="BN67" s="22"/>
    </row>
    <row r="68" spans="6:66" x14ac:dyDescent="0.25"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H68" s="22"/>
      <c r="BI68" s="22"/>
      <c r="BJ68" s="22"/>
      <c r="BK68" s="22"/>
      <c r="BL68" s="22"/>
      <c r="BM68" s="22"/>
      <c r="BN68" s="22"/>
    </row>
    <row r="69" spans="6:66" x14ac:dyDescent="0.25"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H69" s="22"/>
      <c r="BI69" s="22"/>
      <c r="BJ69" s="22"/>
      <c r="BK69" s="22"/>
      <c r="BL69" s="22"/>
      <c r="BM69" s="22"/>
      <c r="BN69" s="22"/>
    </row>
    <row r="70" spans="6:66" x14ac:dyDescent="0.25"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H70" s="22"/>
      <c r="BI70" s="22"/>
      <c r="BJ70" s="22"/>
      <c r="BK70" s="22"/>
      <c r="BL70" s="22"/>
      <c r="BM70" s="22"/>
      <c r="BN70" s="22"/>
    </row>
    <row r="71" spans="6:66" x14ac:dyDescent="0.25"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H71" s="22"/>
      <c r="BI71" s="22"/>
      <c r="BJ71" s="22"/>
      <c r="BK71" s="22"/>
      <c r="BL71" s="22"/>
      <c r="BM71" s="22"/>
      <c r="BN71" s="22"/>
    </row>
    <row r="72" spans="6:66" x14ac:dyDescent="0.25"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H72" s="22"/>
      <c r="BI72" s="22"/>
      <c r="BJ72" s="22"/>
      <c r="BK72" s="22"/>
      <c r="BL72" s="22"/>
      <c r="BM72" s="22"/>
      <c r="BN72" s="22"/>
    </row>
    <row r="73" spans="6:66" x14ac:dyDescent="0.25"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H73" s="22"/>
      <c r="BI73" s="22"/>
      <c r="BJ73" s="22"/>
      <c r="BK73" s="22"/>
      <c r="BL73" s="22"/>
      <c r="BM73" s="22"/>
      <c r="BN73" s="22"/>
    </row>
    <row r="74" spans="6:66" x14ac:dyDescent="0.25"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H74" s="22"/>
      <c r="BI74" s="22"/>
      <c r="BJ74" s="22"/>
      <c r="BK74" s="22"/>
      <c r="BL74" s="22"/>
      <c r="BM74" s="22"/>
      <c r="BN74" s="22"/>
    </row>
    <row r="75" spans="6:66" x14ac:dyDescent="0.25"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H75" s="22"/>
      <c r="BI75" s="22"/>
      <c r="BJ75" s="22"/>
      <c r="BK75" s="22"/>
      <c r="BL75" s="22"/>
      <c r="BM75" s="22"/>
      <c r="BN75" s="22"/>
    </row>
    <row r="76" spans="6:66" x14ac:dyDescent="0.25"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H76" s="22"/>
      <c r="BI76" s="22"/>
      <c r="BJ76" s="22"/>
      <c r="BK76" s="22"/>
      <c r="BL76" s="22"/>
      <c r="BM76" s="22"/>
      <c r="BN76" s="22"/>
    </row>
    <row r="77" spans="6:66" x14ac:dyDescent="0.25"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H77" s="22"/>
      <c r="BI77" s="22"/>
      <c r="BJ77" s="22"/>
      <c r="BK77" s="22"/>
      <c r="BL77" s="22"/>
      <c r="BM77" s="22"/>
      <c r="BN77" s="22"/>
    </row>
    <row r="78" spans="6:66" x14ac:dyDescent="0.25"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H78" s="22"/>
      <c r="BI78" s="22"/>
      <c r="BJ78" s="22"/>
      <c r="BK78" s="22"/>
      <c r="BL78" s="22"/>
      <c r="BM78" s="22"/>
      <c r="BN78" s="22"/>
    </row>
    <row r="79" spans="6:66" x14ac:dyDescent="0.25"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H79" s="22"/>
      <c r="BI79" s="22"/>
      <c r="BJ79" s="22"/>
      <c r="BK79" s="22"/>
      <c r="BL79" s="22"/>
      <c r="BM79" s="22"/>
      <c r="BN79" s="22"/>
    </row>
    <row r="80" spans="6:66" x14ac:dyDescent="0.25"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H80" s="22"/>
      <c r="BI80" s="22"/>
      <c r="BJ80" s="22"/>
      <c r="BK80" s="22"/>
      <c r="BL80" s="22"/>
      <c r="BM80" s="22"/>
      <c r="BN80" s="22"/>
    </row>
    <row r="81" spans="6:66" x14ac:dyDescent="0.25"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H81" s="22"/>
      <c r="BI81" s="22"/>
      <c r="BJ81" s="22"/>
      <c r="BK81" s="22"/>
      <c r="BL81" s="22"/>
      <c r="BM81" s="22"/>
      <c r="BN81" s="22"/>
    </row>
    <row r="82" spans="6:66" x14ac:dyDescent="0.25"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H82" s="22"/>
      <c r="BI82" s="22"/>
      <c r="BJ82" s="22"/>
      <c r="BK82" s="22"/>
      <c r="BL82" s="22"/>
      <c r="BM82" s="22"/>
      <c r="BN82" s="22"/>
    </row>
    <row r="83" spans="6:66" x14ac:dyDescent="0.25"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H83" s="22"/>
      <c r="BI83" s="22"/>
      <c r="BJ83" s="22"/>
      <c r="BK83" s="22"/>
      <c r="BL83" s="22"/>
      <c r="BM83" s="22"/>
      <c r="BN83" s="22"/>
    </row>
    <row r="84" spans="6:66" x14ac:dyDescent="0.25"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H84" s="22"/>
      <c r="BI84" s="22"/>
      <c r="BJ84" s="22"/>
      <c r="BK84" s="22"/>
      <c r="BL84" s="22"/>
      <c r="BM84" s="22"/>
      <c r="BN84" s="22"/>
    </row>
    <row r="85" spans="6:66" x14ac:dyDescent="0.25"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H85" s="22"/>
      <c r="BI85" s="22"/>
      <c r="BJ85" s="22"/>
      <c r="BK85" s="22"/>
      <c r="BL85" s="22"/>
      <c r="BM85" s="22"/>
      <c r="BN85" s="22"/>
    </row>
    <row r="86" spans="6:66" x14ac:dyDescent="0.25"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H86" s="22"/>
      <c r="BI86" s="22"/>
      <c r="BJ86" s="22"/>
      <c r="BK86" s="22"/>
      <c r="BL86" s="22"/>
      <c r="BM86" s="22"/>
      <c r="BN86" s="22"/>
    </row>
    <row r="87" spans="6:66" x14ac:dyDescent="0.25"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H87" s="22"/>
      <c r="BI87" s="22"/>
      <c r="BJ87" s="22"/>
      <c r="BK87" s="22"/>
      <c r="BL87" s="22"/>
      <c r="BM87" s="22"/>
      <c r="BN87" s="22"/>
    </row>
    <row r="88" spans="6:66" x14ac:dyDescent="0.25"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H88" s="22"/>
      <c r="BI88" s="22"/>
      <c r="BJ88" s="22"/>
      <c r="BK88" s="22"/>
      <c r="BL88" s="22"/>
      <c r="BM88" s="22"/>
      <c r="BN88" s="22"/>
    </row>
    <row r="89" spans="6:66" x14ac:dyDescent="0.25"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H89" s="22"/>
      <c r="BI89" s="22"/>
      <c r="BJ89" s="22"/>
      <c r="BK89" s="22"/>
      <c r="BL89" s="22"/>
      <c r="BM89" s="22"/>
      <c r="BN89" s="22"/>
    </row>
    <row r="90" spans="6:66" x14ac:dyDescent="0.25"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H90" s="22"/>
      <c r="BI90" s="22"/>
      <c r="BJ90" s="22"/>
      <c r="BK90" s="22"/>
      <c r="BL90" s="22"/>
      <c r="BM90" s="22"/>
      <c r="BN90" s="22"/>
    </row>
    <row r="91" spans="6:66" x14ac:dyDescent="0.25"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H91" s="22"/>
      <c r="BI91" s="22"/>
      <c r="BJ91" s="22"/>
      <c r="BK91" s="22"/>
      <c r="BL91" s="22"/>
      <c r="BM91" s="22"/>
      <c r="BN91" s="22"/>
    </row>
    <row r="92" spans="6:66" x14ac:dyDescent="0.25"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H92" s="22"/>
      <c r="BI92" s="22"/>
      <c r="BJ92" s="22"/>
      <c r="BK92" s="22"/>
      <c r="BL92" s="22"/>
      <c r="BM92" s="22"/>
      <c r="BN92" s="22"/>
    </row>
    <row r="93" spans="6:66" x14ac:dyDescent="0.25"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H93" s="22"/>
      <c r="BI93" s="22"/>
      <c r="BJ93" s="22"/>
      <c r="BK93" s="22"/>
      <c r="BL93" s="22"/>
      <c r="BM93" s="22"/>
      <c r="BN93" s="22"/>
    </row>
    <row r="94" spans="6:66" x14ac:dyDescent="0.25"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H94" s="22"/>
      <c r="BI94" s="22"/>
      <c r="BJ94" s="22"/>
      <c r="BK94" s="22"/>
      <c r="BL94" s="22"/>
      <c r="BM94" s="22"/>
      <c r="BN94" s="22"/>
    </row>
    <row r="95" spans="6:66" x14ac:dyDescent="0.25"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H95" s="22"/>
      <c r="BI95" s="22"/>
      <c r="BJ95" s="22"/>
      <c r="BK95" s="22"/>
      <c r="BL95" s="22"/>
      <c r="BM95" s="22"/>
      <c r="BN95" s="22"/>
    </row>
    <row r="96" spans="6:66" x14ac:dyDescent="0.25"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H96" s="22"/>
      <c r="BI96" s="22"/>
      <c r="BJ96" s="22"/>
      <c r="BK96" s="22"/>
      <c r="BL96" s="22"/>
      <c r="BM96" s="22"/>
      <c r="BN96" s="22"/>
    </row>
    <row r="97" spans="6:66" x14ac:dyDescent="0.25"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H97" s="22"/>
      <c r="BI97" s="22"/>
      <c r="BJ97" s="22"/>
      <c r="BK97" s="22"/>
      <c r="BL97" s="22"/>
      <c r="BM97" s="22"/>
      <c r="BN97" s="22"/>
    </row>
    <row r="98" spans="6:66" x14ac:dyDescent="0.25"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H98" s="22"/>
      <c r="BI98" s="22"/>
      <c r="BJ98" s="22"/>
      <c r="BK98" s="22"/>
      <c r="BL98" s="22"/>
      <c r="BM98" s="22"/>
      <c r="BN98" s="22"/>
    </row>
    <row r="99" spans="6:66" x14ac:dyDescent="0.25"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H99" s="22"/>
      <c r="BI99" s="22"/>
      <c r="BJ99" s="22"/>
      <c r="BK99" s="22"/>
      <c r="BL99" s="22"/>
      <c r="BM99" s="22"/>
      <c r="BN99" s="22"/>
    </row>
    <row r="100" spans="6:66" x14ac:dyDescent="0.25"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H100" s="22"/>
      <c r="BI100" s="22"/>
      <c r="BJ100" s="22"/>
      <c r="BK100" s="22"/>
      <c r="BL100" s="22"/>
      <c r="BM100" s="22"/>
      <c r="BN100" s="22"/>
    </row>
    <row r="101" spans="6:66" x14ac:dyDescent="0.25"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H101" s="22"/>
      <c r="BI101" s="22"/>
      <c r="BJ101" s="22"/>
      <c r="BK101" s="22"/>
      <c r="BL101" s="22"/>
      <c r="BM101" s="22"/>
      <c r="BN101" s="22"/>
    </row>
    <row r="102" spans="6:66" x14ac:dyDescent="0.25"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H102" s="22"/>
      <c r="BI102" s="22"/>
      <c r="BJ102" s="22"/>
      <c r="BK102" s="22"/>
      <c r="BL102" s="22"/>
      <c r="BM102" s="22"/>
      <c r="BN102" s="22"/>
    </row>
    <row r="103" spans="6:66" x14ac:dyDescent="0.25"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H103" s="22"/>
      <c r="BI103" s="22"/>
      <c r="BJ103" s="22"/>
      <c r="BK103" s="22"/>
      <c r="BL103" s="22"/>
      <c r="BM103" s="22"/>
      <c r="BN103" s="22"/>
    </row>
    <row r="104" spans="6:66" x14ac:dyDescent="0.25"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H104" s="22"/>
      <c r="BI104" s="22"/>
      <c r="BJ104" s="22"/>
      <c r="BK104" s="22"/>
      <c r="BL104" s="22"/>
      <c r="BM104" s="22"/>
      <c r="BN104" s="22"/>
    </row>
    <row r="105" spans="6:66" x14ac:dyDescent="0.25"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H105" s="22"/>
      <c r="BI105" s="22"/>
      <c r="BJ105" s="22"/>
      <c r="BK105" s="22"/>
      <c r="BL105" s="22"/>
      <c r="BM105" s="22"/>
      <c r="BN105" s="22"/>
    </row>
    <row r="106" spans="6:66" x14ac:dyDescent="0.25"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H106" s="22"/>
      <c r="BI106" s="22"/>
      <c r="BJ106" s="22"/>
      <c r="BK106" s="22"/>
      <c r="BL106" s="22"/>
      <c r="BM106" s="22"/>
      <c r="BN106" s="22"/>
    </row>
    <row r="107" spans="6:66" x14ac:dyDescent="0.25"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H107" s="22"/>
      <c r="BI107" s="22"/>
      <c r="BJ107" s="22"/>
      <c r="BK107" s="22"/>
      <c r="BL107" s="22"/>
      <c r="BM107" s="22"/>
      <c r="BN107" s="22"/>
    </row>
    <row r="108" spans="6:66" x14ac:dyDescent="0.25"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H108" s="22"/>
      <c r="BI108" s="22"/>
      <c r="BJ108" s="22"/>
      <c r="BK108" s="22"/>
      <c r="BL108" s="22"/>
      <c r="BM108" s="22"/>
      <c r="BN108" s="22"/>
    </row>
    <row r="109" spans="6:66" x14ac:dyDescent="0.25"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H109" s="22"/>
      <c r="BI109" s="22"/>
      <c r="BJ109" s="22"/>
      <c r="BK109" s="22"/>
      <c r="BL109" s="22"/>
      <c r="BM109" s="22"/>
      <c r="BN109" s="22"/>
    </row>
    <row r="110" spans="6:66" x14ac:dyDescent="0.25"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H110" s="22"/>
      <c r="BI110" s="22"/>
      <c r="BJ110" s="22"/>
      <c r="BK110" s="22"/>
      <c r="BL110" s="22"/>
      <c r="BM110" s="22"/>
      <c r="BN110" s="22"/>
    </row>
    <row r="111" spans="6:66" x14ac:dyDescent="0.25"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H111" s="22"/>
      <c r="BI111" s="22"/>
      <c r="BJ111" s="22"/>
      <c r="BK111" s="22"/>
      <c r="BL111" s="22"/>
      <c r="BM111" s="22"/>
      <c r="BN111" s="22"/>
    </row>
    <row r="112" spans="6:66" x14ac:dyDescent="0.25"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H112" s="22"/>
      <c r="BI112" s="22"/>
      <c r="BJ112" s="22"/>
      <c r="BK112" s="22"/>
      <c r="BL112" s="22"/>
      <c r="BM112" s="22"/>
      <c r="BN112" s="22"/>
    </row>
    <row r="113" spans="6:66" x14ac:dyDescent="0.25"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H113" s="22"/>
      <c r="BI113" s="22"/>
      <c r="BJ113" s="22"/>
      <c r="BK113" s="22"/>
      <c r="BL113" s="22"/>
      <c r="BM113" s="22"/>
      <c r="BN113" s="22"/>
    </row>
    <row r="114" spans="6:66" x14ac:dyDescent="0.25"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H114" s="22"/>
      <c r="BI114" s="22"/>
      <c r="BJ114" s="22"/>
      <c r="BK114" s="22"/>
      <c r="BL114" s="22"/>
      <c r="BM114" s="22"/>
      <c r="BN114" s="22"/>
    </row>
    <row r="115" spans="6:66" x14ac:dyDescent="0.25"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H115" s="22"/>
      <c r="BI115" s="22"/>
      <c r="BJ115" s="22"/>
      <c r="BK115" s="22"/>
      <c r="BL115" s="22"/>
      <c r="BM115" s="22"/>
      <c r="BN115" s="22"/>
    </row>
    <row r="116" spans="6:66" x14ac:dyDescent="0.25"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H116" s="22"/>
      <c r="BI116" s="22"/>
      <c r="BJ116" s="22"/>
      <c r="BK116" s="22"/>
      <c r="BL116" s="22"/>
      <c r="BM116" s="22"/>
      <c r="BN116" s="22"/>
    </row>
    <row r="117" spans="6:66" x14ac:dyDescent="0.25"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H117" s="22"/>
      <c r="BI117" s="22"/>
      <c r="BJ117" s="22"/>
      <c r="BK117" s="22"/>
      <c r="BL117" s="22"/>
      <c r="BM117" s="22"/>
      <c r="BN117" s="22"/>
    </row>
    <row r="118" spans="6:66" x14ac:dyDescent="0.25"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H118" s="22"/>
      <c r="BI118" s="22"/>
      <c r="BJ118" s="22"/>
      <c r="BK118" s="22"/>
      <c r="BL118" s="22"/>
      <c r="BM118" s="22"/>
      <c r="BN118" s="22"/>
    </row>
    <row r="119" spans="6:66" x14ac:dyDescent="0.25"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H119" s="22"/>
      <c r="BI119" s="22"/>
      <c r="BJ119" s="22"/>
      <c r="BK119" s="22"/>
      <c r="BL119" s="22"/>
      <c r="BM119" s="22"/>
      <c r="BN119" s="22"/>
    </row>
    <row r="120" spans="6:66" x14ac:dyDescent="0.25"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H120" s="22"/>
      <c r="BI120" s="22"/>
      <c r="BJ120" s="22"/>
      <c r="BK120" s="22"/>
      <c r="BL120" s="22"/>
      <c r="BM120" s="22"/>
      <c r="BN120" s="22"/>
    </row>
    <row r="121" spans="6:66" x14ac:dyDescent="0.25"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H121" s="22"/>
      <c r="BI121" s="22"/>
      <c r="BJ121" s="22"/>
      <c r="BK121" s="22"/>
      <c r="BL121" s="22"/>
      <c r="BM121" s="22"/>
      <c r="BN121" s="22"/>
    </row>
    <row r="122" spans="6:66" x14ac:dyDescent="0.25"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H122" s="22"/>
      <c r="BI122" s="22"/>
      <c r="BJ122" s="22"/>
      <c r="BK122" s="22"/>
      <c r="BL122" s="22"/>
      <c r="BM122" s="22"/>
      <c r="BN122" s="22"/>
    </row>
    <row r="123" spans="6:66" x14ac:dyDescent="0.25"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H123" s="22"/>
      <c r="BI123" s="22"/>
      <c r="BJ123" s="22"/>
      <c r="BK123" s="22"/>
      <c r="BL123" s="22"/>
      <c r="BM123" s="22"/>
      <c r="BN123" s="22"/>
    </row>
    <row r="124" spans="6:66" x14ac:dyDescent="0.25"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H124" s="22"/>
      <c r="BI124" s="22"/>
      <c r="BJ124" s="22"/>
      <c r="BK124" s="22"/>
      <c r="BL124" s="22"/>
      <c r="BM124" s="22"/>
      <c r="BN124" s="22"/>
    </row>
    <row r="125" spans="6:66" x14ac:dyDescent="0.25"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H125" s="22"/>
      <c r="BI125" s="22"/>
      <c r="BJ125" s="22"/>
      <c r="BK125" s="22"/>
      <c r="BL125" s="22"/>
      <c r="BM125" s="22"/>
      <c r="BN125" s="22"/>
    </row>
    <row r="126" spans="6:66" x14ac:dyDescent="0.25"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H126" s="22"/>
      <c r="BI126" s="22"/>
      <c r="BJ126" s="22"/>
      <c r="BK126" s="22"/>
      <c r="BL126" s="22"/>
      <c r="BM126" s="22"/>
      <c r="BN126" s="22"/>
    </row>
    <row r="127" spans="6:66" x14ac:dyDescent="0.25"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H127" s="22"/>
      <c r="BI127" s="22"/>
      <c r="BJ127" s="22"/>
      <c r="BK127" s="22"/>
      <c r="BL127" s="22"/>
      <c r="BM127" s="22"/>
      <c r="BN127" s="22"/>
    </row>
    <row r="128" spans="6:66" x14ac:dyDescent="0.25"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H128" s="22"/>
      <c r="BI128" s="22"/>
      <c r="BJ128" s="22"/>
      <c r="BK128" s="22"/>
      <c r="BL128" s="22"/>
      <c r="BM128" s="22"/>
      <c r="BN128" s="22"/>
    </row>
    <row r="129" spans="6:66" x14ac:dyDescent="0.25"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H129" s="22"/>
      <c r="BI129" s="22"/>
      <c r="BJ129" s="22"/>
      <c r="BK129" s="22"/>
      <c r="BL129" s="22"/>
      <c r="BM129" s="22"/>
      <c r="BN129" s="22"/>
    </row>
    <row r="130" spans="6:66" x14ac:dyDescent="0.25"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H130" s="22"/>
      <c r="BI130" s="22"/>
      <c r="BJ130" s="22"/>
      <c r="BK130" s="22"/>
      <c r="BL130" s="22"/>
      <c r="BM130" s="22"/>
      <c r="BN130" s="22"/>
    </row>
    <row r="131" spans="6:66" x14ac:dyDescent="0.25"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H131" s="22"/>
      <c r="BI131" s="22"/>
      <c r="BJ131" s="22"/>
      <c r="BK131" s="22"/>
      <c r="BL131" s="22"/>
      <c r="BM131" s="22"/>
      <c r="BN131" s="22"/>
    </row>
    <row r="132" spans="6:66" x14ac:dyDescent="0.25"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H132" s="22"/>
      <c r="BI132" s="22"/>
      <c r="BJ132" s="22"/>
      <c r="BK132" s="22"/>
      <c r="BL132" s="22"/>
      <c r="BM132" s="22"/>
      <c r="BN132" s="22"/>
    </row>
    <row r="133" spans="6:66" x14ac:dyDescent="0.25"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H133" s="22"/>
      <c r="BI133" s="22"/>
      <c r="BJ133" s="22"/>
      <c r="BK133" s="22"/>
      <c r="BL133" s="22"/>
      <c r="BM133" s="22"/>
      <c r="BN133" s="22"/>
    </row>
    <row r="134" spans="6:66" x14ac:dyDescent="0.25"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H134" s="22"/>
      <c r="BI134" s="22"/>
      <c r="BJ134" s="22"/>
      <c r="BK134" s="22"/>
      <c r="BL134" s="22"/>
      <c r="BM134" s="22"/>
      <c r="BN134" s="22"/>
    </row>
    <row r="135" spans="6:66" x14ac:dyDescent="0.25"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H135" s="22"/>
      <c r="BI135" s="22"/>
      <c r="BJ135" s="22"/>
      <c r="BK135" s="22"/>
      <c r="BL135" s="22"/>
      <c r="BM135" s="22"/>
      <c r="BN135" s="22"/>
    </row>
    <row r="136" spans="6:66" x14ac:dyDescent="0.25"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H136" s="22"/>
      <c r="BI136" s="22"/>
      <c r="BJ136" s="22"/>
      <c r="BK136" s="22"/>
      <c r="BL136" s="22"/>
      <c r="BM136" s="22"/>
      <c r="BN136" s="22"/>
    </row>
    <row r="137" spans="6:66" x14ac:dyDescent="0.25"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H137" s="22"/>
      <c r="BI137" s="22"/>
      <c r="BJ137" s="22"/>
      <c r="BK137" s="22"/>
      <c r="BL137" s="22"/>
      <c r="BM137" s="22"/>
      <c r="BN137" s="22"/>
    </row>
    <row r="138" spans="6:66" x14ac:dyDescent="0.25"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H138" s="22"/>
      <c r="BI138" s="22"/>
      <c r="BJ138" s="22"/>
      <c r="BK138" s="22"/>
      <c r="BL138" s="22"/>
      <c r="BM138" s="22"/>
      <c r="BN138" s="22"/>
    </row>
    <row r="139" spans="6:66" x14ac:dyDescent="0.25"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H139" s="22"/>
      <c r="BI139" s="22"/>
      <c r="BJ139" s="22"/>
      <c r="BK139" s="22"/>
      <c r="BL139" s="22"/>
      <c r="BM139" s="22"/>
      <c r="BN139" s="22"/>
    </row>
    <row r="140" spans="6:66" x14ac:dyDescent="0.25"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H140" s="22"/>
      <c r="BI140" s="22"/>
      <c r="BJ140" s="22"/>
      <c r="BK140" s="22"/>
      <c r="BL140" s="22"/>
      <c r="BM140" s="22"/>
      <c r="BN140" s="22"/>
    </row>
    <row r="141" spans="6:66" x14ac:dyDescent="0.25"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H141" s="22"/>
      <c r="BI141" s="22"/>
      <c r="BJ141" s="22"/>
      <c r="BK141" s="22"/>
      <c r="BL141" s="22"/>
      <c r="BM141" s="22"/>
      <c r="BN141" s="22"/>
    </row>
    <row r="142" spans="6:66" x14ac:dyDescent="0.25"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H142" s="22"/>
      <c r="BI142" s="22"/>
      <c r="BJ142" s="22"/>
      <c r="BK142" s="22"/>
      <c r="BL142" s="22"/>
      <c r="BM142" s="22"/>
      <c r="BN142" s="22"/>
    </row>
    <row r="143" spans="6:66" x14ac:dyDescent="0.25"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H143" s="22"/>
      <c r="BI143" s="22"/>
      <c r="BJ143" s="22"/>
      <c r="BK143" s="22"/>
      <c r="BL143" s="22"/>
      <c r="BM143" s="22"/>
      <c r="BN143" s="22"/>
    </row>
    <row r="144" spans="6:66" x14ac:dyDescent="0.25"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H144" s="22"/>
      <c r="BI144" s="22"/>
      <c r="BJ144" s="22"/>
      <c r="BK144" s="22"/>
      <c r="BL144" s="22"/>
      <c r="BM144" s="22"/>
      <c r="BN144" s="22"/>
    </row>
    <row r="145" spans="6:66" x14ac:dyDescent="0.25"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H145" s="22"/>
      <c r="BI145" s="22"/>
      <c r="BJ145" s="22"/>
      <c r="BK145" s="22"/>
      <c r="BL145" s="22"/>
      <c r="BM145" s="22"/>
      <c r="BN145" s="22"/>
    </row>
    <row r="146" spans="6:66" x14ac:dyDescent="0.25"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H146" s="22"/>
      <c r="BI146" s="22"/>
      <c r="BJ146" s="22"/>
      <c r="BK146" s="22"/>
      <c r="BL146" s="22"/>
      <c r="BM146" s="22"/>
      <c r="BN146" s="22"/>
    </row>
    <row r="147" spans="6:66" x14ac:dyDescent="0.25"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H147" s="22"/>
      <c r="BI147" s="22"/>
      <c r="BJ147" s="22"/>
      <c r="BK147" s="22"/>
      <c r="BL147" s="22"/>
      <c r="BM147" s="22"/>
      <c r="BN147" s="22"/>
    </row>
    <row r="148" spans="6:66" x14ac:dyDescent="0.25"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H148" s="22"/>
      <c r="BI148" s="22"/>
      <c r="BJ148" s="22"/>
      <c r="BK148" s="22"/>
      <c r="BL148" s="22"/>
      <c r="BM148" s="22"/>
      <c r="BN148" s="22"/>
    </row>
    <row r="149" spans="6:66" x14ac:dyDescent="0.25"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H149" s="22"/>
      <c r="BI149" s="22"/>
      <c r="BJ149" s="22"/>
      <c r="BK149" s="22"/>
      <c r="BL149" s="22"/>
      <c r="BM149" s="22"/>
      <c r="BN149" s="22"/>
    </row>
    <row r="150" spans="6:66" x14ac:dyDescent="0.25"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H150" s="22"/>
      <c r="BI150" s="22"/>
      <c r="BJ150" s="22"/>
      <c r="BK150" s="22"/>
      <c r="BL150" s="22"/>
      <c r="BM150" s="22"/>
      <c r="BN150" s="22"/>
    </row>
    <row r="151" spans="6:66" x14ac:dyDescent="0.25"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H151" s="22"/>
      <c r="BI151" s="22"/>
      <c r="BJ151" s="22"/>
      <c r="BK151" s="22"/>
      <c r="BL151" s="22"/>
      <c r="BM151" s="22"/>
      <c r="BN151" s="22"/>
    </row>
    <row r="152" spans="6:66" x14ac:dyDescent="0.25"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H152" s="22"/>
      <c r="BI152" s="22"/>
      <c r="BJ152" s="22"/>
      <c r="BK152" s="22"/>
      <c r="BL152" s="22"/>
      <c r="BM152" s="22"/>
      <c r="BN152" s="22"/>
    </row>
    <row r="153" spans="6:66" x14ac:dyDescent="0.25"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H153" s="22"/>
      <c r="BI153" s="22"/>
      <c r="BJ153" s="22"/>
      <c r="BK153" s="22"/>
      <c r="BL153" s="22"/>
      <c r="BM153" s="22"/>
      <c r="BN153" s="22"/>
    </row>
    <row r="154" spans="6:66" x14ac:dyDescent="0.25"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H154" s="22"/>
      <c r="BI154" s="22"/>
      <c r="BJ154" s="22"/>
      <c r="BK154" s="22"/>
      <c r="BL154" s="22"/>
      <c r="BM154" s="22"/>
      <c r="BN154" s="22"/>
    </row>
    <row r="155" spans="6:66" x14ac:dyDescent="0.25"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H155" s="22"/>
      <c r="BI155" s="22"/>
      <c r="BJ155" s="22"/>
      <c r="BK155" s="22"/>
      <c r="BL155" s="22"/>
      <c r="BM155" s="22"/>
      <c r="BN155" s="22"/>
    </row>
    <row r="156" spans="6:66" x14ac:dyDescent="0.25"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H156" s="22"/>
      <c r="BI156" s="22"/>
      <c r="BJ156" s="22"/>
      <c r="BK156" s="22"/>
      <c r="BL156" s="22"/>
      <c r="BM156" s="22"/>
      <c r="BN156" s="22"/>
    </row>
    <row r="157" spans="6:66" x14ac:dyDescent="0.25"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H157" s="22"/>
      <c r="BI157" s="22"/>
      <c r="BJ157" s="22"/>
      <c r="BK157" s="22"/>
      <c r="BL157" s="22"/>
      <c r="BM157" s="22"/>
      <c r="BN157" s="22"/>
    </row>
    <row r="158" spans="6:66" x14ac:dyDescent="0.25"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H158" s="22"/>
      <c r="BI158" s="22"/>
      <c r="BJ158" s="22"/>
      <c r="BK158" s="22"/>
      <c r="BL158" s="22"/>
      <c r="BM158" s="22"/>
      <c r="BN158" s="22"/>
    </row>
    <row r="159" spans="6:66" x14ac:dyDescent="0.25"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H159" s="22"/>
      <c r="BI159" s="22"/>
      <c r="BJ159" s="22"/>
      <c r="BK159" s="22"/>
      <c r="BL159" s="22"/>
      <c r="BM159" s="22"/>
      <c r="BN159" s="22"/>
    </row>
    <row r="160" spans="6:66" x14ac:dyDescent="0.25"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H160" s="22"/>
      <c r="BI160" s="22"/>
      <c r="BJ160" s="22"/>
      <c r="BK160" s="22"/>
      <c r="BL160" s="22"/>
      <c r="BM160" s="22"/>
      <c r="BN160" s="22"/>
    </row>
    <row r="161" spans="6:66" x14ac:dyDescent="0.25"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H161" s="22"/>
      <c r="BI161" s="22"/>
      <c r="BJ161" s="22"/>
      <c r="BK161" s="22"/>
      <c r="BL161" s="22"/>
      <c r="BM161" s="22"/>
      <c r="BN161" s="22"/>
    </row>
    <row r="162" spans="6:66" x14ac:dyDescent="0.25"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H162" s="22"/>
      <c r="BI162" s="22"/>
      <c r="BJ162" s="22"/>
      <c r="BK162" s="22"/>
      <c r="BL162" s="22"/>
      <c r="BM162" s="22"/>
      <c r="BN162" s="22"/>
    </row>
    <row r="163" spans="6:66" x14ac:dyDescent="0.25"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H163" s="22"/>
      <c r="BI163" s="22"/>
      <c r="BJ163" s="22"/>
      <c r="BK163" s="22"/>
      <c r="BL163" s="22"/>
      <c r="BM163" s="22"/>
      <c r="BN163" s="22"/>
    </row>
    <row r="164" spans="6:66" x14ac:dyDescent="0.25"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H164" s="22"/>
      <c r="BI164" s="22"/>
      <c r="BJ164" s="22"/>
      <c r="BK164" s="22"/>
      <c r="BL164" s="22"/>
      <c r="BM164" s="22"/>
      <c r="BN164" s="22"/>
    </row>
    <row r="165" spans="6:66" x14ac:dyDescent="0.25"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H165" s="22"/>
      <c r="BI165" s="22"/>
      <c r="BJ165" s="22"/>
      <c r="BK165" s="22"/>
      <c r="BL165" s="22"/>
      <c r="BM165" s="22"/>
      <c r="BN165" s="22"/>
    </row>
    <row r="166" spans="6:66" x14ac:dyDescent="0.25"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H166" s="22"/>
      <c r="BI166" s="22"/>
      <c r="BJ166" s="22"/>
      <c r="BK166" s="22"/>
      <c r="BL166" s="22"/>
      <c r="BM166" s="22"/>
      <c r="BN166" s="22"/>
    </row>
    <row r="167" spans="6:66" x14ac:dyDescent="0.25"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H167" s="22"/>
      <c r="BI167" s="22"/>
      <c r="BJ167" s="22"/>
      <c r="BK167" s="22"/>
      <c r="BL167" s="22"/>
      <c r="BM167" s="22"/>
      <c r="BN167" s="22"/>
    </row>
    <row r="168" spans="6:66" x14ac:dyDescent="0.25"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H168" s="22"/>
      <c r="BI168" s="22"/>
      <c r="BJ168" s="22"/>
      <c r="BK168" s="22"/>
      <c r="BL168" s="22"/>
      <c r="BM168" s="22"/>
      <c r="BN168" s="22"/>
    </row>
    <row r="169" spans="6:66" x14ac:dyDescent="0.25"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H169" s="22"/>
      <c r="BI169" s="22"/>
      <c r="BJ169" s="22"/>
      <c r="BK169" s="22"/>
      <c r="BL169" s="22"/>
      <c r="BM169" s="22"/>
      <c r="BN169" s="22"/>
    </row>
    <row r="170" spans="6:66" x14ac:dyDescent="0.25"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H170" s="22"/>
      <c r="BI170" s="22"/>
      <c r="BJ170" s="22"/>
      <c r="BK170" s="22"/>
      <c r="BL170" s="22"/>
      <c r="BM170" s="22"/>
      <c r="BN170" s="22"/>
    </row>
    <row r="171" spans="6:66" x14ac:dyDescent="0.25"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H171" s="22"/>
      <c r="BI171" s="22"/>
      <c r="BJ171" s="22"/>
      <c r="BK171" s="22"/>
      <c r="BL171" s="22"/>
      <c r="BM171" s="22"/>
      <c r="BN171" s="22"/>
    </row>
    <row r="172" spans="6:66" x14ac:dyDescent="0.25"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H172" s="22"/>
      <c r="BI172" s="22"/>
      <c r="BJ172" s="22"/>
      <c r="BK172" s="22"/>
      <c r="BL172" s="22"/>
      <c r="BM172" s="22"/>
      <c r="BN172" s="22"/>
    </row>
    <row r="173" spans="6:66" x14ac:dyDescent="0.25"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H173" s="22"/>
      <c r="BI173" s="22"/>
      <c r="BJ173" s="22"/>
      <c r="BK173" s="22"/>
      <c r="BL173" s="22"/>
      <c r="BM173" s="22"/>
      <c r="BN173" s="22"/>
    </row>
    <row r="174" spans="6:66" x14ac:dyDescent="0.25"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H174" s="22"/>
      <c r="BI174" s="22"/>
      <c r="BJ174" s="22"/>
      <c r="BK174" s="22"/>
      <c r="BL174" s="22"/>
      <c r="BM174" s="22"/>
      <c r="BN174" s="22"/>
    </row>
    <row r="175" spans="6:66" x14ac:dyDescent="0.25"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H175" s="22"/>
      <c r="BI175" s="22"/>
      <c r="BJ175" s="22"/>
      <c r="BK175" s="22"/>
      <c r="BL175" s="22"/>
      <c r="BM175" s="22"/>
      <c r="BN175" s="22"/>
    </row>
    <row r="176" spans="6:66" x14ac:dyDescent="0.25"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H176" s="22"/>
      <c r="BI176" s="22"/>
      <c r="BJ176" s="22"/>
      <c r="BK176" s="22"/>
      <c r="BL176" s="22"/>
      <c r="BM176" s="22"/>
      <c r="BN176" s="22"/>
    </row>
    <row r="177" spans="6:66" x14ac:dyDescent="0.25"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H177" s="22"/>
      <c r="BI177" s="22"/>
      <c r="BJ177" s="22"/>
      <c r="BK177" s="22"/>
      <c r="BL177" s="22"/>
      <c r="BM177" s="22"/>
      <c r="BN177" s="22"/>
    </row>
    <row r="178" spans="6:66" x14ac:dyDescent="0.25"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H178" s="22"/>
      <c r="BI178" s="22"/>
      <c r="BJ178" s="22"/>
      <c r="BK178" s="22"/>
      <c r="BL178" s="22"/>
      <c r="BM178" s="22"/>
      <c r="BN178" s="22"/>
    </row>
    <row r="179" spans="6:66" x14ac:dyDescent="0.25"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H179" s="22"/>
      <c r="BI179" s="22"/>
      <c r="BJ179" s="22"/>
      <c r="BK179" s="22"/>
      <c r="BL179" s="22"/>
      <c r="BM179" s="22"/>
      <c r="BN179" s="22"/>
    </row>
    <row r="180" spans="6:66" x14ac:dyDescent="0.25"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H180" s="22"/>
      <c r="BI180" s="22"/>
      <c r="BJ180" s="22"/>
      <c r="BK180" s="22"/>
      <c r="BL180" s="22"/>
      <c r="BM180" s="22"/>
      <c r="BN180" s="22"/>
    </row>
    <row r="181" spans="6:66" x14ac:dyDescent="0.25"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H181" s="22"/>
      <c r="BI181" s="22"/>
      <c r="BJ181" s="22"/>
      <c r="BK181" s="22"/>
      <c r="BL181" s="22"/>
      <c r="BM181" s="22"/>
      <c r="BN181" s="22"/>
    </row>
    <row r="182" spans="6:66" x14ac:dyDescent="0.25"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H182" s="22"/>
      <c r="BI182" s="22"/>
      <c r="BJ182" s="22"/>
      <c r="BK182" s="22"/>
      <c r="BL182" s="22"/>
      <c r="BM182" s="22"/>
      <c r="BN182" s="22"/>
    </row>
    <row r="183" spans="6:66" x14ac:dyDescent="0.25"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H183" s="22"/>
      <c r="BI183" s="22"/>
      <c r="BJ183" s="22"/>
      <c r="BK183" s="22"/>
      <c r="BL183" s="22"/>
      <c r="BM183" s="22"/>
      <c r="BN183" s="22"/>
    </row>
    <row r="184" spans="6:66" x14ac:dyDescent="0.25"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H184" s="22"/>
      <c r="BI184" s="22"/>
      <c r="BJ184" s="22"/>
      <c r="BK184" s="22"/>
      <c r="BL184" s="22"/>
      <c r="BM184" s="22"/>
      <c r="BN184" s="22"/>
    </row>
    <row r="185" spans="6:66" x14ac:dyDescent="0.25"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H185" s="22"/>
      <c r="BI185" s="22"/>
      <c r="BJ185" s="22"/>
      <c r="BK185" s="22"/>
      <c r="BL185" s="22"/>
      <c r="BM185" s="22"/>
      <c r="BN185" s="22"/>
    </row>
    <row r="186" spans="6:66" x14ac:dyDescent="0.25"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H186" s="22"/>
      <c r="BI186" s="22"/>
      <c r="BJ186" s="22"/>
      <c r="BK186" s="22"/>
      <c r="BL186" s="22"/>
      <c r="BM186" s="22"/>
      <c r="BN186" s="22"/>
    </row>
    <row r="187" spans="6:66" x14ac:dyDescent="0.25"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H187" s="22"/>
      <c r="BI187" s="22"/>
      <c r="BJ187" s="22"/>
      <c r="BK187" s="22"/>
      <c r="BL187" s="22"/>
      <c r="BM187" s="22"/>
      <c r="BN187" s="22"/>
    </row>
    <row r="188" spans="6:66" x14ac:dyDescent="0.25"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H188" s="22"/>
      <c r="BI188" s="22"/>
      <c r="BJ188" s="22"/>
      <c r="BK188" s="22"/>
      <c r="BL188" s="22"/>
      <c r="BM188" s="22"/>
      <c r="BN188" s="22"/>
    </row>
    <row r="189" spans="6:66" x14ac:dyDescent="0.25"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H189" s="22"/>
      <c r="BI189" s="22"/>
      <c r="BJ189" s="22"/>
      <c r="BK189" s="22"/>
      <c r="BL189" s="22"/>
      <c r="BM189" s="22"/>
      <c r="BN189" s="22"/>
    </row>
    <row r="190" spans="6:66" x14ac:dyDescent="0.25"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H190" s="22"/>
      <c r="BI190" s="22"/>
      <c r="BJ190" s="22"/>
      <c r="BK190" s="22"/>
      <c r="BL190" s="22"/>
      <c r="BM190" s="22"/>
      <c r="BN190" s="22"/>
    </row>
    <row r="191" spans="6:66" x14ac:dyDescent="0.25"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H191" s="22"/>
      <c r="BI191" s="22"/>
      <c r="BJ191" s="22"/>
      <c r="BK191" s="22"/>
      <c r="BL191" s="22"/>
      <c r="BM191" s="22"/>
      <c r="BN191" s="22"/>
    </row>
    <row r="192" spans="6:66" x14ac:dyDescent="0.25"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H192" s="22"/>
      <c r="BI192" s="22"/>
      <c r="BJ192" s="22"/>
      <c r="BK192" s="22"/>
      <c r="BL192" s="22"/>
      <c r="BM192" s="22"/>
      <c r="BN192" s="22"/>
    </row>
    <row r="193" spans="6:66" x14ac:dyDescent="0.25"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H193" s="22"/>
      <c r="BI193" s="22"/>
      <c r="BJ193" s="22"/>
      <c r="BK193" s="22"/>
      <c r="BL193" s="22"/>
      <c r="BM193" s="22"/>
      <c r="BN193" s="22"/>
    </row>
    <row r="194" spans="6:66" x14ac:dyDescent="0.25"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H194" s="22"/>
      <c r="BI194" s="22"/>
      <c r="BJ194" s="22"/>
      <c r="BK194" s="22"/>
      <c r="BL194" s="22"/>
      <c r="BM194" s="22"/>
      <c r="BN194" s="22"/>
    </row>
    <row r="195" spans="6:66" x14ac:dyDescent="0.25">
      <c r="BH195" s="22"/>
      <c r="BI195" s="22"/>
      <c r="BJ195" s="22"/>
      <c r="BK195" s="22"/>
      <c r="BL195" s="22"/>
      <c r="BM195" s="22"/>
      <c r="BN195" s="22"/>
    </row>
    <row r="196" spans="6:66" x14ac:dyDescent="0.25">
      <c r="BH196" s="22"/>
      <c r="BI196" s="22"/>
      <c r="BJ196" s="22"/>
      <c r="BK196" s="22"/>
      <c r="BL196" s="22"/>
      <c r="BM196" s="22"/>
      <c r="BN196" s="22"/>
    </row>
    <row r="197" spans="6:66" x14ac:dyDescent="0.25">
      <c r="BH197" s="22"/>
      <c r="BI197" s="22"/>
      <c r="BJ197" s="22"/>
      <c r="BK197" s="22"/>
      <c r="BL197" s="22"/>
      <c r="BM197" s="22"/>
      <c r="BN197" s="22"/>
    </row>
    <row r="198" spans="6:66" x14ac:dyDescent="0.25">
      <c r="BH198" s="22"/>
      <c r="BI198" s="22"/>
      <c r="BJ198" s="22"/>
      <c r="BK198" s="22"/>
      <c r="BL198" s="22"/>
      <c r="BM198" s="22"/>
      <c r="BN198" s="22"/>
    </row>
    <row r="199" spans="6:66" x14ac:dyDescent="0.25">
      <c r="BH199" s="22"/>
      <c r="BI199" s="22"/>
      <c r="BJ199" s="22"/>
      <c r="BK199" s="22"/>
      <c r="BL199" s="22"/>
      <c r="BM199" s="22"/>
      <c r="BN199" s="22"/>
    </row>
    <row r="200" spans="6:66" x14ac:dyDescent="0.25">
      <c r="BH200" s="22"/>
      <c r="BI200" s="22"/>
      <c r="BJ200" s="22"/>
      <c r="BK200" s="22"/>
      <c r="BL200" s="22"/>
      <c r="BM200" s="22"/>
      <c r="BN200" s="22"/>
    </row>
    <row r="201" spans="6:66" x14ac:dyDescent="0.25">
      <c r="BH201" s="22"/>
      <c r="BI201" s="22"/>
      <c r="BJ201" s="22"/>
      <c r="BK201" s="22"/>
      <c r="BL201" s="22"/>
      <c r="BM201" s="22"/>
      <c r="BN201" s="22"/>
    </row>
    <row r="202" spans="6:66" x14ac:dyDescent="0.25">
      <c r="BH202" s="22"/>
      <c r="BI202" s="22"/>
      <c r="BJ202" s="22"/>
      <c r="BK202" s="22"/>
      <c r="BL202" s="22"/>
      <c r="BM202" s="22"/>
      <c r="BN202" s="22"/>
    </row>
    <row r="203" spans="6:66" x14ac:dyDescent="0.25">
      <c r="BH203" s="22"/>
      <c r="BI203" s="22"/>
      <c r="BJ203" s="22"/>
      <c r="BK203" s="22"/>
      <c r="BL203" s="22"/>
      <c r="BM203" s="22"/>
      <c r="BN203" s="22"/>
    </row>
    <row r="204" spans="6:66" x14ac:dyDescent="0.25">
      <c r="BH204" s="22"/>
      <c r="BI204" s="22"/>
      <c r="BJ204" s="22"/>
      <c r="BK204" s="22"/>
      <c r="BL204" s="22"/>
      <c r="BM204" s="22"/>
      <c r="BN204" s="22"/>
    </row>
    <row r="205" spans="6:66" x14ac:dyDescent="0.25">
      <c r="BH205" s="22"/>
      <c r="BI205" s="22"/>
      <c r="BJ205" s="22"/>
      <c r="BK205" s="22"/>
      <c r="BL205" s="22"/>
      <c r="BM205" s="22"/>
      <c r="BN205" s="22"/>
    </row>
    <row r="206" spans="6:66" x14ac:dyDescent="0.25">
      <c r="BH206" s="22"/>
      <c r="BI206" s="22"/>
      <c r="BJ206" s="22"/>
      <c r="BK206" s="22"/>
      <c r="BL206" s="22"/>
      <c r="BM206" s="22"/>
      <c r="BN206" s="22"/>
    </row>
    <row r="207" spans="6:66" x14ac:dyDescent="0.25">
      <c r="BH207" s="22"/>
      <c r="BI207" s="22"/>
      <c r="BJ207" s="22"/>
      <c r="BK207" s="22"/>
      <c r="BL207" s="22"/>
      <c r="BM207" s="22"/>
      <c r="BN207" s="22"/>
    </row>
    <row r="208" spans="6:66" x14ac:dyDescent="0.25">
      <c r="BH208" s="22"/>
      <c r="BI208" s="22"/>
      <c r="BJ208" s="22"/>
      <c r="BK208" s="22"/>
      <c r="BL208" s="22"/>
      <c r="BM208" s="22"/>
      <c r="BN208" s="22"/>
    </row>
    <row r="209" spans="60:66" x14ac:dyDescent="0.25">
      <c r="BH209" s="22"/>
      <c r="BI209" s="22"/>
      <c r="BJ209" s="22"/>
      <c r="BK209" s="22"/>
      <c r="BL209" s="22"/>
      <c r="BM209" s="22"/>
      <c r="BN209" s="22"/>
    </row>
    <row r="210" spans="60:66" x14ac:dyDescent="0.25">
      <c r="BH210" s="22"/>
      <c r="BI210" s="22"/>
      <c r="BJ210" s="22"/>
      <c r="BK210" s="22"/>
      <c r="BL210" s="22"/>
      <c r="BM210" s="22"/>
      <c r="BN210" s="22"/>
    </row>
    <row r="211" spans="60:66" x14ac:dyDescent="0.25">
      <c r="BH211" s="22"/>
      <c r="BI211" s="22"/>
      <c r="BJ211" s="22"/>
      <c r="BK211" s="22"/>
      <c r="BL211" s="22"/>
      <c r="BM211" s="22"/>
      <c r="BN211" s="22"/>
    </row>
    <row r="212" spans="60:66" x14ac:dyDescent="0.25">
      <c r="BH212" s="22"/>
      <c r="BI212" s="22"/>
      <c r="BJ212" s="22"/>
      <c r="BK212" s="22"/>
      <c r="BL212" s="22"/>
      <c r="BM212" s="22"/>
      <c r="BN212" s="22"/>
    </row>
    <row r="213" spans="60:66" x14ac:dyDescent="0.25">
      <c r="BH213" s="22"/>
      <c r="BI213" s="22"/>
      <c r="BJ213" s="22"/>
      <c r="BK213" s="22"/>
      <c r="BL213" s="22"/>
      <c r="BM213" s="22"/>
      <c r="BN213" s="22"/>
    </row>
    <row r="214" spans="60:66" x14ac:dyDescent="0.25">
      <c r="BH214" s="22"/>
      <c r="BI214" s="22"/>
      <c r="BJ214" s="22"/>
      <c r="BK214" s="22"/>
      <c r="BL214" s="22"/>
      <c r="BM214" s="22"/>
      <c r="BN214" s="22"/>
    </row>
    <row r="215" spans="60:66" x14ac:dyDescent="0.25">
      <c r="BH215" s="22"/>
      <c r="BI215" s="22"/>
      <c r="BJ215" s="22"/>
      <c r="BK215" s="22"/>
      <c r="BL215" s="22"/>
      <c r="BM215" s="22"/>
      <c r="BN215" s="22"/>
    </row>
    <row r="216" spans="60:66" x14ac:dyDescent="0.25">
      <c r="BH216" s="22"/>
      <c r="BI216" s="22"/>
      <c r="BJ216" s="22"/>
      <c r="BK216" s="22"/>
      <c r="BL216" s="22"/>
      <c r="BM216" s="22"/>
      <c r="BN216" s="22"/>
    </row>
    <row r="217" spans="60:66" x14ac:dyDescent="0.25">
      <c r="BH217" s="22"/>
      <c r="BI217" s="22"/>
      <c r="BJ217" s="22"/>
      <c r="BK217" s="22"/>
      <c r="BL217" s="22"/>
      <c r="BM217" s="22"/>
      <c r="BN217" s="22"/>
    </row>
    <row r="218" spans="60:66" x14ac:dyDescent="0.25">
      <c r="BH218" s="22"/>
      <c r="BI218" s="22"/>
      <c r="BJ218" s="22"/>
      <c r="BK218" s="22"/>
      <c r="BL218" s="22"/>
      <c r="BM218" s="22"/>
      <c r="BN218" s="22"/>
    </row>
    <row r="219" spans="60:66" x14ac:dyDescent="0.25">
      <c r="BH219" s="22"/>
      <c r="BI219" s="22"/>
      <c r="BJ219" s="22"/>
      <c r="BK219" s="22"/>
      <c r="BL219" s="22"/>
      <c r="BM219" s="22"/>
      <c r="BN219" s="22"/>
    </row>
    <row r="220" spans="60:66" x14ac:dyDescent="0.25">
      <c r="BH220" s="22"/>
      <c r="BI220" s="22"/>
      <c r="BJ220" s="22"/>
      <c r="BK220" s="22"/>
      <c r="BL220" s="22"/>
      <c r="BM220" s="22"/>
      <c r="BN220" s="22"/>
    </row>
    <row r="221" spans="60:66" x14ac:dyDescent="0.25">
      <c r="BH221" s="22"/>
      <c r="BI221" s="22"/>
      <c r="BJ221" s="22"/>
      <c r="BK221" s="22"/>
      <c r="BL221" s="22"/>
      <c r="BM221" s="22"/>
      <c r="BN221" s="22"/>
    </row>
    <row r="222" spans="60:66" x14ac:dyDescent="0.25">
      <c r="BH222" s="22"/>
      <c r="BI222" s="22"/>
      <c r="BJ222" s="22"/>
      <c r="BK222" s="22"/>
      <c r="BL222" s="22"/>
      <c r="BM222" s="22"/>
      <c r="BN222" s="22"/>
    </row>
    <row r="223" spans="60:66" x14ac:dyDescent="0.25">
      <c r="BH223" s="22"/>
      <c r="BI223" s="22"/>
      <c r="BJ223" s="22"/>
      <c r="BK223" s="22"/>
      <c r="BL223" s="22"/>
      <c r="BM223" s="22"/>
      <c r="BN223" s="22"/>
    </row>
    <row r="224" spans="60:66" x14ac:dyDescent="0.25">
      <c r="BH224" s="22"/>
      <c r="BI224" s="22"/>
      <c r="BJ224" s="22"/>
      <c r="BK224" s="22"/>
      <c r="BL224" s="22"/>
      <c r="BM224" s="22"/>
      <c r="BN224" s="22"/>
    </row>
    <row r="225" spans="60:66" x14ac:dyDescent="0.25">
      <c r="BH225" s="22"/>
      <c r="BI225" s="22"/>
      <c r="BJ225" s="22"/>
      <c r="BK225" s="22"/>
      <c r="BL225" s="22"/>
      <c r="BM225" s="22"/>
      <c r="BN225" s="22"/>
    </row>
    <row r="226" spans="60:66" x14ac:dyDescent="0.25">
      <c r="BH226" s="22"/>
      <c r="BI226" s="22"/>
      <c r="BJ226" s="22"/>
      <c r="BK226" s="22"/>
      <c r="BL226" s="22"/>
      <c r="BM226" s="22"/>
      <c r="BN226" s="22"/>
    </row>
    <row r="227" spans="60:66" x14ac:dyDescent="0.25">
      <c r="BH227" s="22"/>
      <c r="BI227" s="22"/>
      <c r="BJ227" s="22"/>
      <c r="BK227" s="22"/>
      <c r="BL227" s="22"/>
      <c r="BM227" s="22"/>
      <c r="BN227" s="22"/>
    </row>
    <row r="228" spans="60:66" x14ac:dyDescent="0.25">
      <c r="BH228" s="22"/>
      <c r="BI228" s="22"/>
      <c r="BJ228" s="22"/>
      <c r="BK228" s="22"/>
      <c r="BL228" s="22"/>
      <c r="BM228" s="22"/>
      <c r="BN228" s="22"/>
    </row>
    <row r="229" spans="60:66" x14ac:dyDescent="0.25">
      <c r="BH229" s="22"/>
      <c r="BI229" s="22"/>
      <c r="BJ229" s="22"/>
      <c r="BK229" s="22"/>
      <c r="BL229" s="22"/>
      <c r="BM229" s="22"/>
      <c r="BN229" s="22"/>
    </row>
    <row r="230" spans="60:66" x14ac:dyDescent="0.25">
      <c r="BH230" s="22"/>
      <c r="BI230" s="22"/>
      <c r="BJ230" s="22"/>
      <c r="BK230" s="22"/>
      <c r="BL230" s="22"/>
      <c r="BM230" s="22"/>
      <c r="BN230" s="22"/>
    </row>
    <row r="231" spans="60:66" x14ac:dyDescent="0.25">
      <c r="BH231" s="22"/>
      <c r="BI231" s="22"/>
      <c r="BJ231" s="22"/>
      <c r="BK231" s="22"/>
      <c r="BL231" s="22"/>
      <c r="BM231" s="22"/>
      <c r="BN231" s="22"/>
    </row>
    <row r="232" spans="60:66" x14ac:dyDescent="0.25">
      <c r="BH232" s="22"/>
      <c r="BI232" s="22"/>
      <c r="BJ232" s="22"/>
      <c r="BK232" s="22"/>
      <c r="BL232" s="22"/>
      <c r="BM232" s="22"/>
      <c r="BN232" s="22"/>
    </row>
    <row r="233" spans="60:66" x14ac:dyDescent="0.25">
      <c r="BH233" s="22"/>
      <c r="BI233" s="22"/>
      <c r="BJ233" s="22"/>
      <c r="BK233" s="22"/>
      <c r="BL233" s="22"/>
      <c r="BM233" s="22"/>
      <c r="BN233" s="22"/>
    </row>
    <row r="234" spans="60:66" x14ac:dyDescent="0.25">
      <c r="BH234" s="22"/>
      <c r="BI234" s="22"/>
      <c r="BJ234" s="22"/>
      <c r="BK234" s="22"/>
      <c r="BL234" s="22"/>
      <c r="BM234" s="22"/>
      <c r="BN234" s="22"/>
    </row>
    <row r="235" spans="60:66" x14ac:dyDescent="0.25">
      <c r="BH235" s="22"/>
      <c r="BI235" s="22"/>
      <c r="BJ235" s="22"/>
      <c r="BK235" s="22"/>
      <c r="BL235" s="22"/>
      <c r="BM235" s="22"/>
      <c r="BN235" s="22"/>
    </row>
    <row r="236" spans="60:66" x14ac:dyDescent="0.25">
      <c r="BH236" s="22"/>
      <c r="BI236" s="22"/>
      <c r="BJ236" s="22"/>
      <c r="BK236" s="22"/>
      <c r="BL236" s="22"/>
      <c r="BM236" s="22"/>
      <c r="BN236" s="22"/>
    </row>
    <row r="237" spans="60:66" x14ac:dyDescent="0.25">
      <c r="BH237" s="22"/>
      <c r="BI237" s="22"/>
      <c r="BJ237" s="22"/>
      <c r="BK237" s="22"/>
      <c r="BL237" s="22"/>
      <c r="BM237" s="22"/>
      <c r="BN237" s="22"/>
    </row>
    <row r="238" spans="60:66" x14ac:dyDescent="0.25">
      <c r="BH238" s="22"/>
      <c r="BI238" s="22"/>
      <c r="BJ238" s="22"/>
      <c r="BK238" s="22"/>
      <c r="BL238" s="22"/>
      <c r="BM238" s="22"/>
      <c r="BN238" s="22"/>
    </row>
    <row r="239" spans="60:66" x14ac:dyDescent="0.25">
      <c r="BH239" s="22"/>
      <c r="BI239" s="22"/>
      <c r="BJ239" s="22"/>
      <c r="BK239" s="22"/>
      <c r="BL239" s="22"/>
      <c r="BM239" s="22"/>
      <c r="BN239" s="22"/>
    </row>
    <row r="240" spans="60:66" x14ac:dyDescent="0.25">
      <c r="BH240" s="22"/>
      <c r="BI240" s="22"/>
      <c r="BJ240" s="22"/>
      <c r="BK240" s="22"/>
      <c r="BL240" s="22"/>
      <c r="BM240" s="22"/>
      <c r="BN240" s="22"/>
    </row>
    <row r="241" spans="60:66" x14ac:dyDescent="0.25">
      <c r="BH241" s="22"/>
      <c r="BI241" s="22"/>
      <c r="BJ241" s="22"/>
      <c r="BK241" s="22"/>
      <c r="BL241" s="22"/>
      <c r="BM241" s="22"/>
      <c r="BN241" s="22"/>
    </row>
    <row r="242" spans="60:66" x14ac:dyDescent="0.25">
      <c r="BH242" s="22"/>
      <c r="BI242" s="22"/>
      <c r="BJ242" s="22"/>
      <c r="BK242" s="22"/>
      <c r="BL242" s="22"/>
      <c r="BM242" s="22"/>
      <c r="BN242" s="22"/>
    </row>
    <row r="243" spans="60:66" x14ac:dyDescent="0.25">
      <c r="BH243" s="22"/>
      <c r="BI243" s="22"/>
      <c r="BJ243" s="22"/>
      <c r="BK243" s="22"/>
      <c r="BL243" s="22"/>
      <c r="BM243" s="22"/>
      <c r="BN243" s="22"/>
    </row>
    <row r="244" spans="60:66" x14ac:dyDescent="0.25">
      <c r="BH244" s="22"/>
      <c r="BI244" s="22"/>
      <c r="BJ244" s="22"/>
      <c r="BK244" s="22"/>
      <c r="BL244" s="22"/>
      <c r="BM244" s="22"/>
      <c r="BN244" s="22"/>
    </row>
    <row r="245" spans="60:66" x14ac:dyDescent="0.25">
      <c r="BH245" s="22"/>
      <c r="BI245" s="22"/>
      <c r="BJ245" s="22"/>
      <c r="BK245" s="22"/>
      <c r="BL245" s="22"/>
      <c r="BM245" s="22"/>
      <c r="BN245" s="22"/>
    </row>
    <row r="246" spans="60:66" x14ac:dyDescent="0.25">
      <c r="BH246" s="22"/>
      <c r="BI246" s="22"/>
      <c r="BJ246" s="22"/>
      <c r="BK246" s="22"/>
      <c r="BL246" s="22"/>
      <c r="BM246" s="22"/>
      <c r="BN246" s="22"/>
    </row>
    <row r="247" spans="60:66" x14ac:dyDescent="0.25">
      <c r="BH247" s="22"/>
      <c r="BI247" s="22"/>
      <c r="BJ247" s="22"/>
      <c r="BK247" s="22"/>
      <c r="BL247" s="22"/>
      <c r="BM247" s="22"/>
      <c r="BN247" s="22"/>
    </row>
  </sheetData>
  <conditionalFormatting sqref="J10:J29">
    <cfRule type="containsText" dxfId="114" priority="58" operator="containsText" text="WO">
      <formula>NOT(ISERROR(SEARCH("WO",J10)))</formula>
    </cfRule>
  </conditionalFormatting>
  <conditionalFormatting sqref="K10:T29">
    <cfRule type="containsText" dxfId="113" priority="9" operator="containsText" text="L">
      <formula>NOT(ISERROR(SEARCH("L",K10)))</formula>
    </cfRule>
    <cfRule type="containsText" dxfId="112" priority="10" operator="containsText" text="A">
      <formula>NOT(ISERROR(SEARCH("A",K10)))</formula>
    </cfRule>
    <cfRule type="containsText" dxfId="111" priority="11" operator="containsText" text="P">
      <formula>NOT(ISERROR(SEARCH("P",K10)))</formula>
    </cfRule>
  </conditionalFormatting>
  <conditionalFormatting sqref="L10:N10 K11:N29">
    <cfRule type="containsText" dxfId="110" priority="24" operator="containsText" text="WO">
      <formula>NOT(ISERROR(SEARCH("WO",K10)))</formula>
    </cfRule>
  </conditionalFormatting>
  <conditionalFormatting sqref="R11:R29">
    <cfRule type="containsText" dxfId="109" priority="13" operator="containsText" text="WO">
      <formula>NOT(ISERROR(SEARCH("WO",R11)))</formula>
    </cfRule>
  </conditionalFormatting>
  <conditionalFormatting sqref="S10:U29">
    <cfRule type="containsText" dxfId="108" priority="12" operator="containsText" text="WO">
      <formula>NOT(ISERROR(SEARCH("WO",S10)))</formula>
    </cfRule>
  </conditionalFormatting>
  <conditionalFormatting sqref="U10:V29">
    <cfRule type="containsText" dxfId="107" priority="54" operator="containsText" text="WO">
      <formula>NOT(ISERROR(SEARCH("WO",U10)))</formula>
    </cfRule>
  </conditionalFormatting>
  <conditionalFormatting sqref="U10:AB29 AI10:AI29">
    <cfRule type="containsText" dxfId="106" priority="17" operator="containsText" text="L">
      <formula>NOT(ISERROR(SEARCH("L",U10)))</formula>
    </cfRule>
    <cfRule type="containsText" dxfId="105" priority="18" operator="containsText" text="A">
      <formula>NOT(ISERROR(SEARCH("A",U10)))</formula>
    </cfRule>
    <cfRule type="containsText" dxfId="104" priority="19" operator="containsText" text="P">
      <formula>NOT(ISERROR(SEARCH("P",U10)))</formula>
    </cfRule>
  </conditionalFormatting>
  <conditionalFormatting sqref="AB10:AB29 AA11:AA29">
    <cfRule type="containsText" dxfId="103" priority="44" operator="containsText" text="WO">
      <formula>NOT(ISERROR(SEARCH("WO",AA10)))</formula>
    </cfRule>
  </conditionalFormatting>
  <conditionalFormatting sqref="AB10:AB29">
    <cfRule type="containsText" dxfId="102" priority="15" operator="containsText" text="WO">
      <formula>NOT(ISERROR(SEARCH("WO",AB10)))</formula>
    </cfRule>
  </conditionalFormatting>
  <conditionalFormatting sqref="AC10:AH29">
    <cfRule type="containsText" dxfId="101" priority="5" operator="containsText" text="L">
      <formula>NOT(ISERROR(SEARCH("L",AC10)))</formula>
    </cfRule>
    <cfRule type="containsText" dxfId="100" priority="6" operator="containsText" text="A">
      <formula>NOT(ISERROR(SEARCH("A",AC10)))</formula>
    </cfRule>
    <cfRule type="containsText" dxfId="99" priority="7" operator="containsText" text="P">
      <formula>NOT(ISERROR(SEARCH("P",AC10)))</formula>
    </cfRule>
  </conditionalFormatting>
  <conditionalFormatting sqref="AD10:AE29 AC11:AC29">
    <cfRule type="containsText" dxfId="98" priority="8" operator="containsText" text="WO">
      <formula>NOT(ISERROR(SEARCH("WO",AC10)))</formula>
    </cfRule>
  </conditionalFormatting>
  <conditionalFormatting sqref="AI10:AI29">
    <cfRule type="containsText" dxfId="97" priority="14" operator="containsText" text="WO">
      <formula>NOT(ISERROR(SEARCH("WO",AI10)))</formula>
    </cfRule>
    <cfRule type="containsText" dxfId="96" priority="34" operator="containsText" text="WO">
      <formula>NOT(ISERROR(SEARCH("WO",AI10)))</formula>
    </cfRule>
  </conditionalFormatting>
  <conditionalFormatting sqref="AJ10:AO29">
    <cfRule type="containsText" dxfId="95" priority="1" operator="containsText" text="L">
      <formula>NOT(ISERROR(SEARCH("L",AJ10)))</formula>
    </cfRule>
    <cfRule type="containsText" dxfId="94" priority="2" operator="containsText" text="A">
      <formula>NOT(ISERROR(SEARCH("A",AJ10)))</formula>
    </cfRule>
    <cfRule type="containsText" dxfId="93" priority="3" operator="containsText" text="P">
      <formula>NOT(ISERROR(SEARCH("P",AJ10)))</formula>
    </cfRule>
  </conditionalFormatting>
  <conditionalFormatting sqref="AK10:AL29 AJ11:AJ29">
    <cfRule type="containsText" dxfId="92" priority="4" operator="containsText" text="WO">
      <formula>NOT(ISERROR(SEARCH("WO",AJ10)))</formula>
    </cfRule>
  </conditionalFormatting>
  <dataValidations count="1">
    <dataValidation type="list" allowBlank="1" showInputMessage="1" showErrorMessage="1" sqref="K10:M29 AC10:AH29 V10:AA29 O10:T29 AJ10:AO29" xr:uid="{E2940761-1190-4344-812A-919ED3F4E32B}">
      <formula1>"P, A, 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E1A607-1873-4723-A04D-0BEC6F3EA451}">
          <x14:formula1>
            <xm:f>Sheet2!$A$1:$A$12</xm:f>
          </x14:formula1>
          <xm:sqref>H6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D7FCAE1F-BFEE-485D-A302-BE51DD4D030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May!AV10:AY10</xm:f>
              <xm:sqref>BF10</xm:sqref>
            </x14:sparkline>
            <x14:sparkline>
              <xm:f>May!AV11:AY11</xm:f>
              <xm:sqref>BF11</xm:sqref>
            </x14:sparkline>
            <x14:sparkline>
              <xm:f>May!AV12:AY12</xm:f>
              <xm:sqref>BF12</xm:sqref>
            </x14:sparkline>
            <x14:sparkline>
              <xm:f>May!AV13:AY13</xm:f>
              <xm:sqref>BF13</xm:sqref>
            </x14:sparkline>
            <x14:sparkline>
              <xm:f>May!AV14:AY14</xm:f>
              <xm:sqref>BF14</xm:sqref>
            </x14:sparkline>
            <x14:sparkline>
              <xm:f>May!AV15:AY15</xm:f>
              <xm:sqref>BF15</xm:sqref>
            </x14:sparkline>
            <x14:sparkline>
              <xm:f>May!AV16:AY16</xm:f>
              <xm:sqref>BF16</xm:sqref>
            </x14:sparkline>
            <x14:sparkline>
              <xm:f>May!AV17:AY17</xm:f>
              <xm:sqref>BF17</xm:sqref>
            </x14:sparkline>
            <x14:sparkline>
              <xm:f>May!AV18:AY18</xm:f>
              <xm:sqref>BF18</xm:sqref>
            </x14:sparkline>
            <x14:sparkline>
              <xm:f>May!AV19:AY19</xm:f>
              <xm:sqref>BF19</xm:sqref>
            </x14:sparkline>
            <x14:sparkline>
              <xm:f>May!AV20:AY20</xm:f>
              <xm:sqref>BF20</xm:sqref>
            </x14:sparkline>
            <x14:sparkline>
              <xm:f>May!AV21:AY21</xm:f>
              <xm:sqref>BF21</xm:sqref>
            </x14:sparkline>
            <x14:sparkline>
              <xm:f>May!AV22:AY22</xm:f>
              <xm:sqref>BF22</xm:sqref>
            </x14:sparkline>
            <x14:sparkline>
              <xm:f>May!AV23:AY23</xm:f>
              <xm:sqref>BF23</xm:sqref>
            </x14:sparkline>
            <x14:sparkline>
              <xm:f>May!AV24:AY24</xm:f>
              <xm:sqref>BF24</xm:sqref>
            </x14:sparkline>
            <x14:sparkline>
              <xm:f>May!AV25:AY25</xm:f>
              <xm:sqref>BF25</xm:sqref>
            </x14:sparkline>
            <x14:sparkline>
              <xm:f>May!AV26:AY26</xm:f>
              <xm:sqref>BF26</xm:sqref>
            </x14:sparkline>
            <x14:sparkline>
              <xm:f>May!AV27:AY27</xm:f>
              <xm:sqref>BF27</xm:sqref>
            </x14:sparkline>
            <x14:sparkline>
              <xm:f>May!AV28:AY28</xm:f>
              <xm:sqref>BF28</xm:sqref>
            </x14:sparkline>
            <x14:sparkline>
              <xm:f>May!AV29:AY29</xm:f>
              <xm:sqref>BF29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61AA8-DD69-48A6-B09B-4AD7E64DC113}">
  <dimension ref="E1:BO247"/>
  <sheetViews>
    <sheetView zoomScale="85" zoomScaleNormal="85" workbookViewId="0"/>
  </sheetViews>
  <sheetFormatPr defaultRowHeight="15.75" x14ac:dyDescent="0.25"/>
  <cols>
    <col min="1" max="4" width="9.140625" style="3"/>
    <col min="5" max="5" width="9.140625" style="22"/>
    <col min="6" max="6" width="9.140625" style="3"/>
    <col min="7" max="7" width="9.28515625" style="3" bestFit="1" customWidth="1"/>
    <col min="8" max="8" width="26.85546875" style="3" customWidth="1"/>
    <col min="9" max="9" width="15" style="3" customWidth="1"/>
    <col min="10" max="10" width="19.28515625" style="3" customWidth="1"/>
    <col min="11" max="11" width="9.140625" style="3"/>
    <col min="12" max="12" width="9.28515625" style="3" bestFit="1" customWidth="1"/>
    <col min="13" max="13" width="13.7109375" style="3" customWidth="1"/>
    <col min="14" max="41" width="9.28515625" style="3" bestFit="1" customWidth="1"/>
    <col min="42" max="42" width="9.140625" style="3"/>
    <col min="43" max="43" width="9.140625" style="22"/>
    <col min="44" max="44" width="9.140625" style="3"/>
    <col min="45" max="46" width="15.42578125" style="3" customWidth="1"/>
    <col min="47" max="47" width="15.5703125" style="3" customWidth="1"/>
    <col min="48" max="48" width="10.7109375" style="3" customWidth="1"/>
    <col min="49" max="49" width="10.28515625" style="3" customWidth="1"/>
    <col min="50" max="50" width="9.140625" style="3"/>
    <col min="51" max="51" width="11.5703125" style="3" customWidth="1"/>
    <col min="52" max="52" width="9.140625" style="3"/>
    <col min="53" max="53" width="13.7109375" style="3" customWidth="1"/>
    <col min="54" max="54" width="13.5703125" style="3" customWidth="1"/>
    <col min="55" max="55" width="17.85546875" style="3" customWidth="1"/>
    <col min="56" max="56" width="15" style="3" customWidth="1"/>
    <col min="57" max="57" width="18.140625" style="3" customWidth="1"/>
    <col min="58" max="58" width="25.140625" style="3" customWidth="1"/>
    <col min="59" max="59" width="9.140625" style="22"/>
    <col min="60" max="16384" width="9.140625" style="3"/>
  </cols>
  <sheetData>
    <row r="1" spans="6:67" x14ac:dyDescent="0.25">
      <c r="BH1" s="22"/>
      <c r="BI1" s="22"/>
      <c r="BJ1" s="22"/>
      <c r="BK1" s="22"/>
      <c r="BL1" s="22"/>
      <c r="BM1" s="22"/>
      <c r="BN1" s="22"/>
      <c r="BO1" s="22"/>
    </row>
    <row r="2" spans="6:67" x14ac:dyDescent="0.25">
      <c r="BH2" s="22"/>
      <c r="BI2" s="22"/>
      <c r="BJ2" s="22"/>
      <c r="BK2" s="22"/>
      <c r="BL2" s="22"/>
      <c r="BM2" s="22"/>
      <c r="BN2" s="22"/>
    </row>
    <row r="3" spans="6:67" x14ac:dyDescent="0.25">
      <c r="BH3" s="22"/>
      <c r="BI3" s="22"/>
      <c r="BJ3" s="22"/>
      <c r="BK3" s="22"/>
      <c r="BL3" s="22"/>
      <c r="BM3" s="22"/>
      <c r="BN3" s="22"/>
    </row>
    <row r="4" spans="6:67" s="22" customFormat="1" x14ac:dyDescent="0.25"/>
    <row r="5" spans="6:67" s="22" customFormat="1" x14ac:dyDescent="0.25"/>
    <row r="6" spans="6:67" s="22" customFormat="1" x14ac:dyDescent="0.25">
      <c r="G6" s="25" t="s">
        <v>22</v>
      </c>
      <c r="H6" s="26">
        <v>45809</v>
      </c>
      <c r="I6" s="27">
        <f>(DATEDIF($H$6,$M$6,"D"))+1</f>
        <v>30</v>
      </c>
      <c r="J6" s="25" t="str">
        <f>TEXT(H6,"MMMM")</f>
        <v>June</v>
      </c>
      <c r="K6" s="25"/>
      <c r="L6" s="25" t="s">
        <v>23</v>
      </c>
      <c r="M6" s="26">
        <f>EOMONTH(H6,0)</f>
        <v>45838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6:67" x14ac:dyDescent="0.25"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2"/>
      <c r="BI7" s="22"/>
      <c r="BJ7" s="22"/>
      <c r="BK7" s="22"/>
      <c r="BL7" s="22"/>
      <c r="BM7" s="22"/>
      <c r="BN7" s="22"/>
    </row>
    <row r="8" spans="6:67" x14ac:dyDescent="0.25">
      <c r="F8" s="21"/>
      <c r="G8" s="5"/>
      <c r="H8" s="5" t="s">
        <v>25</v>
      </c>
      <c r="I8" s="5"/>
      <c r="J8" s="5" t="s">
        <v>26</v>
      </c>
      <c r="K8" s="5" t="str">
        <f>TEXT(K9,"DDD")</f>
        <v>Sun</v>
      </c>
      <c r="L8" s="5" t="str">
        <f t="shared" ref="L8:AO8" si="0">TEXT(L9,"DDD")</f>
        <v>Mon</v>
      </c>
      <c r="M8" s="5" t="str">
        <f t="shared" si="0"/>
        <v>Tue</v>
      </c>
      <c r="N8" s="5" t="str">
        <f t="shared" si="0"/>
        <v>Wed</v>
      </c>
      <c r="O8" s="5" t="str">
        <f t="shared" si="0"/>
        <v>Thu</v>
      </c>
      <c r="P8" s="5" t="str">
        <f t="shared" si="0"/>
        <v>Fri</v>
      </c>
      <c r="Q8" s="5" t="str">
        <f t="shared" si="0"/>
        <v>Sat</v>
      </c>
      <c r="R8" s="5" t="str">
        <f t="shared" si="0"/>
        <v>Sun</v>
      </c>
      <c r="S8" s="5" t="str">
        <f t="shared" si="0"/>
        <v>Mon</v>
      </c>
      <c r="T8" s="5" t="str">
        <f t="shared" si="0"/>
        <v>Tue</v>
      </c>
      <c r="U8" s="5" t="str">
        <f t="shared" si="0"/>
        <v>Wed</v>
      </c>
      <c r="V8" s="5" t="str">
        <f t="shared" si="0"/>
        <v>Thu</v>
      </c>
      <c r="W8" s="5" t="str">
        <f t="shared" si="0"/>
        <v>Fri</v>
      </c>
      <c r="X8" s="5" t="str">
        <f t="shared" si="0"/>
        <v>Sat</v>
      </c>
      <c r="Y8" s="5" t="str">
        <f t="shared" si="0"/>
        <v>Sun</v>
      </c>
      <c r="Z8" s="5" t="str">
        <f t="shared" si="0"/>
        <v>Mon</v>
      </c>
      <c r="AA8" s="5" t="str">
        <f t="shared" si="0"/>
        <v>Tue</v>
      </c>
      <c r="AB8" s="5" t="str">
        <f t="shared" si="0"/>
        <v>Wed</v>
      </c>
      <c r="AC8" s="5" t="str">
        <f t="shared" si="0"/>
        <v>Thu</v>
      </c>
      <c r="AD8" s="5" t="str">
        <f t="shared" si="0"/>
        <v>Fri</v>
      </c>
      <c r="AE8" s="5" t="str">
        <f t="shared" si="0"/>
        <v>Sat</v>
      </c>
      <c r="AF8" s="5" t="str">
        <f t="shared" si="0"/>
        <v>Sun</v>
      </c>
      <c r="AG8" s="5" t="str">
        <f t="shared" si="0"/>
        <v>Mon</v>
      </c>
      <c r="AH8" s="5" t="str">
        <f t="shared" si="0"/>
        <v>Tue</v>
      </c>
      <c r="AI8" s="5" t="str">
        <f t="shared" si="0"/>
        <v>Wed</v>
      </c>
      <c r="AJ8" s="5" t="str">
        <f t="shared" si="0"/>
        <v>Thu</v>
      </c>
      <c r="AK8" s="5" t="str">
        <f t="shared" si="0"/>
        <v>Fri</v>
      </c>
      <c r="AL8" s="5" t="str">
        <f t="shared" si="0"/>
        <v>Sat</v>
      </c>
      <c r="AM8" s="5" t="str">
        <f t="shared" si="0"/>
        <v>Sun</v>
      </c>
      <c r="AN8" s="5" t="str">
        <f t="shared" si="0"/>
        <v>Mon</v>
      </c>
      <c r="AO8" s="5" t="str">
        <f t="shared" si="0"/>
        <v/>
      </c>
      <c r="AP8" s="21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2"/>
      <c r="BI8" s="22"/>
      <c r="BJ8" s="22"/>
      <c r="BK8" s="22"/>
      <c r="BL8" s="22"/>
      <c r="BM8" s="22"/>
      <c r="BN8" s="22"/>
    </row>
    <row r="9" spans="6:67" ht="16.5" thickBot="1" x14ac:dyDescent="0.3">
      <c r="F9" s="21"/>
      <c r="G9" s="13" t="s">
        <v>0</v>
      </c>
      <c r="H9" s="13" t="s">
        <v>1</v>
      </c>
      <c r="I9" s="13" t="s">
        <v>2</v>
      </c>
      <c r="J9" s="14" t="s">
        <v>21</v>
      </c>
      <c r="K9" s="15">
        <f>H6</f>
        <v>45809</v>
      </c>
      <c r="L9" s="15">
        <f>IF(K9&lt;$M$6,K9+1,"")</f>
        <v>45810</v>
      </c>
      <c r="M9" s="15">
        <f t="shared" ref="M9:AO9" si="1">IF(L9&lt;$M$6,L9+1,"")</f>
        <v>45811</v>
      </c>
      <c r="N9" s="15">
        <f t="shared" si="1"/>
        <v>45812</v>
      </c>
      <c r="O9" s="15">
        <f t="shared" si="1"/>
        <v>45813</v>
      </c>
      <c r="P9" s="15">
        <f t="shared" si="1"/>
        <v>45814</v>
      </c>
      <c r="Q9" s="15">
        <f t="shared" si="1"/>
        <v>45815</v>
      </c>
      <c r="R9" s="15">
        <f t="shared" si="1"/>
        <v>45816</v>
      </c>
      <c r="S9" s="15">
        <f t="shared" si="1"/>
        <v>45817</v>
      </c>
      <c r="T9" s="15">
        <f t="shared" si="1"/>
        <v>45818</v>
      </c>
      <c r="U9" s="15">
        <f t="shared" si="1"/>
        <v>45819</v>
      </c>
      <c r="V9" s="15">
        <f t="shared" si="1"/>
        <v>45820</v>
      </c>
      <c r="W9" s="15">
        <f t="shared" si="1"/>
        <v>45821</v>
      </c>
      <c r="X9" s="15">
        <f t="shared" si="1"/>
        <v>45822</v>
      </c>
      <c r="Y9" s="15">
        <f t="shared" si="1"/>
        <v>45823</v>
      </c>
      <c r="Z9" s="15">
        <f t="shared" si="1"/>
        <v>45824</v>
      </c>
      <c r="AA9" s="15">
        <f t="shared" si="1"/>
        <v>45825</v>
      </c>
      <c r="AB9" s="15">
        <f t="shared" si="1"/>
        <v>45826</v>
      </c>
      <c r="AC9" s="15">
        <f t="shared" si="1"/>
        <v>45827</v>
      </c>
      <c r="AD9" s="15">
        <f t="shared" si="1"/>
        <v>45828</v>
      </c>
      <c r="AE9" s="15">
        <f t="shared" si="1"/>
        <v>45829</v>
      </c>
      <c r="AF9" s="15">
        <f t="shared" si="1"/>
        <v>45830</v>
      </c>
      <c r="AG9" s="15">
        <f t="shared" si="1"/>
        <v>45831</v>
      </c>
      <c r="AH9" s="15">
        <f t="shared" si="1"/>
        <v>45832</v>
      </c>
      <c r="AI9" s="15">
        <f t="shared" si="1"/>
        <v>45833</v>
      </c>
      <c r="AJ9" s="15">
        <f t="shared" si="1"/>
        <v>45834</v>
      </c>
      <c r="AK9" s="15">
        <f t="shared" si="1"/>
        <v>45835</v>
      </c>
      <c r="AL9" s="15">
        <f t="shared" si="1"/>
        <v>45836</v>
      </c>
      <c r="AM9" s="15">
        <f t="shared" si="1"/>
        <v>45837</v>
      </c>
      <c r="AN9" s="59">
        <f t="shared" si="1"/>
        <v>45838</v>
      </c>
      <c r="AO9" s="15" t="str">
        <f t="shared" si="1"/>
        <v/>
      </c>
      <c r="AP9" s="21"/>
      <c r="AQ9" s="24"/>
      <c r="AR9" s="18" t="s">
        <v>0</v>
      </c>
      <c r="AS9" s="18" t="s">
        <v>1</v>
      </c>
      <c r="AT9" s="18" t="s">
        <v>37</v>
      </c>
      <c r="AU9" s="18" t="s">
        <v>2</v>
      </c>
      <c r="AV9" s="18" t="s">
        <v>27</v>
      </c>
      <c r="AW9" s="18" t="s">
        <v>28</v>
      </c>
      <c r="AX9" s="18" t="s">
        <v>29</v>
      </c>
      <c r="AY9" s="18" t="s">
        <v>30</v>
      </c>
      <c r="AZ9" s="18" t="s">
        <v>26</v>
      </c>
      <c r="BA9" s="18" t="s">
        <v>31</v>
      </c>
      <c r="BB9" s="18" t="s">
        <v>32</v>
      </c>
      <c r="BC9" s="18" t="s">
        <v>33</v>
      </c>
      <c r="BD9" s="18" t="s">
        <v>34</v>
      </c>
      <c r="BE9" s="18" t="s">
        <v>35</v>
      </c>
      <c r="BF9" s="18" t="s">
        <v>36</v>
      </c>
      <c r="BG9" s="24"/>
      <c r="BH9" s="22"/>
      <c r="BI9" s="22"/>
      <c r="BJ9" s="22"/>
      <c r="BK9" s="22"/>
      <c r="BL9" s="22"/>
      <c r="BM9" s="22"/>
      <c r="BN9" s="22"/>
    </row>
    <row r="10" spans="6:67" x14ac:dyDescent="0.25">
      <c r="F10" s="21"/>
      <c r="G10" s="6">
        <v>1</v>
      </c>
      <c r="H10" s="7" t="s">
        <v>3</v>
      </c>
      <c r="I10" s="7">
        <v>1001</v>
      </c>
      <c r="J10" s="46">
        <f>COUNTIF($J$8:$AO$8,"SUN")</f>
        <v>5</v>
      </c>
      <c r="K10" s="46" t="str">
        <f>IF(K$8="SUN","WO","")</f>
        <v>WO</v>
      </c>
      <c r="L10" s="56" t="s">
        <v>38</v>
      </c>
      <c r="M10" s="51" t="s">
        <v>38</v>
      </c>
      <c r="N10" s="51" t="s">
        <v>39</v>
      </c>
      <c r="O10" s="51" t="s">
        <v>38</v>
      </c>
      <c r="P10" s="51" t="s">
        <v>38</v>
      </c>
      <c r="Q10" s="51" t="s">
        <v>38</v>
      </c>
      <c r="R10" s="46" t="str">
        <f>IF(R$8="SUN","WO","")</f>
        <v>WO</v>
      </c>
      <c r="S10" s="52" t="s">
        <v>38</v>
      </c>
      <c r="T10" s="51" t="s">
        <v>38</v>
      </c>
      <c r="U10" s="51" t="s">
        <v>38</v>
      </c>
      <c r="V10" s="51" t="s">
        <v>38</v>
      </c>
      <c r="W10" s="51" t="s">
        <v>38</v>
      </c>
      <c r="X10" s="51" t="s">
        <v>39</v>
      </c>
      <c r="Y10" s="46" t="str">
        <f>IF(Y$8="SUN","WO","")</f>
        <v>WO</v>
      </c>
      <c r="Z10" s="51" t="s">
        <v>38</v>
      </c>
      <c r="AA10" s="51" t="s">
        <v>38</v>
      </c>
      <c r="AB10" s="51" t="s">
        <v>38</v>
      </c>
      <c r="AC10" s="51" t="s">
        <v>38</v>
      </c>
      <c r="AD10" s="52" t="s">
        <v>38</v>
      </c>
      <c r="AE10" s="52" t="s">
        <v>40</v>
      </c>
      <c r="AF10" s="46" t="str">
        <f>IF(AF$8="SUN","WO","")</f>
        <v>WO</v>
      </c>
      <c r="AG10" s="51" t="s">
        <v>38</v>
      </c>
      <c r="AH10" s="51" t="s">
        <v>38</v>
      </c>
      <c r="AI10" s="51" t="s">
        <v>38</v>
      </c>
      <c r="AJ10" s="51" t="s">
        <v>38</v>
      </c>
      <c r="AK10" s="52" t="s">
        <v>38</v>
      </c>
      <c r="AL10" s="52" t="s">
        <v>40</v>
      </c>
      <c r="AM10" s="46" t="str">
        <f>IF(AM$8="SUN","WO","")</f>
        <v>WO</v>
      </c>
      <c r="AN10" s="53" t="s">
        <v>38</v>
      </c>
      <c r="AO10" s="30"/>
      <c r="AP10" s="21"/>
      <c r="AQ10" s="24"/>
      <c r="AR10" s="10">
        <v>1</v>
      </c>
      <c r="AS10" s="9" t="s">
        <v>3</v>
      </c>
      <c r="AT10" s="9" t="str">
        <f t="shared" ref="AT10:AT29" si="2">$J$6</f>
        <v>June</v>
      </c>
      <c r="AU10" s="9">
        <v>1001</v>
      </c>
      <c r="AV10" s="9">
        <f t="shared" ref="AV10:AV29" si="3">COUNTIF($K10:$AO10,"P")</f>
        <v>21</v>
      </c>
      <c r="AW10" s="9">
        <f t="shared" ref="AW10:AW29" si="4">COUNTIF($K10:$AO10,"A")</f>
        <v>2</v>
      </c>
      <c r="AX10" s="9">
        <f t="shared" ref="AX10:AX29" si="5">COUNTIF($K10:$AO10,"L")</f>
        <v>2</v>
      </c>
      <c r="AY10" s="16">
        <f t="shared" ref="AY10:AY29" si="6">$J$10</f>
        <v>5</v>
      </c>
      <c r="AZ10" s="16">
        <f t="shared" ref="AZ10:AZ29" si="7">$I$6</f>
        <v>30</v>
      </c>
      <c r="BA10" s="16">
        <f>JunReport[[#This Row],[Days]]-JunReport[[#This Row],[Absent]]</f>
        <v>28</v>
      </c>
      <c r="BB10" s="19">
        <v>10000</v>
      </c>
      <c r="BC10" s="20">
        <f>JunReport[[#This Row],[Salary ]]/JunReport[[#This Row],[Days]]</f>
        <v>333.33333333333331</v>
      </c>
      <c r="BD10" s="20">
        <f>JunReport[[#This Row],[Per Day Salary ]]*JunReport[[#This Row],[Absent]]</f>
        <v>666.66666666666663</v>
      </c>
      <c r="BE10" s="20">
        <f>JunReport[[#This Row],[Salary ]]-JunReport[[#This Row],[Deduction]]</f>
        <v>9333.3333333333339</v>
      </c>
      <c r="BF10" s="20"/>
      <c r="BG10" s="24"/>
      <c r="BH10" s="22"/>
      <c r="BI10" s="22"/>
      <c r="BJ10" s="22"/>
      <c r="BK10" s="22"/>
      <c r="BL10" s="22"/>
      <c r="BM10" s="22"/>
      <c r="BN10" s="22"/>
    </row>
    <row r="11" spans="6:67" x14ac:dyDescent="0.25">
      <c r="F11" s="21"/>
      <c r="G11" s="8">
        <v>2</v>
      </c>
      <c r="H11" s="9" t="s">
        <v>4</v>
      </c>
      <c r="I11" s="10">
        <v>1002</v>
      </c>
      <c r="J11" s="47">
        <f t="shared" ref="J11:J29" si="8">COUNTIF($J$8:$AO$8,"SUN")</f>
        <v>5</v>
      </c>
      <c r="K11" s="47" t="str">
        <f t="shared" ref="K11:K29" si="9">IF(K$8="SUN","WO","")</f>
        <v>WO</v>
      </c>
      <c r="L11" s="10" t="s">
        <v>38</v>
      </c>
      <c r="M11" s="10" t="s">
        <v>38</v>
      </c>
      <c r="N11" s="10" t="s">
        <v>38</v>
      </c>
      <c r="O11" s="10" t="s">
        <v>38</v>
      </c>
      <c r="P11" s="10" t="s">
        <v>39</v>
      </c>
      <c r="Q11" s="10" t="s">
        <v>38</v>
      </c>
      <c r="R11" s="47" t="str">
        <f t="shared" ref="R11:R29" si="10">IF(R$8="SUN","WO","")</f>
        <v>WO</v>
      </c>
      <c r="S11" s="16" t="s">
        <v>39</v>
      </c>
      <c r="T11" s="10" t="s">
        <v>38</v>
      </c>
      <c r="U11" s="10" t="s">
        <v>38</v>
      </c>
      <c r="V11" s="10" t="s">
        <v>38</v>
      </c>
      <c r="W11" s="10" t="s">
        <v>38</v>
      </c>
      <c r="X11" s="16" t="s">
        <v>38</v>
      </c>
      <c r="Y11" s="47" t="str">
        <f t="shared" ref="Y11:Y29" si="11">IF(Y$8="SUN","WO","")</f>
        <v>WO</v>
      </c>
      <c r="Z11" s="10" t="s">
        <v>40</v>
      </c>
      <c r="AA11" s="10" t="s">
        <v>38</v>
      </c>
      <c r="AB11" s="10" t="s">
        <v>38</v>
      </c>
      <c r="AC11" s="16" t="s">
        <v>38</v>
      </c>
      <c r="AD11" s="16" t="s">
        <v>38</v>
      </c>
      <c r="AE11" s="16" t="s">
        <v>38</v>
      </c>
      <c r="AF11" s="47" t="str">
        <f t="shared" ref="AF11:AF29" si="12">IF(AF$8="SUN","WO","")</f>
        <v>WO</v>
      </c>
      <c r="AG11" s="10" t="s">
        <v>40</v>
      </c>
      <c r="AH11" s="10" t="s">
        <v>38</v>
      </c>
      <c r="AI11" s="10" t="s">
        <v>38</v>
      </c>
      <c r="AJ11" s="16" t="s">
        <v>38</v>
      </c>
      <c r="AK11" s="16" t="s">
        <v>38</v>
      </c>
      <c r="AL11" s="16" t="s">
        <v>38</v>
      </c>
      <c r="AM11" s="47" t="str">
        <f t="shared" ref="AM11:AM29" si="13">IF(AM$8="SUN","WO","")</f>
        <v>WO</v>
      </c>
      <c r="AN11" s="60" t="s">
        <v>38</v>
      </c>
      <c r="AO11" s="30"/>
      <c r="AP11" s="21"/>
      <c r="AQ11" s="24"/>
      <c r="AR11" s="10">
        <v>2</v>
      </c>
      <c r="AS11" s="9" t="s">
        <v>4</v>
      </c>
      <c r="AT11" s="9" t="str">
        <f t="shared" si="2"/>
        <v>June</v>
      </c>
      <c r="AU11" s="9">
        <v>1002</v>
      </c>
      <c r="AV11" s="9">
        <f t="shared" si="3"/>
        <v>21</v>
      </c>
      <c r="AW11" s="16">
        <f t="shared" si="4"/>
        <v>2</v>
      </c>
      <c r="AX11" s="16">
        <f t="shared" si="5"/>
        <v>2</v>
      </c>
      <c r="AY11" s="16">
        <f t="shared" si="6"/>
        <v>5</v>
      </c>
      <c r="AZ11" s="16">
        <f t="shared" si="7"/>
        <v>30</v>
      </c>
      <c r="BA11" s="16">
        <f>JunReport[[#This Row],[Days]]-JunReport[[#This Row],[Absent]]</f>
        <v>28</v>
      </c>
      <c r="BB11" s="19">
        <v>20000</v>
      </c>
      <c r="BC11" s="20">
        <f>JunReport[[#This Row],[Salary ]]/JunReport[[#This Row],[Days]]</f>
        <v>666.66666666666663</v>
      </c>
      <c r="BD11" s="20">
        <f>JunReport[[#This Row],[Per Day Salary ]]*JunReport[[#This Row],[Absent]]</f>
        <v>1333.3333333333333</v>
      </c>
      <c r="BE11" s="20">
        <f>JunReport[[#This Row],[Salary ]]-JunReport[[#This Row],[Deduction]]</f>
        <v>18666.666666666668</v>
      </c>
      <c r="BF11" s="20"/>
      <c r="BG11" s="24"/>
      <c r="BH11" s="22"/>
      <c r="BI11" s="22"/>
      <c r="BJ11" s="22"/>
      <c r="BK11" s="22"/>
      <c r="BL11" s="22"/>
      <c r="BM11" s="22"/>
      <c r="BN11" s="22"/>
    </row>
    <row r="12" spans="6:67" x14ac:dyDescent="0.25">
      <c r="F12" s="21"/>
      <c r="G12" s="8">
        <v>3</v>
      </c>
      <c r="H12" s="10" t="s">
        <v>5</v>
      </c>
      <c r="I12" s="10">
        <v>1003</v>
      </c>
      <c r="J12" s="47">
        <f t="shared" si="8"/>
        <v>5</v>
      </c>
      <c r="K12" s="47" t="str">
        <f t="shared" si="9"/>
        <v>WO</v>
      </c>
      <c r="L12" s="10" t="s">
        <v>38</v>
      </c>
      <c r="M12" s="10" t="s">
        <v>40</v>
      </c>
      <c r="N12" s="10" t="s">
        <v>38</v>
      </c>
      <c r="O12" s="10" t="s">
        <v>38</v>
      </c>
      <c r="P12" s="10" t="s">
        <v>38</v>
      </c>
      <c r="Q12" s="10" t="s">
        <v>38</v>
      </c>
      <c r="R12" s="47" t="str">
        <f t="shared" si="10"/>
        <v>WO</v>
      </c>
      <c r="S12" s="16" t="s">
        <v>38</v>
      </c>
      <c r="T12" s="10" t="s">
        <v>38</v>
      </c>
      <c r="U12" s="10" t="s">
        <v>40</v>
      </c>
      <c r="V12" s="10" t="s">
        <v>38</v>
      </c>
      <c r="W12" s="10" t="s">
        <v>38</v>
      </c>
      <c r="X12" s="16" t="s">
        <v>38</v>
      </c>
      <c r="Y12" s="47" t="str">
        <f t="shared" si="11"/>
        <v>WO</v>
      </c>
      <c r="Z12" s="10" t="s">
        <v>38</v>
      </c>
      <c r="AA12" s="10" t="s">
        <v>38</v>
      </c>
      <c r="AB12" s="10" t="s">
        <v>38</v>
      </c>
      <c r="AC12" s="16" t="s">
        <v>38</v>
      </c>
      <c r="AD12" s="16" t="s">
        <v>39</v>
      </c>
      <c r="AE12" s="16" t="s">
        <v>38</v>
      </c>
      <c r="AF12" s="47" t="str">
        <f t="shared" si="12"/>
        <v>WO</v>
      </c>
      <c r="AG12" s="10" t="s">
        <v>38</v>
      </c>
      <c r="AH12" s="10" t="s">
        <v>38</v>
      </c>
      <c r="AI12" s="10" t="s">
        <v>38</v>
      </c>
      <c r="AJ12" s="16" t="s">
        <v>38</v>
      </c>
      <c r="AK12" s="16" t="s">
        <v>39</v>
      </c>
      <c r="AL12" s="16" t="s">
        <v>38</v>
      </c>
      <c r="AM12" s="47" t="str">
        <f t="shared" si="13"/>
        <v>WO</v>
      </c>
      <c r="AN12" s="60" t="s">
        <v>38</v>
      </c>
      <c r="AO12" s="30"/>
      <c r="AP12" s="21"/>
      <c r="AQ12" s="24"/>
      <c r="AR12" s="10">
        <v>3</v>
      </c>
      <c r="AS12" s="10" t="s">
        <v>5</v>
      </c>
      <c r="AT12" s="10" t="str">
        <f t="shared" si="2"/>
        <v>June</v>
      </c>
      <c r="AU12" s="10">
        <v>1003</v>
      </c>
      <c r="AV12" s="9">
        <f t="shared" si="3"/>
        <v>21</v>
      </c>
      <c r="AW12" s="16">
        <f t="shared" si="4"/>
        <v>2</v>
      </c>
      <c r="AX12" s="16">
        <f t="shared" si="5"/>
        <v>2</v>
      </c>
      <c r="AY12" s="16">
        <f t="shared" si="6"/>
        <v>5</v>
      </c>
      <c r="AZ12" s="16">
        <f t="shared" si="7"/>
        <v>30</v>
      </c>
      <c r="BA12" s="16">
        <f>JunReport[[#This Row],[Days]]-JunReport[[#This Row],[Absent]]</f>
        <v>28</v>
      </c>
      <c r="BB12" s="19">
        <v>30000</v>
      </c>
      <c r="BC12" s="20">
        <f>JunReport[[#This Row],[Salary ]]/JunReport[[#This Row],[Days]]</f>
        <v>1000</v>
      </c>
      <c r="BD12" s="20">
        <f>JunReport[[#This Row],[Per Day Salary ]]*JunReport[[#This Row],[Absent]]</f>
        <v>2000</v>
      </c>
      <c r="BE12" s="20">
        <f>JunReport[[#This Row],[Salary ]]-JunReport[[#This Row],[Deduction]]</f>
        <v>28000</v>
      </c>
      <c r="BF12" s="20"/>
      <c r="BG12" s="24"/>
      <c r="BH12" s="22"/>
      <c r="BI12" s="22"/>
      <c r="BJ12" s="22"/>
      <c r="BK12" s="22"/>
      <c r="BL12" s="22"/>
      <c r="BM12" s="22"/>
      <c r="BN12" s="22"/>
    </row>
    <row r="13" spans="6:67" x14ac:dyDescent="0.25">
      <c r="F13" s="21"/>
      <c r="G13" s="8">
        <v>4</v>
      </c>
      <c r="H13" s="10" t="s">
        <v>6</v>
      </c>
      <c r="I13" s="10">
        <v>1004</v>
      </c>
      <c r="J13" s="47">
        <f t="shared" si="8"/>
        <v>5</v>
      </c>
      <c r="K13" s="47" t="str">
        <f t="shared" si="9"/>
        <v>WO</v>
      </c>
      <c r="L13" s="10" t="s">
        <v>38</v>
      </c>
      <c r="M13" s="10" t="s">
        <v>38</v>
      </c>
      <c r="N13" s="10" t="s">
        <v>38</v>
      </c>
      <c r="O13" s="10" t="s">
        <v>38</v>
      </c>
      <c r="P13" s="10" t="s">
        <v>38</v>
      </c>
      <c r="Q13" s="10" t="s">
        <v>38</v>
      </c>
      <c r="R13" s="47" t="str">
        <f t="shared" si="10"/>
        <v>WO</v>
      </c>
      <c r="S13" s="16" t="s">
        <v>38</v>
      </c>
      <c r="T13" s="10" t="s">
        <v>38</v>
      </c>
      <c r="U13" s="10" t="s">
        <v>38</v>
      </c>
      <c r="V13" s="10" t="s">
        <v>38</v>
      </c>
      <c r="W13" s="10" t="s">
        <v>38</v>
      </c>
      <c r="X13" s="16" t="s">
        <v>38</v>
      </c>
      <c r="Y13" s="47" t="str">
        <f t="shared" si="11"/>
        <v>WO</v>
      </c>
      <c r="Z13" s="10" t="s">
        <v>38</v>
      </c>
      <c r="AA13" s="10" t="s">
        <v>38</v>
      </c>
      <c r="AB13" s="10" t="s">
        <v>38</v>
      </c>
      <c r="AC13" s="16" t="s">
        <v>38</v>
      </c>
      <c r="AD13" s="16" t="s">
        <v>38</v>
      </c>
      <c r="AE13" s="16" t="s">
        <v>38</v>
      </c>
      <c r="AF13" s="47" t="str">
        <f t="shared" si="12"/>
        <v>WO</v>
      </c>
      <c r="AG13" s="10" t="s">
        <v>38</v>
      </c>
      <c r="AH13" s="10" t="s">
        <v>38</v>
      </c>
      <c r="AI13" s="10" t="s">
        <v>38</v>
      </c>
      <c r="AJ13" s="16" t="s">
        <v>38</v>
      </c>
      <c r="AK13" s="16" t="s">
        <v>38</v>
      </c>
      <c r="AL13" s="16" t="s">
        <v>38</v>
      </c>
      <c r="AM13" s="47" t="str">
        <f t="shared" si="13"/>
        <v>WO</v>
      </c>
      <c r="AN13" s="60" t="s">
        <v>38</v>
      </c>
      <c r="AO13" s="30"/>
      <c r="AP13" s="21"/>
      <c r="AQ13" s="24"/>
      <c r="AR13" s="10">
        <v>4</v>
      </c>
      <c r="AS13" s="10" t="s">
        <v>6</v>
      </c>
      <c r="AT13" s="10" t="str">
        <f t="shared" si="2"/>
        <v>June</v>
      </c>
      <c r="AU13" s="10">
        <v>1004</v>
      </c>
      <c r="AV13" s="9">
        <f t="shared" si="3"/>
        <v>25</v>
      </c>
      <c r="AW13" s="16">
        <f t="shared" si="4"/>
        <v>0</v>
      </c>
      <c r="AX13" s="16">
        <f t="shared" si="5"/>
        <v>0</v>
      </c>
      <c r="AY13" s="16">
        <f t="shared" si="6"/>
        <v>5</v>
      </c>
      <c r="AZ13" s="16">
        <f t="shared" si="7"/>
        <v>30</v>
      </c>
      <c r="BA13" s="16">
        <f>JunReport[[#This Row],[Days]]-JunReport[[#This Row],[Absent]]</f>
        <v>30</v>
      </c>
      <c r="BB13" s="19">
        <v>45000</v>
      </c>
      <c r="BC13" s="20">
        <f>JunReport[[#This Row],[Salary ]]/JunReport[[#This Row],[Days]]</f>
        <v>1500</v>
      </c>
      <c r="BD13" s="20">
        <f>JunReport[[#This Row],[Per Day Salary ]]*JunReport[[#This Row],[Absent]]</f>
        <v>0</v>
      </c>
      <c r="BE13" s="20">
        <f>JunReport[[#This Row],[Salary ]]-JunReport[[#This Row],[Deduction]]</f>
        <v>45000</v>
      </c>
      <c r="BF13" s="20"/>
      <c r="BG13" s="24"/>
      <c r="BH13" s="22"/>
      <c r="BI13" s="22"/>
      <c r="BJ13" s="22"/>
      <c r="BK13" s="22"/>
      <c r="BL13" s="22"/>
      <c r="BM13" s="22"/>
      <c r="BN13" s="22"/>
    </row>
    <row r="14" spans="6:67" x14ac:dyDescent="0.25">
      <c r="F14" s="21"/>
      <c r="G14" s="8">
        <v>5</v>
      </c>
      <c r="H14" s="10" t="s">
        <v>7</v>
      </c>
      <c r="I14" s="10">
        <v>1005</v>
      </c>
      <c r="J14" s="47">
        <f t="shared" si="8"/>
        <v>5</v>
      </c>
      <c r="K14" s="47" t="str">
        <f t="shared" si="9"/>
        <v>WO</v>
      </c>
      <c r="L14" s="10" t="s">
        <v>38</v>
      </c>
      <c r="M14" s="10" t="s">
        <v>40</v>
      </c>
      <c r="N14" s="10" t="s">
        <v>38</v>
      </c>
      <c r="O14" s="10" t="s">
        <v>38</v>
      </c>
      <c r="P14" s="10" t="s">
        <v>38</v>
      </c>
      <c r="Q14" s="10" t="s">
        <v>38</v>
      </c>
      <c r="R14" s="47" t="str">
        <f t="shared" si="10"/>
        <v>WO</v>
      </c>
      <c r="S14" s="16" t="s">
        <v>38</v>
      </c>
      <c r="T14" s="10" t="s">
        <v>38</v>
      </c>
      <c r="U14" s="10" t="s">
        <v>38</v>
      </c>
      <c r="V14" s="10" t="s">
        <v>38</v>
      </c>
      <c r="W14" s="10" t="s">
        <v>39</v>
      </c>
      <c r="X14" s="16" t="s">
        <v>38</v>
      </c>
      <c r="Y14" s="47" t="str">
        <f t="shared" si="11"/>
        <v>WO</v>
      </c>
      <c r="Z14" s="10" t="s">
        <v>38</v>
      </c>
      <c r="AA14" s="10" t="s">
        <v>38</v>
      </c>
      <c r="AB14" s="10" t="s">
        <v>38</v>
      </c>
      <c r="AC14" s="16" t="s">
        <v>38</v>
      </c>
      <c r="AD14" s="16" t="s">
        <v>38</v>
      </c>
      <c r="AE14" s="16" t="s">
        <v>38</v>
      </c>
      <c r="AF14" s="47" t="str">
        <f t="shared" si="12"/>
        <v>WO</v>
      </c>
      <c r="AG14" s="10" t="s">
        <v>38</v>
      </c>
      <c r="AH14" s="10" t="s">
        <v>38</v>
      </c>
      <c r="AI14" s="10" t="s">
        <v>38</v>
      </c>
      <c r="AJ14" s="16" t="s">
        <v>38</v>
      </c>
      <c r="AK14" s="16" t="s">
        <v>38</v>
      </c>
      <c r="AL14" s="16" t="s">
        <v>38</v>
      </c>
      <c r="AM14" s="47" t="str">
        <f t="shared" si="13"/>
        <v>WO</v>
      </c>
      <c r="AN14" s="60" t="s">
        <v>38</v>
      </c>
      <c r="AO14" s="30"/>
      <c r="AP14" s="21"/>
      <c r="AQ14" s="24"/>
      <c r="AR14" s="10">
        <v>5</v>
      </c>
      <c r="AS14" s="10" t="s">
        <v>7</v>
      </c>
      <c r="AT14" s="10" t="str">
        <f t="shared" si="2"/>
        <v>June</v>
      </c>
      <c r="AU14" s="10">
        <v>1005</v>
      </c>
      <c r="AV14" s="9">
        <f t="shared" si="3"/>
        <v>23</v>
      </c>
      <c r="AW14" s="16">
        <f t="shared" si="4"/>
        <v>1</v>
      </c>
      <c r="AX14" s="16">
        <f t="shared" si="5"/>
        <v>1</v>
      </c>
      <c r="AY14" s="16">
        <f t="shared" si="6"/>
        <v>5</v>
      </c>
      <c r="AZ14" s="16">
        <f t="shared" si="7"/>
        <v>30</v>
      </c>
      <c r="BA14" s="16">
        <f>JunReport[[#This Row],[Days]]-JunReport[[#This Row],[Absent]]</f>
        <v>29</v>
      </c>
      <c r="BB14" s="19">
        <v>62000</v>
      </c>
      <c r="BC14" s="20">
        <f>JunReport[[#This Row],[Salary ]]/JunReport[[#This Row],[Days]]</f>
        <v>2066.6666666666665</v>
      </c>
      <c r="BD14" s="20">
        <f>JunReport[[#This Row],[Per Day Salary ]]*JunReport[[#This Row],[Absent]]</f>
        <v>2066.6666666666665</v>
      </c>
      <c r="BE14" s="20">
        <f>JunReport[[#This Row],[Salary ]]-JunReport[[#This Row],[Deduction]]</f>
        <v>59933.333333333336</v>
      </c>
      <c r="BF14" s="20"/>
      <c r="BG14" s="24"/>
      <c r="BH14" s="22"/>
      <c r="BI14" s="22"/>
      <c r="BJ14" s="22"/>
      <c r="BK14" s="22"/>
      <c r="BL14" s="22"/>
      <c r="BM14" s="22"/>
      <c r="BN14" s="22"/>
    </row>
    <row r="15" spans="6:67" x14ac:dyDescent="0.25">
      <c r="F15" s="21"/>
      <c r="G15" s="8">
        <v>6</v>
      </c>
      <c r="H15" s="10" t="s">
        <v>8</v>
      </c>
      <c r="I15" s="10">
        <v>1006</v>
      </c>
      <c r="J15" s="47">
        <f t="shared" si="8"/>
        <v>5</v>
      </c>
      <c r="K15" s="47" t="str">
        <f t="shared" si="9"/>
        <v>WO</v>
      </c>
      <c r="L15" s="10" t="s">
        <v>38</v>
      </c>
      <c r="M15" s="10" t="s">
        <v>38</v>
      </c>
      <c r="N15" s="10" t="s">
        <v>38</v>
      </c>
      <c r="O15" s="10" t="s">
        <v>38</v>
      </c>
      <c r="P15" s="10" t="s">
        <v>38</v>
      </c>
      <c r="Q15" s="10" t="s">
        <v>39</v>
      </c>
      <c r="R15" s="47" t="str">
        <f t="shared" si="10"/>
        <v>WO</v>
      </c>
      <c r="S15" s="16" t="s">
        <v>38</v>
      </c>
      <c r="T15" s="10" t="s">
        <v>38</v>
      </c>
      <c r="U15" s="10" t="s">
        <v>38</v>
      </c>
      <c r="V15" s="10" t="s">
        <v>38</v>
      </c>
      <c r="W15" s="10" t="s">
        <v>38</v>
      </c>
      <c r="X15" s="16" t="s">
        <v>38</v>
      </c>
      <c r="Y15" s="47" t="str">
        <f t="shared" si="11"/>
        <v>WO</v>
      </c>
      <c r="Z15" s="10" t="s">
        <v>38</v>
      </c>
      <c r="AA15" s="10" t="s">
        <v>38</v>
      </c>
      <c r="AB15" s="10" t="s">
        <v>38</v>
      </c>
      <c r="AC15" s="16" t="s">
        <v>38</v>
      </c>
      <c r="AD15" s="16" t="s">
        <v>38</v>
      </c>
      <c r="AE15" s="16" t="s">
        <v>38</v>
      </c>
      <c r="AF15" s="47" t="str">
        <f t="shared" si="12"/>
        <v>WO</v>
      </c>
      <c r="AG15" s="10" t="s">
        <v>38</v>
      </c>
      <c r="AH15" s="10" t="s">
        <v>38</v>
      </c>
      <c r="AI15" s="10" t="s">
        <v>38</v>
      </c>
      <c r="AJ15" s="16" t="s">
        <v>38</v>
      </c>
      <c r="AK15" s="16" t="s">
        <v>38</v>
      </c>
      <c r="AL15" s="16" t="s">
        <v>38</v>
      </c>
      <c r="AM15" s="47" t="str">
        <f t="shared" si="13"/>
        <v>WO</v>
      </c>
      <c r="AN15" s="60" t="s">
        <v>38</v>
      </c>
      <c r="AO15" s="30"/>
      <c r="AP15" s="21"/>
      <c r="AQ15" s="24"/>
      <c r="AR15" s="10">
        <v>6</v>
      </c>
      <c r="AS15" s="10" t="s">
        <v>8</v>
      </c>
      <c r="AT15" s="10" t="str">
        <f t="shared" si="2"/>
        <v>June</v>
      </c>
      <c r="AU15" s="10">
        <v>1006</v>
      </c>
      <c r="AV15" s="9">
        <f t="shared" si="3"/>
        <v>24</v>
      </c>
      <c r="AW15" s="16">
        <f t="shared" si="4"/>
        <v>1</v>
      </c>
      <c r="AX15" s="16">
        <f t="shared" si="5"/>
        <v>0</v>
      </c>
      <c r="AY15" s="16">
        <f t="shared" si="6"/>
        <v>5</v>
      </c>
      <c r="AZ15" s="16">
        <f t="shared" si="7"/>
        <v>30</v>
      </c>
      <c r="BA15" s="16">
        <f>JunReport[[#This Row],[Days]]-JunReport[[#This Row],[Absent]]</f>
        <v>29</v>
      </c>
      <c r="BB15" s="19">
        <v>13000</v>
      </c>
      <c r="BC15" s="20">
        <f>JunReport[[#This Row],[Salary ]]/JunReport[[#This Row],[Days]]</f>
        <v>433.33333333333331</v>
      </c>
      <c r="BD15" s="20">
        <f>JunReport[[#This Row],[Per Day Salary ]]*JunReport[[#This Row],[Absent]]</f>
        <v>433.33333333333331</v>
      </c>
      <c r="BE15" s="20">
        <f>JunReport[[#This Row],[Salary ]]-JunReport[[#This Row],[Deduction]]</f>
        <v>12566.666666666666</v>
      </c>
      <c r="BF15" s="20"/>
      <c r="BG15" s="24"/>
      <c r="BH15" s="22"/>
      <c r="BI15" s="22"/>
      <c r="BJ15" s="22"/>
      <c r="BK15" s="22"/>
      <c r="BL15" s="22"/>
      <c r="BM15" s="22"/>
      <c r="BN15" s="22"/>
    </row>
    <row r="16" spans="6:67" x14ac:dyDescent="0.25">
      <c r="F16" s="21"/>
      <c r="G16" s="8">
        <v>7</v>
      </c>
      <c r="H16" s="10" t="s">
        <v>9</v>
      </c>
      <c r="I16" s="10">
        <v>1007</v>
      </c>
      <c r="J16" s="47">
        <f t="shared" si="8"/>
        <v>5</v>
      </c>
      <c r="K16" s="47" t="str">
        <f t="shared" si="9"/>
        <v>WO</v>
      </c>
      <c r="L16" s="10" t="s">
        <v>38</v>
      </c>
      <c r="M16" s="10" t="s">
        <v>39</v>
      </c>
      <c r="N16" s="10" t="s">
        <v>38</v>
      </c>
      <c r="O16" s="10" t="s">
        <v>38</v>
      </c>
      <c r="P16" s="10" t="s">
        <v>38</v>
      </c>
      <c r="Q16" s="10" t="s">
        <v>38</v>
      </c>
      <c r="R16" s="47" t="str">
        <f t="shared" si="10"/>
        <v>WO</v>
      </c>
      <c r="S16" s="16" t="s">
        <v>38</v>
      </c>
      <c r="T16" s="10" t="s">
        <v>39</v>
      </c>
      <c r="U16" s="10" t="s">
        <v>38</v>
      </c>
      <c r="V16" s="10" t="s">
        <v>38</v>
      </c>
      <c r="W16" s="10" t="s">
        <v>38</v>
      </c>
      <c r="X16" s="16" t="s">
        <v>38</v>
      </c>
      <c r="Y16" s="47" t="str">
        <f t="shared" si="11"/>
        <v>WO</v>
      </c>
      <c r="Z16" s="10" t="s">
        <v>38</v>
      </c>
      <c r="AA16" s="10" t="s">
        <v>38</v>
      </c>
      <c r="AB16" s="10" t="s">
        <v>38</v>
      </c>
      <c r="AC16" s="16" t="s">
        <v>40</v>
      </c>
      <c r="AD16" s="16" t="s">
        <v>38</v>
      </c>
      <c r="AE16" s="16" t="s">
        <v>38</v>
      </c>
      <c r="AF16" s="47" t="str">
        <f t="shared" si="12"/>
        <v>WO</v>
      </c>
      <c r="AG16" s="10" t="s">
        <v>38</v>
      </c>
      <c r="AH16" s="10" t="s">
        <v>38</v>
      </c>
      <c r="AI16" s="10" t="s">
        <v>38</v>
      </c>
      <c r="AJ16" s="16" t="s">
        <v>40</v>
      </c>
      <c r="AK16" s="16" t="s">
        <v>38</v>
      </c>
      <c r="AL16" s="16" t="s">
        <v>38</v>
      </c>
      <c r="AM16" s="47" t="str">
        <f t="shared" si="13"/>
        <v>WO</v>
      </c>
      <c r="AN16" s="60" t="s">
        <v>38</v>
      </c>
      <c r="AO16" s="30"/>
      <c r="AP16" s="21"/>
      <c r="AQ16" s="24"/>
      <c r="AR16" s="10">
        <v>7</v>
      </c>
      <c r="AS16" s="10" t="s">
        <v>9</v>
      </c>
      <c r="AT16" s="10" t="str">
        <f t="shared" si="2"/>
        <v>June</v>
      </c>
      <c r="AU16" s="10">
        <v>1007</v>
      </c>
      <c r="AV16" s="9">
        <f t="shared" si="3"/>
        <v>21</v>
      </c>
      <c r="AW16" s="16">
        <f t="shared" si="4"/>
        <v>2</v>
      </c>
      <c r="AX16" s="16">
        <f t="shared" si="5"/>
        <v>2</v>
      </c>
      <c r="AY16" s="16">
        <f t="shared" si="6"/>
        <v>5</v>
      </c>
      <c r="AZ16" s="16">
        <f t="shared" si="7"/>
        <v>30</v>
      </c>
      <c r="BA16" s="16">
        <f>JunReport[[#This Row],[Days]]-JunReport[[#This Row],[Absent]]</f>
        <v>28</v>
      </c>
      <c r="BB16" s="19">
        <v>48000</v>
      </c>
      <c r="BC16" s="20">
        <f>JunReport[[#This Row],[Salary ]]/JunReport[[#This Row],[Days]]</f>
        <v>1600</v>
      </c>
      <c r="BD16" s="20">
        <f>JunReport[[#This Row],[Per Day Salary ]]*JunReport[[#This Row],[Absent]]</f>
        <v>3200</v>
      </c>
      <c r="BE16" s="20">
        <f>JunReport[[#This Row],[Salary ]]-JunReport[[#This Row],[Deduction]]</f>
        <v>44800</v>
      </c>
      <c r="BF16" s="20"/>
      <c r="BG16" s="24"/>
      <c r="BH16" s="22"/>
      <c r="BI16" s="22"/>
      <c r="BJ16" s="22"/>
      <c r="BK16" s="22"/>
      <c r="BL16" s="22"/>
      <c r="BM16" s="22"/>
      <c r="BN16" s="22"/>
    </row>
    <row r="17" spans="6:66" x14ac:dyDescent="0.25">
      <c r="F17" s="21"/>
      <c r="G17" s="8">
        <v>8</v>
      </c>
      <c r="H17" s="10" t="s">
        <v>10</v>
      </c>
      <c r="I17" s="10">
        <v>1008</v>
      </c>
      <c r="J17" s="47">
        <f t="shared" si="8"/>
        <v>5</v>
      </c>
      <c r="K17" s="47" t="str">
        <f t="shared" si="9"/>
        <v>WO</v>
      </c>
      <c r="L17" s="10" t="s">
        <v>38</v>
      </c>
      <c r="M17" s="10" t="s">
        <v>38</v>
      </c>
      <c r="N17" s="10" t="s">
        <v>38</v>
      </c>
      <c r="O17" s="10" t="s">
        <v>38</v>
      </c>
      <c r="P17" s="10" t="s">
        <v>39</v>
      </c>
      <c r="Q17" s="10" t="s">
        <v>38</v>
      </c>
      <c r="R17" s="47" t="str">
        <f t="shared" si="10"/>
        <v>WO</v>
      </c>
      <c r="S17" s="16" t="s">
        <v>38</v>
      </c>
      <c r="T17" s="10" t="s">
        <v>38</v>
      </c>
      <c r="U17" s="10" t="s">
        <v>38</v>
      </c>
      <c r="V17" s="10" t="s">
        <v>38</v>
      </c>
      <c r="W17" s="10" t="s">
        <v>38</v>
      </c>
      <c r="X17" s="16" t="s">
        <v>38</v>
      </c>
      <c r="Y17" s="47" t="str">
        <f t="shared" si="11"/>
        <v>WO</v>
      </c>
      <c r="Z17" s="10" t="s">
        <v>38</v>
      </c>
      <c r="AA17" s="10" t="s">
        <v>39</v>
      </c>
      <c r="AB17" s="10" t="s">
        <v>38</v>
      </c>
      <c r="AC17" s="16" t="s">
        <v>38</v>
      </c>
      <c r="AD17" s="16" t="s">
        <v>38</v>
      </c>
      <c r="AE17" s="16" t="s">
        <v>38</v>
      </c>
      <c r="AF17" s="47" t="str">
        <f t="shared" si="12"/>
        <v>WO</v>
      </c>
      <c r="AG17" s="10" t="s">
        <v>38</v>
      </c>
      <c r="AH17" s="10" t="s">
        <v>39</v>
      </c>
      <c r="AI17" s="10" t="s">
        <v>38</v>
      </c>
      <c r="AJ17" s="16" t="s">
        <v>38</v>
      </c>
      <c r="AK17" s="16" t="s">
        <v>38</v>
      </c>
      <c r="AL17" s="16" t="s">
        <v>38</v>
      </c>
      <c r="AM17" s="47" t="str">
        <f t="shared" si="13"/>
        <v>WO</v>
      </c>
      <c r="AN17" s="60" t="s">
        <v>39</v>
      </c>
      <c r="AO17" s="30"/>
      <c r="AP17" s="21"/>
      <c r="AQ17" s="24"/>
      <c r="AR17" s="10">
        <v>8</v>
      </c>
      <c r="AS17" s="10" t="s">
        <v>10</v>
      </c>
      <c r="AT17" s="10" t="str">
        <f t="shared" si="2"/>
        <v>June</v>
      </c>
      <c r="AU17" s="10">
        <v>1008</v>
      </c>
      <c r="AV17" s="9">
        <f t="shared" si="3"/>
        <v>21</v>
      </c>
      <c r="AW17" s="16">
        <f t="shared" si="4"/>
        <v>4</v>
      </c>
      <c r="AX17" s="16">
        <f t="shared" si="5"/>
        <v>0</v>
      </c>
      <c r="AY17" s="16">
        <f t="shared" si="6"/>
        <v>5</v>
      </c>
      <c r="AZ17" s="16">
        <f t="shared" si="7"/>
        <v>30</v>
      </c>
      <c r="BA17" s="16">
        <f>JunReport[[#This Row],[Days]]-JunReport[[#This Row],[Absent]]</f>
        <v>26</v>
      </c>
      <c r="BB17" s="19">
        <v>17000</v>
      </c>
      <c r="BC17" s="20">
        <f>JunReport[[#This Row],[Salary ]]/JunReport[[#This Row],[Days]]</f>
        <v>566.66666666666663</v>
      </c>
      <c r="BD17" s="20">
        <f>JunReport[[#This Row],[Per Day Salary ]]*JunReport[[#This Row],[Absent]]</f>
        <v>2266.6666666666665</v>
      </c>
      <c r="BE17" s="20">
        <f>JunReport[[#This Row],[Salary ]]-JunReport[[#This Row],[Deduction]]</f>
        <v>14733.333333333334</v>
      </c>
      <c r="BF17" s="20"/>
      <c r="BG17" s="24"/>
      <c r="BH17" s="22"/>
      <c r="BI17" s="22"/>
      <c r="BJ17" s="22"/>
      <c r="BK17" s="22"/>
      <c r="BL17" s="22"/>
      <c r="BM17" s="22"/>
      <c r="BN17" s="22"/>
    </row>
    <row r="18" spans="6:66" x14ac:dyDescent="0.25">
      <c r="F18" s="21"/>
      <c r="G18" s="8">
        <v>9</v>
      </c>
      <c r="H18" s="10" t="s">
        <v>11</v>
      </c>
      <c r="I18" s="10">
        <v>1009</v>
      </c>
      <c r="J18" s="47">
        <f t="shared" si="8"/>
        <v>5</v>
      </c>
      <c r="K18" s="47" t="str">
        <f t="shared" si="9"/>
        <v>WO</v>
      </c>
      <c r="L18" s="10" t="s">
        <v>38</v>
      </c>
      <c r="M18" s="10" t="s">
        <v>38</v>
      </c>
      <c r="N18" s="10" t="s">
        <v>38</v>
      </c>
      <c r="O18" s="10" t="s">
        <v>38</v>
      </c>
      <c r="P18" s="10" t="s">
        <v>38</v>
      </c>
      <c r="Q18" s="10" t="s">
        <v>38</v>
      </c>
      <c r="R18" s="47" t="str">
        <f t="shared" si="10"/>
        <v>WO</v>
      </c>
      <c r="S18" s="16" t="s">
        <v>38</v>
      </c>
      <c r="T18" s="10" t="s">
        <v>38</v>
      </c>
      <c r="U18" s="10" t="s">
        <v>38</v>
      </c>
      <c r="V18" s="10" t="s">
        <v>40</v>
      </c>
      <c r="W18" s="10" t="s">
        <v>38</v>
      </c>
      <c r="X18" s="16" t="s">
        <v>38</v>
      </c>
      <c r="Y18" s="47" t="str">
        <f t="shared" si="11"/>
        <v>WO</v>
      </c>
      <c r="Z18" s="10" t="s">
        <v>38</v>
      </c>
      <c r="AA18" s="10" t="s">
        <v>38</v>
      </c>
      <c r="AB18" s="10" t="s">
        <v>39</v>
      </c>
      <c r="AC18" s="16" t="s">
        <v>38</v>
      </c>
      <c r="AD18" s="16" t="s">
        <v>38</v>
      </c>
      <c r="AE18" s="16" t="s">
        <v>38</v>
      </c>
      <c r="AF18" s="47" t="str">
        <f t="shared" si="12"/>
        <v>WO</v>
      </c>
      <c r="AG18" s="10" t="s">
        <v>38</v>
      </c>
      <c r="AH18" s="10" t="s">
        <v>38</v>
      </c>
      <c r="AI18" s="10" t="s">
        <v>39</v>
      </c>
      <c r="AJ18" s="16" t="s">
        <v>38</v>
      </c>
      <c r="AK18" s="16" t="s">
        <v>38</v>
      </c>
      <c r="AL18" s="16" t="s">
        <v>38</v>
      </c>
      <c r="AM18" s="47" t="str">
        <f t="shared" si="13"/>
        <v>WO</v>
      </c>
      <c r="AN18" s="60" t="s">
        <v>38</v>
      </c>
      <c r="AO18" s="30"/>
      <c r="AP18" s="21"/>
      <c r="AQ18" s="24"/>
      <c r="AR18" s="10">
        <v>9</v>
      </c>
      <c r="AS18" s="10" t="s">
        <v>11</v>
      </c>
      <c r="AT18" s="10" t="str">
        <f t="shared" si="2"/>
        <v>June</v>
      </c>
      <c r="AU18" s="10">
        <v>1009</v>
      </c>
      <c r="AV18" s="9">
        <f t="shared" si="3"/>
        <v>22</v>
      </c>
      <c r="AW18" s="16">
        <f t="shared" si="4"/>
        <v>2</v>
      </c>
      <c r="AX18" s="16">
        <f t="shared" si="5"/>
        <v>1</v>
      </c>
      <c r="AY18" s="16">
        <f t="shared" si="6"/>
        <v>5</v>
      </c>
      <c r="AZ18" s="16">
        <f t="shared" si="7"/>
        <v>30</v>
      </c>
      <c r="BA18" s="16">
        <f>JunReport[[#This Row],[Days]]-JunReport[[#This Row],[Absent]]</f>
        <v>28</v>
      </c>
      <c r="BB18" s="19">
        <v>39000</v>
      </c>
      <c r="BC18" s="20">
        <f>JunReport[[#This Row],[Salary ]]/JunReport[[#This Row],[Days]]</f>
        <v>1300</v>
      </c>
      <c r="BD18" s="20">
        <f>JunReport[[#This Row],[Per Day Salary ]]*JunReport[[#This Row],[Absent]]</f>
        <v>2600</v>
      </c>
      <c r="BE18" s="20">
        <f>JunReport[[#This Row],[Salary ]]-JunReport[[#This Row],[Deduction]]</f>
        <v>36400</v>
      </c>
      <c r="BF18" s="20"/>
      <c r="BG18" s="24"/>
      <c r="BH18" s="22"/>
      <c r="BI18" s="22"/>
      <c r="BJ18" s="22"/>
      <c r="BK18" s="22"/>
      <c r="BL18" s="22"/>
      <c r="BM18" s="22"/>
      <c r="BN18" s="22"/>
    </row>
    <row r="19" spans="6:66" x14ac:dyDescent="0.25">
      <c r="F19" s="21"/>
      <c r="G19" s="8">
        <v>10</v>
      </c>
      <c r="H19" s="10" t="s">
        <v>3</v>
      </c>
      <c r="I19" s="10">
        <v>1010</v>
      </c>
      <c r="J19" s="47">
        <f t="shared" si="8"/>
        <v>5</v>
      </c>
      <c r="K19" s="47" t="str">
        <f t="shared" si="9"/>
        <v>WO</v>
      </c>
      <c r="L19" s="10" t="s">
        <v>39</v>
      </c>
      <c r="M19" s="10" t="s">
        <v>38</v>
      </c>
      <c r="N19" s="10" t="s">
        <v>38</v>
      </c>
      <c r="O19" s="10" t="s">
        <v>38</v>
      </c>
      <c r="P19" s="10" t="s">
        <v>38</v>
      </c>
      <c r="Q19" s="10" t="s">
        <v>38</v>
      </c>
      <c r="R19" s="47" t="str">
        <f t="shared" si="10"/>
        <v>WO</v>
      </c>
      <c r="S19" s="16" t="s">
        <v>38</v>
      </c>
      <c r="T19" s="10" t="s">
        <v>38</v>
      </c>
      <c r="U19" s="10" t="s">
        <v>38</v>
      </c>
      <c r="V19" s="10" t="s">
        <v>38</v>
      </c>
      <c r="W19" s="10" t="s">
        <v>38</v>
      </c>
      <c r="X19" s="16" t="s">
        <v>38</v>
      </c>
      <c r="Y19" s="47" t="str">
        <f t="shared" si="11"/>
        <v>WO</v>
      </c>
      <c r="Z19" s="10" t="s">
        <v>38</v>
      </c>
      <c r="AA19" s="10" t="s">
        <v>38</v>
      </c>
      <c r="AB19" s="10" t="s">
        <v>38</v>
      </c>
      <c r="AC19" s="16" t="s">
        <v>38</v>
      </c>
      <c r="AD19" s="16" t="s">
        <v>38</v>
      </c>
      <c r="AE19" s="16" t="s">
        <v>40</v>
      </c>
      <c r="AF19" s="47" t="str">
        <f t="shared" si="12"/>
        <v>WO</v>
      </c>
      <c r="AG19" s="10" t="s">
        <v>38</v>
      </c>
      <c r="AH19" s="10" t="s">
        <v>38</v>
      </c>
      <c r="AI19" s="10" t="s">
        <v>38</v>
      </c>
      <c r="AJ19" s="16" t="s">
        <v>38</v>
      </c>
      <c r="AK19" s="16" t="s">
        <v>38</v>
      </c>
      <c r="AL19" s="16" t="s">
        <v>40</v>
      </c>
      <c r="AM19" s="47" t="str">
        <f t="shared" si="13"/>
        <v>WO</v>
      </c>
      <c r="AN19" s="60" t="s">
        <v>38</v>
      </c>
      <c r="AO19" s="30"/>
      <c r="AP19" s="21"/>
      <c r="AQ19" s="24"/>
      <c r="AR19" s="10">
        <v>10</v>
      </c>
      <c r="AS19" s="10" t="s">
        <v>3</v>
      </c>
      <c r="AT19" s="10" t="str">
        <f t="shared" si="2"/>
        <v>June</v>
      </c>
      <c r="AU19" s="10">
        <v>1010</v>
      </c>
      <c r="AV19" s="9">
        <f t="shared" si="3"/>
        <v>22</v>
      </c>
      <c r="AW19" s="16">
        <f t="shared" si="4"/>
        <v>1</v>
      </c>
      <c r="AX19" s="16">
        <f t="shared" si="5"/>
        <v>2</v>
      </c>
      <c r="AY19" s="16">
        <f t="shared" si="6"/>
        <v>5</v>
      </c>
      <c r="AZ19" s="16">
        <f t="shared" si="7"/>
        <v>30</v>
      </c>
      <c r="BA19" s="16">
        <f>JunReport[[#This Row],[Days]]-JunReport[[#This Row],[Absent]]</f>
        <v>29</v>
      </c>
      <c r="BB19" s="19">
        <v>72000</v>
      </c>
      <c r="BC19" s="20">
        <f>JunReport[[#This Row],[Salary ]]/JunReport[[#This Row],[Days]]</f>
        <v>2400</v>
      </c>
      <c r="BD19" s="20">
        <f>JunReport[[#This Row],[Per Day Salary ]]*JunReport[[#This Row],[Absent]]</f>
        <v>2400</v>
      </c>
      <c r="BE19" s="20">
        <f>JunReport[[#This Row],[Salary ]]-JunReport[[#This Row],[Deduction]]</f>
        <v>69600</v>
      </c>
      <c r="BF19" s="20"/>
      <c r="BG19" s="24"/>
      <c r="BH19" s="22"/>
      <c r="BI19" s="22"/>
      <c r="BJ19" s="22"/>
      <c r="BK19" s="22"/>
      <c r="BL19" s="22"/>
      <c r="BM19" s="22"/>
      <c r="BN19" s="22"/>
    </row>
    <row r="20" spans="6:66" x14ac:dyDescent="0.25">
      <c r="F20" s="21"/>
      <c r="G20" s="8">
        <v>11</v>
      </c>
      <c r="H20" s="9" t="s">
        <v>12</v>
      </c>
      <c r="I20" s="10">
        <v>1011</v>
      </c>
      <c r="J20" s="47">
        <f t="shared" si="8"/>
        <v>5</v>
      </c>
      <c r="K20" s="47" t="str">
        <f t="shared" si="9"/>
        <v>WO</v>
      </c>
      <c r="L20" s="10" t="s">
        <v>38</v>
      </c>
      <c r="M20" s="10" t="s">
        <v>38</v>
      </c>
      <c r="N20" s="10" t="s">
        <v>38</v>
      </c>
      <c r="O20" s="10" t="s">
        <v>38</v>
      </c>
      <c r="P20" s="10" t="s">
        <v>38</v>
      </c>
      <c r="Q20" s="10" t="s">
        <v>38</v>
      </c>
      <c r="R20" s="47" t="str">
        <f t="shared" si="10"/>
        <v>WO</v>
      </c>
      <c r="S20" s="16" t="s">
        <v>38</v>
      </c>
      <c r="T20" s="10" t="s">
        <v>38</v>
      </c>
      <c r="U20" s="10" t="s">
        <v>38</v>
      </c>
      <c r="V20" s="10" t="s">
        <v>40</v>
      </c>
      <c r="W20" s="10" t="s">
        <v>38</v>
      </c>
      <c r="X20" s="16" t="s">
        <v>38</v>
      </c>
      <c r="Y20" s="47" t="str">
        <f t="shared" si="11"/>
        <v>WO</v>
      </c>
      <c r="Z20" s="10" t="s">
        <v>38</v>
      </c>
      <c r="AA20" s="10" t="s">
        <v>38</v>
      </c>
      <c r="AB20" s="10" t="s">
        <v>38</v>
      </c>
      <c r="AC20" s="16" t="s">
        <v>38</v>
      </c>
      <c r="AD20" s="16" t="s">
        <v>38</v>
      </c>
      <c r="AE20" s="16" t="s">
        <v>38</v>
      </c>
      <c r="AF20" s="47" t="str">
        <f t="shared" si="12"/>
        <v>WO</v>
      </c>
      <c r="AG20" s="10" t="s">
        <v>38</v>
      </c>
      <c r="AH20" s="10" t="s">
        <v>38</v>
      </c>
      <c r="AI20" s="10" t="s">
        <v>38</v>
      </c>
      <c r="AJ20" s="16" t="s">
        <v>38</v>
      </c>
      <c r="AK20" s="16" t="s">
        <v>38</v>
      </c>
      <c r="AL20" s="16" t="s">
        <v>38</v>
      </c>
      <c r="AM20" s="47" t="str">
        <f t="shared" si="13"/>
        <v>WO</v>
      </c>
      <c r="AN20" s="60" t="s">
        <v>38</v>
      </c>
      <c r="AO20" s="30"/>
      <c r="AP20" s="21"/>
      <c r="AQ20" s="24"/>
      <c r="AR20" s="10">
        <v>11</v>
      </c>
      <c r="AS20" s="9" t="s">
        <v>12</v>
      </c>
      <c r="AT20" s="9" t="str">
        <f t="shared" si="2"/>
        <v>June</v>
      </c>
      <c r="AU20" s="10">
        <v>1011</v>
      </c>
      <c r="AV20" s="9">
        <f t="shared" si="3"/>
        <v>24</v>
      </c>
      <c r="AW20" s="16">
        <f t="shared" si="4"/>
        <v>0</v>
      </c>
      <c r="AX20" s="16">
        <f t="shared" si="5"/>
        <v>1</v>
      </c>
      <c r="AY20" s="16">
        <f t="shared" si="6"/>
        <v>5</v>
      </c>
      <c r="AZ20" s="16">
        <f t="shared" si="7"/>
        <v>30</v>
      </c>
      <c r="BA20" s="16">
        <f>JunReport[[#This Row],[Days]]-JunReport[[#This Row],[Absent]]</f>
        <v>30</v>
      </c>
      <c r="BB20" s="19">
        <v>13000</v>
      </c>
      <c r="BC20" s="20">
        <f>JunReport[[#This Row],[Salary ]]/JunReport[[#This Row],[Days]]</f>
        <v>433.33333333333331</v>
      </c>
      <c r="BD20" s="20">
        <f>JunReport[[#This Row],[Per Day Salary ]]*JunReport[[#This Row],[Absent]]</f>
        <v>0</v>
      </c>
      <c r="BE20" s="20">
        <f>JunReport[[#This Row],[Salary ]]-JunReport[[#This Row],[Deduction]]</f>
        <v>13000</v>
      </c>
      <c r="BF20" s="20"/>
      <c r="BG20" s="24"/>
      <c r="BH20" s="22"/>
      <c r="BI20" s="22"/>
      <c r="BJ20" s="22"/>
      <c r="BK20" s="22"/>
      <c r="BL20" s="22"/>
      <c r="BM20" s="22"/>
      <c r="BN20" s="22"/>
    </row>
    <row r="21" spans="6:66" x14ac:dyDescent="0.25">
      <c r="F21" s="21"/>
      <c r="G21" s="8">
        <v>12</v>
      </c>
      <c r="H21" s="10" t="s">
        <v>13</v>
      </c>
      <c r="I21" s="10">
        <v>1012</v>
      </c>
      <c r="J21" s="47">
        <f t="shared" si="8"/>
        <v>5</v>
      </c>
      <c r="K21" s="47" t="str">
        <f t="shared" si="9"/>
        <v>WO</v>
      </c>
      <c r="L21" s="10" t="s">
        <v>38</v>
      </c>
      <c r="M21" s="10" t="s">
        <v>38</v>
      </c>
      <c r="N21" s="10" t="s">
        <v>38</v>
      </c>
      <c r="O21" s="10" t="s">
        <v>38</v>
      </c>
      <c r="P21" s="10" t="s">
        <v>38</v>
      </c>
      <c r="Q21" s="10" t="s">
        <v>38</v>
      </c>
      <c r="R21" s="47" t="str">
        <f t="shared" si="10"/>
        <v>WO</v>
      </c>
      <c r="S21" s="16" t="s">
        <v>38</v>
      </c>
      <c r="T21" s="10" t="s">
        <v>38</v>
      </c>
      <c r="U21" s="10" t="s">
        <v>38</v>
      </c>
      <c r="V21" s="10" t="s">
        <v>38</v>
      </c>
      <c r="W21" s="10" t="s">
        <v>38</v>
      </c>
      <c r="X21" s="16" t="s">
        <v>38</v>
      </c>
      <c r="Y21" s="47" t="str">
        <f t="shared" si="11"/>
        <v>WO</v>
      </c>
      <c r="Z21" s="10" t="s">
        <v>38</v>
      </c>
      <c r="AA21" s="10" t="s">
        <v>38</v>
      </c>
      <c r="AB21" s="10" t="s">
        <v>39</v>
      </c>
      <c r="AC21" s="16" t="s">
        <v>38</v>
      </c>
      <c r="AD21" s="16" t="s">
        <v>38</v>
      </c>
      <c r="AE21" s="16" t="s">
        <v>38</v>
      </c>
      <c r="AF21" s="47" t="str">
        <f t="shared" si="12"/>
        <v>WO</v>
      </c>
      <c r="AG21" s="10" t="s">
        <v>38</v>
      </c>
      <c r="AH21" s="10" t="s">
        <v>38</v>
      </c>
      <c r="AI21" s="10" t="s">
        <v>39</v>
      </c>
      <c r="AJ21" s="16" t="s">
        <v>38</v>
      </c>
      <c r="AK21" s="16" t="s">
        <v>38</v>
      </c>
      <c r="AL21" s="16" t="s">
        <v>38</v>
      </c>
      <c r="AM21" s="47" t="str">
        <f t="shared" si="13"/>
        <v>WO</v>
      </c>
      <c r="AN21" s="60" t="s">
        <v>38</v>
      </c>
      <c r="AO21" s="30"/>
      <c r="AP21" s="21"/>
      <c r="AQ21" s="24"/>
      <c r="AR21" s="10">
        <v>12</v>
      </c>
      <c r="AS21" s="10" t="s">
        <v>13</v>
      </c>
      <c r="AT21" s="10" t="str">
        <f t="shared" si="2"/>
        <v>June</v>
      </c>
      <c r="AU21" s="10">
        <v>1012</v>
      </c>
      <c r="AV21" s="9">
        <f t="shared" si="3"/>
        <v>23</v>
      </c>
      <c r="AW21" s="16">
        <f t="shared" si="4"/>
        <v>2</v>
      </c>
      <c r="AX21" s="16">
        <f t="shared" si="5"/>
        <v>0</v>
      </c>
      <c r="AY21" s="16">
        <f t="shared" si="6"/>
        <v>5</v>
      </c>
      <c r="AZ21" s="16">
        <f t="shared" si="7"/>
        <v>30</v>
      </c>
      <c r="BA21" s="16">
        <f>JunReport[[#This Row],[Days]]-JunReport[[#This Row],[Absent]]</f>
        <v>28</v>
      </c>
      <c r="BB21" s="19">
        <v>22000</v>
      </c>
      <c r="BC21" s="20">
        <f>JunReport[[#This Row],[Salary ]]/JunReport[[#This Row],[Days]]</f>
        <v>733.33333333333337</v>
      </c>
      <c r="BD21" s="20">
        <f>JunReport[[#This Row],[Per Day Salary ]]*JunReport[[#This Row],[Absent]]</f>
        <v>1466.6666666666667</v>
      </c>
      <c r="BE21" s="20">
        <f>JunReport[[#This Row],[Salary ]]-JunReport[[#This Row],[Deduction]]</f>
        <v>20533.333333333332</v>
      </c>
      <c r="BF21" s="20"/>
      <c r="BG21" s="24"/>
      <c r="BH21" s="22"/>
      <c r="BI21" s="22"/>
      <c r="BJ21" s="22"/>
      <c r="BK21" s="22"/>
      <c r="BL21" s="22"/>
      <c r="BM21" s="22"/>
      <c r="BN21" s="22"/>
    </row>
    <row r="22" spans="6:66" x14ac:dyDescent="0.25">
      <c r="F22" s="21"/>
      <c r="G22" s="8">
        <v>13</v>
      </c>
      <c r="H22" s="10" t="s">
        <v>14</v>
      </c>
      <c r="I22" s="10">
        <v>1013</v>
      </c>
      <c r="J22" s="47">
        <f t="shared" si="8"/>
        <v>5</v>
      </c>
      <c r="K22" s="47" t="str">
        <f t="shared" si="9"/>
        <v>WO</v>
      </c>
      <c r="L22" s="10" t="s">
        <v>38</v>
      </c>
      <c r="M22" s="10" t="s">
        <v>38</v>
      </c>
      <c r="N22" s="10" t="s">
        <v>38</v>
      </c>
      <c r="O22" s="10" t="s">
        <v>38</v>
      </c>
      <c r="P22" s="10" t="s">
        <v>38</v>
      </c>
      <c r="Q22" s="10" t="s">
        <v>38</v>
      </c>
      <c r="R22" s="47" t="str">
        <f t="shared" si="10"/>
        <v>WO</v>
      </c>
      <c r="S22" s="16" t="s">
        <v>40</v>
      </c>
      <c r="T22" s="10" t="s">
        <v>38</v>
      </c>
      <c r="U22" s="10" t="s">
        <v>38</v>
      </c>
      <c r="V22" s="10" t="s">
        <v>38</v>
      </c>
      <c r="W22" s="10" t="s">
        <v>38</v>
      </c>
      <c r="X22" s="16" t="s">
        <v>38</v>
      </c>
      <c r="Y22" s="47" t="str">
        <f t="shared" si="11"/>
        <v>WO</v>
      </c>
      <c r="Z22" s="10" t="s">
        <v>38</v>
      </c>
      <c r="AA22" s="10" t="s">
        <v>38</v>
      </c>
      <c r="AB22" s="10" t="s">
        <v>38</v>
      </c>
      <c r="AC22" s="16" t="s">
        <v>38</v>
      </c>
      <c r="AD22" s="16" t="s">
        <v>38</v>
      </c>
      <c r="AE22" s="16" t="s">
        <v>38</v>
      </c>
      <c r="AF22" s="47" t="str">
        <f t="shared" si="12"/>
        <v>WO</v>
      </c>
      <c r="AG22" s="10" t="s">
        <v>38</v>
      </c>
      <c r="AH22" s="10" t="s">
        <v>38</v>
      </c>
      <c r="AI22" s="10" t="s">
        <v>38</v>
      </c>
      <c r="AJ22" s="16" t="s">
        <v>38</v>
      </c>
      <c r="AK22" s="16" t="s">
        <v>38</v>
      </c>
      <c r="AL22" s="16" t="s">
        <v>38</v>
      </c>
      <c r="AM22" s="47" t="str">
        <f t="shared" si="13"/>
        <v>WO</v>
      </c>
      <c r="AN22" s="60" t="s">
        <v>38</v>
      </c>
      <c r="AO22" s="30"/>
      <c r="AP22" s="21"/>
      <c r="AQ22" s="24"/>
      <c r="AR22" s="10">
        <v>13</v>
      </c>
      <c r="AS22" s="10" t="s">
        <v>14</v>
      </c>
      <c r="AT22" s="10" t="str">
        <f t="shared" si="2"/>
        <v>June</v>
      </c>
      <c r="AU22" s="10">
        <v>1013</v>
      </c>
      <c r="AV22" s="9">
        <f t="shared" si="3"/>
        <v>24</v>
      </c>
      <c r="AW22" s="16">
        <f t="shared" si="4"/>
        <v>0</v>
      </c>
      <c r="AX22" s="16">
        <f t="shared" si="5"/>
        <v>1</v>
      </c>
      <c r="AY22" s="16">
        <f t="shared" si="6"/>
        <v>5</v>
      </c>
      <c r="AZ22" s="16">
        <f t="shared" si="7"/>
        <v>30</v>
      </c>
      <c r="BA22" s="16">
        <f>JunReport[[#This Row],[Days]]-JunReport[[#This Row],[Absent]]</f>
        <v>30</v>
      </c>
      <c r="BB22" s="19">
        <v>35000</v>
      </c>
      <c r="BC22" s="20">
        <f>JunReport[[#This Row],[Salary ]]/JunReport[[#This Row],[Days]]</f>
        <v>1166.6666666666667</v>
      </c>
      <c r="BD22" s="20">
        <f>JunReport[[#This Row],[Per Day Salary ]]*JunReport[[#This Row],[Absent]]</f>
        <v>0</v>
      </c>
      <c r="BE22" s="20">
        <f>JunReport[[#This Row],[Salary ]]-JunReport[[#This Row],[Deduction]]</f>
        <v>35000</v>
      </c>
      <c r="BF22" s="20"/>
      <c r="BG22" s="24"/>
      <c r="BH22" s="22"/>
      <c r="BI22" s="22"/>
      <c r="BJ22" s="22"/>
      <c r="BK22" s="22"/>
      <c r="BL22" s="22"/>
      <c r="BM22" s="22"/>
      <c r="BN22" s="22"/>
    </row>
    <row r="23" spans="6:66" x14ac:dyDescent="0.25">
      <c r="F23" s="21"/>
      <c r="G23" s="8">
        <v>14</v>
      </c>
      <c r="H23" s="10" t="s">
        <v>15</v>
      </c>
      <c r="I23" s="10">
        <v>1014</v>
      </c>
      <c r="J23" s="47">
        <f t="shared" si="8"/>
        <v>5</v>
      </c>
      <c r="K23" s="47" t="str">
        <f t="shared" si="9"/>
        <v>WO</v>
      </c>
      <c r="L23" s="10" t="s">
        <v>40</v>
      </c>
      <c r="M23" s="10" t="s">
        <v>38</v>
      </c>
      <c r="N23" s="10" t="s">
        <v>38</v>
      </c>
      <c r="O23" s="10" t="s">
        <v>39</v>
      </c>
      <c r="P23" s="10" t="s">
        <v>38</v>
      </c>
      <c r="Q23" s="10" t="s">
        <v>38</v>
      </c>
      <c r="R23" s="47" t="str">
        <f t="shared" si="10"/>
        <v>WO</v>
      </c>
      <c r="S23" s="16" t="s">
        <v>38</v>
      </c>
      <c r="T23" s="10" t="s">
        <v>38</v>
      </c>
      <c r="U23" s="10" t="s">
        <v>38</v>
      </c>
      <c r="V23" s="10" t="s">
        <v>38</v>
      </c>
      <c r="W23" s="10" t="s">
        <v>38</v>
      </c>
      <c r="X23" s="16" t="s">
        <v>38</v>
      </c>
      <c r="Y23" s="47" t="str">
        <f t="shared" si="11"/>
        <v>WO</v>
      </c>
      <c r="Z23" s="10" t="s">
        <v>38</v>
      </c>
      <c r="AA23" s="10" t="s">
        <v>38</v>
      </c>
      <c r="AB23" s="10" t="s">
        <v>38</v>
      </c>
      <c r="AC23" s="16" t="s">
        <v>38</v>
      </c>
      <c r="AD23" s="16" t="s">
        <v>39</v>
      </c>
      <c r="AE23" s="16" t="s">
        <v>38</v>
      </c>
      <c r="AF23" s="47" t="str">
        <f t="shared" si="12"/>
        <v>WO</v>
      </c>
      <c r="AG23" s="10" t="s">
        <v>38</v>
      </c>
      <c r="AH23" s="10" t="s">
        <v>38</v>
      </c>
      <c r="AI23" s="10" t="s">
        <v>38</v>
      </c>
      <c r="AJ23" s="16" t="s">
        <v>38</v>
      </c>
      <c r="AK23" s="16" t="s">
        <v>39</v>
      </c>
      <c r="AL23" s="16" t="s">
        <v>38</v>
      </c>
      <c r="AM23" s="47" t="str">
        <f t="shared" si="13"/>
        <v>WO</v>
      </c>
      <c r="AN23" s="60" t="s">
        <v>38</v>
      </c>
      <c r="AO23" s="30"/>
      <c r="AP23" s="21"/>
      <c r="AQ23" s="24"/>
      <c r="AR23" s="10">
        <v>14</v>
      </c>
      <c r="AS23" s="10" t="s">
        <v>15</v>
      </c>
      <c r="AT23" s="10" t="str">
        <f t="shared" si="2"/>
        <v>June</v>
      </c>
      <c r="AU23" s="10">
        <v>1014</v>
      </c>
      <c r="AV23" s="9">
        <f t="shared" si="3"/>
        <v>21</v>
      </c>
      <c r="AW23" s="16">
        <f t="shared" si="4"/>
        <v>3</v>
      </c>
      <c r="AX23" s="16">
        <f t="shared" si="5"/>
        <v>1</v>
      </c>
      <c r="AY23" s="16">
        <f t="shared" si="6"/>
        <v>5</v>
      </c>
      <c r="AZ23" s="16">
        <f t="shared" si="7"/>
        <v>30</v>
      </c>
      <c r="BA23" s="16">
        <f>JunReport[[#This Row],[Days]]-JunReport[[#This Row],[Absent]]</f>
        <v>27</v>
      </c>
      <c r="BB23" s="19">
        <v>14000</v>
      </c>
      <c r="BC23" s="20">
        <f>JunReport[[#This Row],[Salary ]]/JunReport[[#This Row],[Days]]</f>
        <v>466.66666666666669</v>
      </c>
      <c r="BD23" s="20">
        <f>JunReport[[#This Row],[Per Day Salary ]]*JunReport[[#This Row],[Absent]]</f>
        <v>1400</v>
      </c>
      <c r="BE23" s="20">
        <f>JunReport[[#This Row],[Salary ]]-JunReport[[#This Row],[Deduction]]</f>
        <v>12600</v>
      </c>
      <c r="BF23" s="20"/>
      <c r="BG23" s="24"/>
      <c r="BH23" s="22"/>
      <c r="BI23" s="22"/>
      <c r="BJ23" s="22"/>
      <c r="BK23" s="22"/>
      <c r="BL23" s="22"/>
      <c r="BM23" s="22"/>
      <c r="BN23" s="22"/>
    </row>
    <row r="24" spans="6:66" x14ac:dyDescent="0.25">
      <c r="F24" s="21"/>
      <c r="G24" s="8">
        <v>15</v>
      </c>
      <c r="H24" s="10" t="s">
        <v>16</v>
      </c>
      <c r="I24" s="10">
        <v>1015</v>
      </c>
      <c r="J24" s="47">
        <f t="shared" si="8"/>
        <v>5</v>
      </c>
      <c r="K24" s="47" t="str">
        <f t="shared" si="9"/>
        <v>WO</v>
      </c>
      <c r="L24" s="10" t="s">
        <v>38</v>
      </c>
      <c r="M24" s="10" t="s">
        <v>38</v>
      </c>
      <c r="N24" s="10" t="s">
        <v>38</v>
      </c>
      <c r="O24" s="10" t="s">
        <v>38</v>
      </c>
      <c r="P24" s="10" t="s">
        <v>38</v>
      </c>
      <c r="Q24" s="10" t="s">
        <v>38</v>
      </c>
      <c r="R24" s="47" t="str">
        <f t="shared" si="10"/>
        <v>WO</v>
      </c>
      <c r="S24" s="16" t="s">
        <v>38</v>
      </c>
      <c r="T24" s="10" t="s">
        <v>39</v>
      </c>
      <c r="U24" s="10" t="s">
        <v>38</v>
      </c>
      <c r="V24" s="10" t="s">
        <v>38</v>
      </c>
      <c r="W24" s="10" t="s">
        <v>38</v>
      </c>
      <c r="X24" s="16" t="s">
        <v>40</v>
      </c>
      <c r="Y24" s="47" t="str">
        <f t="shared" si="11"/>
        <v>WO</v>
      </c>
      <c r="Z24" s="10" t="s">
        <v>38</v>
      </c>
      <c r="AA24" s="10" t="s">
        <v>38</v>
      </c>
      <c r="AB24" s="10" t="s">
        <v>38</v>
      </c>
      <c r="AC24" s="16" t="s">
        <v>38</v>
      </c>
      <c r="AD24" s="16" t="s">
        <v>38</v>
      </c>
      <c r="AE24" s="16" t="s">
        <v>38</v>
      </c>
      <c r="AF24" s="47" t="str">
        <f t="shared" si="12"/>
        <v>WO</v>
      </c>
      <c r="AG24" s="10" t="s">
        <v>38</v>
      </c>
      <c r="AH24" s="10" t="s">
        <v>38</v>
      </c>
      <c r="AI24" s="10" t="s">
        <v>38</v>
      </c>
      <c r="AJ24" s="16" t="s">
        <v>38</v>
      </c>
      <c r="AK24" s="16" t="s">
        <v>38</v>
      </c>
      <c r="AL24" s="16" t="s">
        <v>38</v>
      </c>
      <c r="AM24" s="47" t="str">
        <f t="shared" si="13"/>
        <v>WO</v>
      </c>
      <c r="AN24" s="60" t="s">
        <v>38</v>
      </c>
      <c r="AO24" s="30"/>
      <c r="AP24" s="21"/>
      <c r="AQ24" s="24"/>
      <c r="AR24" s="10">
        <v>15</v>
      </c>
      <c r="AS24" s="10" t="s">
        <v>16</v>
      </c>
      <c r="AT24" s="10" t="str">
        <f t="shared" si="2"/>
        <v>June</v>
      </c>
      <c r="AU24" s="10">
        <v>1015</v>
      </c>
      <c r="AV24" s="9">
        <f t="shared" si="3"/>
        <v>23</v>
      </c>
      <c r="AW24" s="16">
        <f t="shared" si="4"/>
        <v>1</v>
      </c>
      <c r="AX24" s="16">
        <f t="shared" si="5"/>
        <v>1</v>
      </c>
      <c r="AY24" s="16">
        <f t="shared" si="6"/>
        <v>5</v>
      </c>
      <c r="AZ24" s="16">
        <f t="shared" si="7"/>
        <v>30</v>
      </c>
      <c r="BA24" s="16">
        <f>JunReport[[#This Row],[Days]]-JunReport[[#This Row],[Absent]]</f>
        <v>29</v>
      </c>
      <c r="BB24" s="19">
        <v>72000</v>
      </c>
      <c r="BC24" s="20">
        <f>JunReport[[#This Row],[Salary ]]/JunReport[[#This Row],[Days]]</f>
        <v>2400</v>
      </c>
      <c r="BD24" s="20">
        <f>JunReport[[#This Row],[Per Day Salary ]]*JunReport[[#This Row],[Absent]]</f>
        <v>2400</v>
      </c>
      <c r="BE24" s="20">
        <f>JunReport[[#This Row],[Salary ]]-JunReport[[#This Row],[Deduction]]</f>
        <v>69600</v>
      </c>
      <c r="BF24" s="20"/>
      <c r="BG24" s="24"/>
      <c r="BH24" s="22"/>
      <c r="BI24" s="22"/>
      <c r="BJ24" s="22"/>
      <c r="BK24" s="22"/>
      <c r="BL24" s="22"/>
      <c r="BM24" s="22"/>
      <c r="BN24" s="22"/>
    </row>
    <row r="25" spans="6:66" x14ac:dyDescent="0.25">
      <c r="F25" s="21"/>
      <c r="G25" s="8">
        <v>16</v>
      </c>
      <c r="H25" s="10" t="s">
        <v>17</v>
      </c>
      <c r="I25" s="10">
        <v>1016</v>
      </c>
      <c r="J25" s="47">
        <f t="shared" si="8"/>
        <v>5</v>
      </c>
      <c r="K25" s="47" t="str">
        <f t="shared" si="9"/>
        <v>WO</v>
      </c>
      <c r="L25" s="10" t="s">
        <v>38</v>
      </c>
      <c r="M25" s="10" t="s">
        <v>38</v>
      </c>
      <c r="N25" s="10" t="s">
        <v>38</v>
      </c>
      <c r="O25" s="10" t="s">
        <v>38</v>
      </c>
      <c r="P25" s="10" t="s">
        <v>38</v>
      </c>
      <c r="Q25" s="10" t="s">
        <v>38</v>
      </c>
      <c r="R25" s="47" t="str">
        <f t="shared" si="10"/>
        <v>WO</v>
      </c>
      <c r="S25" s="16" t="s">
        <v>38</v>
      </c>
      <c r="T25" s="10" t="s">
        <v>38</v>
      </c>
      <c r="U25" s="10" t="s">
        <v>38</v>
      </c>
      <c r="V25" s="10" t="s">
        <v>38</v>
      </c>
      <c r="W25" s="10" t="s">
        <v>38</v>
      </c>
      <c r="X25" s="16" t="s">
        <v>38</v>
      </c>
      <c r="Y25" s="47" t="str">
        <f t="shared" si="11"/>
        <v>WO</v>
      </c>
      <c r="Z25" s="10" t="s">
        <v>39</v>
      </c>
      <c r="AA25" s="10" t="s">
        <v>38</v>
      </c>
      <c r="AB25" s="10" t="s">
        <v>38</v>
      </c>
      <c r="AC25" s="16" t="s">
        <v>38</v>
      </c>
      <c r="AD25" s="16" t="s">
        <v>38</v>
      </c>
      <c r="AE25" s="16" t="s">
        <v>38</v>
      </c>
      <c r="AF25" s="47" t="str">
        <f t="shared" si="12"/>
        <v>WO</v>
      </c>
      <c r="AG25" s="10" t="s">
        <v>39</v>
      </c>
      <c r="AH25" s="10" t="s">
        <v>38</v>
      </c>
      <c r="AI25" s="10" t="s">
        <v>38</v>
      </c>
      <c r="AJ25" s="16" t="s">
        <v>38</v>
      </c>
      <c r="AK25" s="16" t="s">
        <v>38</v>
      </c>
      <c r="AL25" s="16" t="s">
        <v>38</v>
      </c>
      <c r="AM25" s="47" t="str">
        <f t="shared" si="13"/>
        <v>WO</v>
      </c>
      <c r="AN25" s="60" t="s">
        <v>38</v>
      </c>
      <c r="AO25" s="30"/>
      <c r="AP25" s="21"/>
      <c r="AQ25" s="24"/>
      <c r="AR25" s="10">
        <v>16</v>
      </c>
      <c r="AS25" s="10" t="s">
        <v>17</v>
      </c>
      <c r="AT25" s="10" t="str">
        <f t="shared" si="2"/>
        <v>June</v>
      </c>
      <c r="AU25" s="10">
        <v>1016</v>
      </c>
      <c r="AV25" s="9">
        <f t="shared" si="3"/>
        <v>23</v>
      </c>
      <c r="AW25" s="16">
        <f t="shared" si="4"/>
        <v>2</v>
      </c>
      <c r="AX25" s="16">
        <f t="shared" si="5"/>
        <v>0</v>
      </c>
      <c r="AY25" s="16">
        <f t="shared" si="6"/>
        <v>5</v>
      </c>
      <c r="AZ25" s="16">
        <f t="shared" si="7"/>
        <v>30</v>
      </c>
      <c r="BA25" s="16">
        <f>JunReport[[#This Row],[Days]]-JunReport[[#This Row],[Absent]]</f>
        <v>28</v>
      </c>
      <c r="BB25" s="19">
        <v>79000</v>
      </c>
      <c r="BC25" s="20">
        <f>JunReport[[#This Row],[Salary ]]/JunReport[[#This Row],[Days]]</f>
        <v>2633.3333333333335</v>
      </c>
      <c r="BD25" s="20">
        <f>JunReport[[#This Row],[Per Day Salary ]]*JunReport[[#This Row],[Absent]]</f>
        <v>5266.666666666667</v>
      </c>
      <c r="BE25" s="20">
        <f>JunReport[[#This Row],[Salary ]]-JunReport[[#This Row],[Deduction]]</f>
        <v>73733.333333333328</v>
      </c>
      <c r="BF25" s="20"/>
      <c r="BG25" s="24"/>
      <c r="BH25" s="22"/>
      <c r="BI25" s="22"/>
      <c r="BJ25" s="22"/>
      <c r="BK25" s="22"/>
      <c r="BL25" s="22"/>
      <c r="BM25" s="22"/>
      <c r="BN25" s="22"/>
    </row>
    <row r="26" spans="6:66" x14ac:dyDescent="0.25">
      <c r="F26" s="21"/>
      <c r="G26" s="8">
        <v>17</v>
      </c>
      <c r="H26" s="10" t="s">
        <v>18</v>
      </c>
      <c r="I26" s="10">
        <v>1017</v>
      </c>
      <c r="J26" s="47">
        <f t="shared" si="8"/>
        <v>5</v>
      </c>
      <c r="K26" s="47" t="str">
        <f t="shared" si="9"/>
        <v>WO</v>
      </c>
      <c r="L26" s="10" t="s">
        <v>38</v>
      </c>
      <c r="M26" s="10" t="s">
        <v>38</v>
      </c>
      <c r="N26" s="10" t="s">
        <v>38</v>
      </c>
      <c r="O26" s="10" t="s">
        <v>38</v>
      </c>
      <c r="P26" s="10" t="s">
        <v>38</v>
      </c>
      <c r="Q26" s="10" t="s">
        <v>38</v>
      </c>
      <c r="R26" s="47" t="str">
        <f t="shared" si="10"/>
        <v>WO</v>
      </c>
      <c r="S26" s="16" t="s">
        <v>38</v>
      </c>
      <c r="T26" s="10" t="s">
        <v>38</v>
      </c>
      <c r="U26" s="10" t="s">
        <v>38</v>
      </c>
      <c r="V26" s="10" t="s">
        <v>38</v>
      </c>
      <c r="W26" s="10" t="s">
        <v>38</v>
      </c>
      <c r="X26" s="16" t="s">
        <v>38</v>
      </c>
      <c r="Y26" s="47" t="str">
        <f t="shared" si="11"/>
        <v>WO</v>
      </c>
      <c r="Z26" s="10" t="s">
        <v>38</v>
      </c>
      <c r="AA26" s="10" t="s">
        <v>38</v>
      </c>
      <c r="AB26" s="10" t="s">
        <v>38</v>
      </c>
      <c r="AC26" s="16" t="s">
        <v>38</v>
      </c>
      <c r="AD26" s="16" t="s">
        <v>38</v>
      </c>
      <c r="AE26" s="16" t="s">
        <v>38</v>
      </c>
      <c r="AF26" s="47" t="str">
        <f t="shared" si="12"/>
        <v>WO</v>
      </c>
      <c r="AG26" s="10" t="s">
        <v>38</v>
      </c>
      <c r="AH26" s="10" t="s">
        <v>38</v>
      </c>
      <c r="AI26" s="10" t="s">
        <v>38</v>
      </c>
      <c r="AJ26" s="16" t="s">
        <v>38</v>
      </c>
      <c r="AK26" s="16" t="s">
        <v>38</v>
      </c>
      <c r="AL26" s="16" t="s">
        <v>38</v>
      </c>
      <c r="AM26" s="47" t="str">
        <f t="shared" si="13"/>
        <v>WO</v>
      </c>
      <c r="AN26" s="60" t="s">
        <v>38</v>
      </c>
      <c r="AO26" s="30"/>
      <c r="AP26" s="21"/>
      <c r="AQ26" s="24"/>
      <c r="AR26" s="10">
        <v>17</v>
      </c>
      <c r="AS26" s="10" t="s">
        <v>18</v>
      </c>
      <c r="AT26" s="10" t="str">
        <f t="shared" si="2"/>
        <v>June</v>
      </c>
      <c r="AU26" s="10">
        <v>1017</v>
      </c>
      <c r="AV26" s="9">
        <f t="shared" si="3"/>
        <v>25</v>
      </c>
      <c r="AW26" s="16">
        <f t="shared" si="4"/>
        <v>0</v>
      </c>
      <c r="AX26" s="16">
        <f t="shared" si="5"/>
        <v>0</v>
      </c>
      <c r="AY26" s="16">
        <f t="shared" si="6"/>
        <v>5</v>
      </c>
      <c r="AZ26" s="16">
        <f t="shared" si="7"/>
        <v>30</v>
      </c>
      <c r="BA26" s="16">
        <f>JunReport[[#This Row],[Days]]-JunReport[[#This Row],[Absent]]</f>
        <v>30</v>
      </c>
      <c r="BB26" s="19">
        <v>33000</v>
      </c>
      <c r="BC26" s="20">
        <f>JunReport[[#This Row],[Salary ]]/JunReport[[#This Row],[Days]]</f>
        <v>1100</v>
      </c>
      <c r="BD26" s="20">
        <f>JunReport[[#This Row],[Per Day Salary ]]*JunReport[[#This Row],[Absent]]</f>
        <v>0</v>
      </c>
      <c r="BE26" s="20">
        <f>JunReport[[#This Row],[Salary ]]-JunReport[[#This Row],[Deduction]]</f>
        <v>33000</v>
      </c>
      <c r="BF26" s="20"/>
      <c r="BG26" s="24"/>
      <c r="BH26" s="22"/>
      <c r="BI26" s="22"/>
      <c r="BJ26" s="22"/>
      <c r="BK26" s="22"/>
      <c r="BL26" s="22"/>
      <c r="BM26" s="22"/>
      <c r="BN26" s="22"/>
    </row>
    <row r="27" spans="6:66" x14ac:dyDescent="0.25">
      <c r="F27" s="21"/>
      <c r="G27" s="8">
        <v>18</v>
      </c>
      <c r="H27" s="10" t="s">
        <v>41</v>
      </c>
      <c r="I27" s="10">
        <v>1018</v>
      </c>
      <c r="J27" s="47">
        <f t="shared" si="8"/>
        <v>5</v>
      </c>
      <c r="K27" s="47" t="str">
        <f t="shared" si="9"/>
        <v>WO</v>
      </c>
      <c r="L27" s="10" t="s">
        <v>38</v>
      </c>
      <c r="M27" s="10" t="s">
        <v>38</v>
      </c>
      <c r="N27" s="10" t="s">
        <v>40</v>
      </c>
      <c r="O27" s="10" t="s">
        <v>38</v>
      </c>
      <c r="P27" s="10" t="s">
        <v>38</v>
      </c>
      <c r="Q27" s="10" t="s">
        <v>40</v>
      </c>
      <c r="R27" s="47" t="str">
        <f t="shared" si="10"/>
        <v>WO</v>
      </c>
      <c r="S27" s="16" t="s">
        <v>38</v>
      </c>
      <c r="T27" s="10" t="s">
        <v>38</v>
      </c>
      <c r="U27" s="10" t="s">
        <v>38</v>
      </c>
      <c r="V27" s="10" t="s">
        <v>38</v>
      </c>
      <c r="W27" s="10" t="s">
        <v>38</v>
      </c>
      <c r="X27" s="16" t="s">
        <v>38</v>
      </c>
      <c r="Y27" s="47" t="str">
        <f t="shared" si="11"/>
        <v>WO</v>
      </c>
      <c r="Z27" s="10" t="s">
        <v>38</v>
      </c>
      <c r="AA27" s="10" t="s">
        <v>38</v>
      </c>
      <c r="AB27" s="10" t="s">
        <v>39</v>
      </c>
      <c r="AC27" s="16" t="s">
        <v>38</v>
      </c>
      <c r="AD27" s="16" t="s">
        <v>40</v>
      </c>
      <c r="AE27" s="16" t="s">
        <v>38</v>
      </c>
      <c r="AF27" s="47" t="str">
        <f t="shared" si="12"/>
        <v>WO</v>
      </c>
      <c r="AG27" s="10" t="s">
        <v>38</v>
      </c>
      <c r="AH27" s="10" t="s">
        <v>38</v>
      </c>
      <c r="AI27" s="10" t="s">
        <v>39</v>
      </c>
      <c r="AJ27" s="16" t="s">
        <v>38</v>
      </c>
      <c r="AK27" s="16" t="s">
        <v>40</v>
      </c>
      <c r="AL27" s="16" t="s">
        <v>38</v>
      </c>
      <c r="AM27" s="47" t="str">
        <f t="shared" si="13"/>
        <v>WO</v>
      </c>
      <c r="AN27" s="60" t="s">
        <v>39</v>
      </c>
      <c r="AO27" s="30"/>
      <c r="AP27" s="21"/>
      <c r="AQ27" s="24"/>
      <c r="AR27" s="10">
        <v>18</v>
      </c>
      <c r="AS27" s="10" t="s">
        <v>41</v>
      </c>
      <c r="AT27" s="10" t="str">
        <f t="shared" si="2"/>
        <v>June</v>
      </c>
      <c r="AU27" s="10">
        <v>1018</v>
      </c>
      <c r="AV27" s="9">
        <f t="shared" si="3"/>
        <v>18</v>
      </c>
      <c r="AW27" s="16">
        <f t="shared" si="4"/>
        <v>3</v>
      </c>
      <c r="AX27" s="16">
        <f t="shared" si="5"/>
        <v>4</v>
      </c>
      <c r="AY27" s="16">
        <f t="shared" si="6"/>
        <v>5</v>
      </c>
      <c r="AZ27" s="16">
        <f t="shared" si="7"/>
        <v>30</v>
      </c>
      <c r="BA27" s="16">
        <f>JunReport[[#This Row],[Days]]-JunReport[[#This Row],[Absent]]</f>
        <v>27</v>
      </c>
      <c r="BB27" s="19">
        <v>12000</v>
      </c>
      <c r="BC27" s="20">
        <f>JunReport[[#This Row],[Salary ]]/JunReport[[#This Row],[Days]]</f>
        <v>400</v>
      </c>
      <c r="BD27" s="20">
        <f>JunReport[[#This Row],[Per Day Salary ]]*JunReport[[#This Row],[Absent]]</f>
        <v>1200</v>
      </c>
      <c r="BE27" s="20">
        <f>JunReport[[#This Row],[Salary ]]-JunReport[[#This Row],[Deduction]]</f>
        <v>10800</v>
      </c>
      <c r="BF27" s="20"/>
      <c r="BG27" s="24"/>
      <c r="BH27" s="22"/>
      <c r="BI27" s="22"/>
      <c r="BJ27" s="22"/>
      <c r="BK27" s="22"/>
      <c r="BL27" s="22"/>
      <c r="BM27" s="22"/>
      <c r="BN27" s="22"/>
    </row>
    <row r="28" spans="6:66" x14ac:dyDescent="0.25">
      <c r="F28" s="21"/>
      <c r="G28" s="8">
        <v>19</v>
      </c>
      <c r="H28" s="10" t="s">
        <v>19</v>
      </c>
      <c r="I28" s="10">
        <v>1019</v>
      </c>
      <c r="J28" s="47">
        <f t="shared" si="8"/>
        <v>5</v>
      </c>
      <c r="K28" s="47" t="str">
        <f t="shared" si="9"/>
        <v>WO</v>
      </c>
      <c r="L28" s="10" t="s">
        <v>38</v>
      </c>
      <c r="M28" s="10" t="s">
        <v>38</v>
      </c>
      <c r="N28" s="10" t="s">
        <v>38</v>
      </c>
      <c r="O28" s="10" t="s">
        <v>38</v>
      </c>
      <c r="P28" s="10" t="s">
        <v>40</v>
      </c>
      <c r="Q28" s="10" t="s">
        <v>38</v>
      </c>
      <c r="R28" s="47" t="str">
        <f t="shared" si="10"/>
        <v>WO</v>
      </c>
      <c r="S28" s="16" t="s">
        <v>38</v>
      </c>
      <c r="T28" s="10" t="s">
        <v>38</v>
      </c>
      <c r="U28" s="10" t="s">
        <v>38</v>
      </c>
      <c r="V28" s="10" t="s">
        <v>38</v>
      </c>
      <c r="W28" s="10" t="s">
        <v>38</v>
      </c>
      <c r="X28" s="16" t="s">
        <v>38</v>
      </c>
      <c r="Y28" s="47" t="str">
        <f t="shared" si="11"/>
        <v>WO</v>
      </c>
      <c r="Z28" s="10" t="s">
        <v>38</v>
      </c>
      <c r="AA28" s="10" t="s">
        <v>38</v>
      </c>
      <c r="AB28" s="10" t="s">
        <v>38</v>
      </c>
      <c r="AC28" s="16" t="s">
        <v>38</v>
      </c>
      <c r="AD28" s="16" t="s">
        <v>38</v>
      </c>
      <c r="AE28" s="16" t="s">
        <v>38</v>
      </c>
      <c r="AF28" s="47" t="str">
        <f t="shared" si="12"/>
        <v>WO</v>
      </c>
      <c r="AG28" s="10" t="s">
        <v>38</v>
      </c>
      <c r="AH28" s="10" t="s">
        <v>38</v>
      </c>
      <c r="AI28" s="10" t="s">
        <v>38</v>
      </c>
      <c r="AJ28" s="16" t="s">
        <v>38</v>
      </c>
      <c r="AK28" s="16" t="s">
        <v>38</v>
      </c>
      <c r="AL28" s="16" t="s">
        <v>38</v>
      </c>
      <c r="AM28" s="47" t="str">
        <f t="shared" si="13"/>
        <v>WO</v>
      </c>
      <c r="AN28" s="60" t="s">
        <v>38</v>
      </c>
      <c r="AO28" s="30"/>
      <c r="AP28" s="21"/>
      <c r="AQ28" s="24"/>
      <c r="AR28" s="10">
        <v>19</v>
      </c>
      <c r="AS28" s="10" t="s">
        <v>19</v>
      </c>
      <c r="AT28" s="10" t="str">
        <f t="shared" si="2"/>
        <v>June</v>
      </c>
      <c r="AU28" s="10">
        <v>1019</v>
      </c>
      <c r="AV28" s="9">
        <f t="shared" si="3"/>
        <v>24</v>
      </c>
      <c r="AW28" s="16">
        <f t="shared" si="4"/>
        <v>0</v>
      </c>
      <c r="AX28" s="16">
        <f t="shared" si="5"/>
        <v>1</v>
      </c>
      <c r="AY28" s="16">
        <f t="shared" si="6"/>
        <v>5</v>
      </c>
      <c r="AZ28" s="16">
        <f t="shared" si="7"/>
        <v>30</v>
      </c>
      <c r="BA28" s="16">
        <f>JunReport[[#This Row],[Days]]-JunReport[[#This Row],[Absent]]</f>
        <v>30</v>
      </c>
      <c r="BB28" s="19">
        <v>19000</v>
      </c>
      <c r="BC28" s="20">
        <f>JunReport[[#This Row],[Salary ]]/JunReport[[#This Row],[Days]]</f>
        <v>633.33333333333337</v>
      </c>
      <c r="BD28" s="20">
        <f>JunReport[[#This Row],[Per Day Salary ]]*JunReport[[#This Row],[Absent]]</f>
        <v>0</v>
      </c>
      <c r="BE28" s="20">
        <f>JunReport[[#This Row],[Salary ]]-JunReport[[#This Row],[Deduction]]</f>
        <v>19000</v>
      </c>
      <c r="BF28" s="20"/>
      <c r="BG28" s="24"/>
      <c r="BH28" s="22"/>
      <c r="BI28" s="22"/>
      <c r="BJ28" s="22"/>
      <c r="BK28" s="22"/>
      <c r="BL28" s="22"/>
      <c r="BM28" s="22"/>
      <c r="BN28" s="22"/>
    </row>
    <row r="29" spans="6:66" ht="16.5" thickBot="1" x14ac:dyDescent="0.3">
      <c r="F29" s="21"/>
      <c r="G29" s="11">
        <v>20</v>
      </c>
      <c r="H29" s="12" t="s">
        <v>24</v>
      </c>
      <c r="I29" s="12">
        <v>1020</v>
      </c>
      <c r="J29" s="48">
        <f t="shared" si="8"/>
        <v>5</v>
      </c>
      <c r="K29" s="48" t="str">
        <f t="shared" si="9"/>
        <v>WO</v>
      </c>
      <c r="L29" s="55" t="s">
        <v>39</v>
      </c>
      <c r="M29" s="39" t="s">
        <v>38</v>
      </c>
      <c r="N29" s="39" t="s">
        <v>38</v>
      </c>
      <c r="O29" s="39" t="s">
        <v>38</v>
      </c>
      <c r="P29" s="39" t="s">
        <v>38</v>
      </c>
      <c r="Q29" s="39" t="s">
        <v>38</v>
      </c>
      <c r="R29" s="48" t="str">
        <f t="shared" si="10"/>
        <v>WO</v>
      </c>
      <c r="S29" s="34" t="s">
        <v>38</v>
      </c>
      <c r="T29" s="39" t="s">
        <v>38</v>
      </c>
      <c r="U29" s="39" t="s">
        <v>38</v>
      </c>
      <c r="V29" s="39" t="s">
        <v>39</v>
      </c>
      <c r="W29" s="39" t="s">
        <v>38</v>
      </c>
      <c r="X29" s="34" t="s">
        <v>38</v>
      </c>
      <c r="Y29" s="48" t="str">
        <f t="shared" si="11"/>
        <v>WO</v>
      </c>
      <c r="Z29" s="39" t="s">
        <v>38</v>
      </c>
      <c r="AA29" s="39" t="s">
        <v>38</v>
      </c>
      <c r="AB29" s="39" t="s">
        <v>38</v>
      </c>
      <c r="AC29" s="34" t="s">
        <v>38</v>
      </c>
      <c r="AD29" s="34" t="s">
        <v>38</v>
      </c>
      <c r="AE29" s="34" t="s">
        <v>39</v>
      </c>
      <c r="AF29" s="48" t="str">
        <f t="shared" si="12"/>
        <v>WO</v>
      </c>
      <c r="AG29" s="39" t="s">
        <v>38</v>
      </c>
      <c r="AH29" s="39" t="s">
        <v>38</v>
      </c>
      <c r="AI29" s="39" t="s">
        <v>38</v>
      </c>
      <c r="AJ29" s="34" t="s">
        <v>38</v>
      </c>
      <c r="AK29" s="34" t="s">
        <v>38</v>
      </c>
      <c r="AL29" s="34" t="s">
        <v>39</v>
      </c>
      <c r="AM29" s="48" t="str">
        <f t="shared" si="13"/>
        <v>WO</v>
      </c>
      <c r="AN29" s="61" t="s">
        <v>38</v>
      </c>
      <c r="AO29" s="30"/>
      <c r="AP29" s="21"/>
      <c r="AQ29" s="24"/>
      <c r="AR29" s="10">
        <v>20</v>
      </c>
      <c r="AS29" s="10" t="s">
        <v>24</v>
      </c>
      <c r="AT29" s="10" t="str">
        <f t="shared" si="2"/>
        <v>June</v>
      </c>
      <c r="AU29" s="10">
        <v>1020</v>
      </c>
      <c r="AV29" s="9">
        <f t="shared" si="3"/>
        <v>21</v>
      </c>
      <c r="AW29" s="16">
        <f t="shared" si="4"/>
        <v>4</v>
      </c>
      <c r="AX29" s="16">
        <f t="shared" si="5"/>
        <v>0</v>
      </c>
      <c r="AY29" s="16">
        <f t="shared" si="6"/>
        <v>5</v>
      </c>
      <c r="AZ29" s="16">
        <f t="shared" si="7"/>
        <v>30</v>
      </c>
      <c r="BA29" s="16">
        <f>JunReport[[#This Row],[Days]]-JunReport[[#This Row],[Absent]]</f>
        <v>26</v>
      </c>
      <c r="BB29" s="19">
        <v>17000</v>
      </c>
      <c r="BC29" s="20">
        <f>JunReport[[#This Row],[Salary ]]/JunReport[[#This Row],[Days]]</f>
        <v>566.66666666666663</v>
      </c>
      <c r="BD29" s="20">
        <f>JunReport[[#This Row],[Per Day Salary ]]*JunReport[[#This Row],[Absent]]</f>
        <v>2266.6666666666665</v>
      </c>
      <c r="BE29" s="20">
        <f>JunReport[[#This Row],[Salary ]]-JunReport[[#This Row],[Deduction]]</f>
        <v>14733.333333333334</v>
      </c>
      <c r="BF29" s="20"/>
      <c r="BG29" s="24"/>
      <c r="BH29" s="22"/>
      <c r="BI29" s="22"/>
      <c r="BJ29" s="22"/>
      <c r="BK29" s="22"/>
      <c r="BL29" s="22"/>
      <c r="BM29" s="22"/>
      <c r="BN29" s="22"/>
    </row>
    <row r="30" spans="6:66" x14ac:dyDescent="0.25"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2"/>
      <c r="BI30" s="22"/>
      <c r="BJ30" s="22"/>
      <c r="BK30" s="22"/>
      <c r="BL30" s="22"/>
      <c r="BM30" s="22"/>
      <c r="BN30" s="22"/>
    </row>
    <row r="31" spans="6:66" s="22" customFormat="1" x14ac:dyDescent="0.25"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</row>
    <row r="32" spans="6:66" s="22" customFormat="1" x14ac:dyDescent="0.25"/>
    <row r="33" spans="6:66" x14ac:dyDescent="0.25"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H33" s="22"/>
      <c r="BI33" s="22"/>
      <c r="BJ33" s="22"/>
      <c r="BK33" s="22"/>
      <c r="BL33" s="22"/>
      <c r="BM33" s="22"/>
      <c r="BN33" s="22"/>
    </row>
    <row r="34" spans="6:66" x14ac:dyDescent="0.25"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H34" s="22"/>
      <c r="BI34" s="22"/>
      <c r="BJ34" s="22"/>
      <c r="BK34" s="22"/>
      <c r="BL34" s="22"/>
      <c r="BM34" s="22"/>
      <c r="BN34" s="22"/>
    </row>
    <row r="35" spans="6:66" x14ac:dyDescent="0.25"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H35" s="22"/>
      <c r="BI35" s="22"/>
      <c r="BJ35" s="22"/>
      <c r="BK35" s="22"/>
      <c r="BL35" s="22"/>
      <c r="BM35" s="22"/>
      <c r="BN35" s="22"/>
    </row>
    <row r="36" spans="6:66" x14ac:dyDescent="0.25"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H36" s="22"/>
      <c r="BI36" s="22"/>
      <c r="BJ36" s="22"/>
      <c r="BK36" s="22"/>
      <c r="BL36" s="22"/>
      <c r="BM36" s="22"/>
      <c r="BN36" s="22"/>
    </row>
    <row r="37" spans="6:66" x14ac:dyDescent="0.25"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H37" s="22"/>
      <c r="BI37" s="22"/>
      <c r="BJ37" s="22"/>
      <c r="BK37" s="22"/>
      <c r="BL37" s="22"/>
      <c r="BM37" s="22"/>
      <c r="BN37" s="22"/>
    </row>
    <row r="38" spans="6:66" x14ac:dyDescent="0.25"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H38" s="22"/>
      <c r="BI38" s="22"/>
      <c r="BJ38" s="22"/>
      <c r="BK38" s="22"/>
      <c r="BL38" s="22"/>
      <c r="BM38" s="22"/>
      <c r="BN38" s="22"/>
    </row>
    <row r="39" spans="6:66" x14ac:dyDescent="0.25"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H39" s="22"/>
      <c r="BI39" s="22"/>
      <c r="BJ39" s="22"/>
      <c r="BK39" s="22"/>
      <c r="BL39" s="22"/>
      <c r="BM39" s="22"/>
      <c r="BN39" s="22"/>
    </row>
    <row r="40" spans="6:66" x14ac:dyDescent="0.25"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H40" s="22"/>
      <c r="BI40" s="22"/>
      <c r="BJ40" s="22"/>
      <c r="BK40" s="22"/>
      <c r="BL40" s="22"/>
      <c r="BM40" s="22"/>
      <c r="BN40" s="22"/>
    </row>
    <row r="41" spans="6:66" x14ac:dyDescent="0.25"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H41" s="22"/>
      <c r="BI41" s="22"/>
      <c r="BJ41" s="22"/>
      <c r="BK41" s="22"/>
      <c r="BL41" s="22"/>
      <c r="BM41" s="22"/>
      <c r="BN41" s="22"/>
    </row>
    <row r="42" spans="6:66" x14ac:dyDescent="0.25"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H42" s="22"/>
      <c r="BI42" s="22"/>
      <c r="BJ42" s="22"/>
      <c r="BK42" s="22"/>
      <c r="BL42" s="22"/>
      <c r="BM42" s="22"/>
      <c r="BN42" s="22"/>
    </row>
    <row r="43" spans="6:66" x14ac:dyDescent="0.25"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H43" s="22"/>
      <c r="BI43" s="22"/>
      <c r="BJ43" s="22"/>
      <c r="BK43" s="22"/>
      <c r="BL43" s="22"/>
      <c r="BM43" s="22"/>
      <c r="BN43" s="22"/>
    </row>
    <row r="44" spans="6:66" x14ac:dyDescent="0.25"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H44" s="22"/>
      <c r="BI44" s="22"/>
      <c r="BJ44" s="22"/>
      <c r="BK44" s="22"/>
      <c r="BL44" s="22"/>
      <c r="BM44" s="22"/>
      <c r="BN44" s="22"/>
    </row>
    <row r="45" spans="6:66" x14ac:dyDescent="0.25"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H45" s="22"/>
      <c r="BI45" s="22"/>
      <c r="BJ45" s="22"/>
      <c r="BK45" s="22"/>
      <c r="BL45" s="22"/>
      <c r="BM45" s="22"/>
      <c r="BN45" s="22"/>
    </row>
    <row r="46" spans="6:66" x14ac:dyDescent="0.25"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H46" s="22"/>
      <c r="BI46" s="22"/>
      <c r="BJ46" s="22"/>
      <c r="BK46" s="22"/>
      <c r="BL46" s="22"/>
      <c r="BM46" s="22"/>
      <c r="BN46" s="22"/>
    </row>
    <row r="47" spans="6:66" x14ac:dyDescent="0.25"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H47" s="22"/>
      <c r="BI47" s="22"/>
      <c r="BJ47" s="22"/>
      <c r="BK47" s="22"/>
      <c r="BL47" s="22"/>
      <c r="BM47" s="22"/>
      <c r="BN47" s="22"/>
    </row>
    <row r="48" spans="6:66" x14ac:dyDescent="0.25"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H48" s="22"/>
      <c r="BI48" s="22"/>
      <c r="BJ48" s="22"/>
      <c r="BK48" s="22"/>
      <c r="BL48" s="22"/>
      <c r="BM48" s="22"/>
      <c r="BN48" s="22"/>
    </row>
    <row r="49" spans="6:66" x14ac:dyDescent="0.25"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H49" s="22"/>
      <c r="BI49" s="22"/>
      <c r="BJ49" s="22"/>
      <c r="BK49" s="22"/>
      <c r="BL49" s="22"/>
      <c r="BM49" s="22"/>
      <c r="BN49" s="22"/>
    </row>
    <row r="50" spans="6:66" x14ac:dyDescent="0.25"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H50" s="22"/>
      <c r="BI50" s="22"/>
      <c r="BJ50" s="22"/>
      <c r="BK50" s="22"/>
      <c r="BL50" s="22"/>
      <c r="BM50" s="22"/>
      <c r="BN50" s="22"/>
    </row>
    <row r="51" spans="6:66" x14ac:dyDescent="0.25"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H51" s="22"/>
      <c r="BI51" s="22"/>
      <c r="BJ51" s="22"/>
      <c r="BK51" s="22"/>
      <c r="BL51" s="22"/>
      <c r="BM51" s="22"/>
      <c r="BN51" s="22"/>
    </row>
    <row r="52" spans="6:66" x14ac:dyDescent="0.25"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H52" s="22"/>
      <c r="BI52" s="22"/>
      <c r="BJ52" s="22"/>
      <c r="BK52" s="22"/>
      <c r="BL52" s="22"/>
      <c r="BM52" s="22"/>
      <c r="BN52" s="22"/>
    </row>
    <row r="53" spans="6:66" x14ac:dyDescent="0.25"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H53" s="22"/>
      <c r="BI53" s="22"/>
      <c r="BJ53" s="22"/>
      <c r="BK53" s="22"/>
      <c r="BL53" s="22"/>
      <c r="BM53" s="22"/>
      <c r="BN53" s="22"/>
    </row>
    <row r="54" spans="6:66" x14ac:dyDescent="0.25"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H54" s="22"/>
      <c r="BI54" s="22"/>
      <c r="BJ54" s="22"/>
      <c r="BK54" s="22"/>
      <c r="BL54" s="22"/>
      <c r="BM54" s="22"/>
      <c r="BN54" s="22"/>
    </row>
    <row r="55" spans="6:66" x14ac:dyDescent="0.25"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H55" s="22"/>
      <c r="BI55" s="22"/>
      <c r="BJ55" s="22"/>
      <c r="BK55" s="22"/>
      <c r="BL55" s="22"/>
      <c r="BM55" s="22"/>
      <c r="BN55" s="22"/>
    </row>
    <row r="56" spans="6:66" x14ac:dyDescent="0.25"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H56" s="22"/>
      <c r="BI56" s="22"/>
      <c r="BJ56" s="22"/>
      <c r="BK56" s="22"/>
      <c r="BL56" s="22"/>
      <c r="BM56" s="22"/>
      <c r="BN56" s="22"/>
    </row>
    <row r="57" spans="6:66" x14ac:dyDescent="0.25"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H57" s="22"/>
      <c r="BI57" s="22"/>
      <c r="BJ57" s="22"/>
      <c r="BK57" s="22"/>
      <c r="BL57" s="22"/>
      <c r="BM57" s="22"/>
      <c r="BN57" s="22"/>
    </row>
    <row r="58" spans="6:66" x14ac:dyDescent="0.25"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H58" s="22"/>
      <c r="BI58" s="22"/>
      <c r="BJ58" s="22"/>
      <c r="BK58" s="22"/>
      <c r="BL58" s="22"/>
      <c r="BM58" s="22"/>
      <c r="BN58" s="22"/>
    </row>
    <row r="59" spans="6:66" x14ac:dyDescent="0.25"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H59" s="22"/>
      <c r="BI59" s="22"/>
      <c r="BJ59" s="22"/>
      <c r="BK59" s="22"/>
      <c r="BL59" s="22"/>
      <c r="BM59" s="22"/>
      <c r="BN59" s="22"/>
    </row>
    <row r="60" spans="6:66" x14ac:dyDescent="0.25"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H60" s="22"/>
      <c r="BI60" s="22"/>
      <c r="BJ60" s="22"/>
      <c r="BK60" s="22"/>
      <c r="BL60" s="22"/>
      <c r="BM60" s="22"/>
      <c r="BN60" s="22"/>
    </row>
    <row r="61" spans="6:66" x14ac:dyDescent="0.25"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H61" s="22"/>
      <c r="BI61" s="22"/>
      <c r="BJ61" s="22"/>
      <c r="BK61" s="22"/>
      <c r="BL61" s="22"/>
      <c r="BM61" s="22"/>
      <c r="BN61" s="22"/>
    </row>
    <row r="62" spans="6:66" x14ac:dyDescent="0.25"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H62" s="22"/>
      <c r="BI62" s="22"/>
      <c r="BJ62" s="22"/>
      <c r="BK62" s="22"/>
      <c r="BL62" s="22"/>
      <c r="BM62" s="22"/>
      <c r="BN62" s="22"/>
    </row>
    <row r="63" spans="6:66" x14ac:dyDescent="0.25"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H63" s="22"/>
      <c r="BI63" s="22"/>
      <c r="BJ63" s="22"/>
      <c r="BK63" s="22"/>
      <c r="BL63" s="22"/>
      <c r="BM63" s="22"/>
      <c r="BN63" s="22"/>
    </row>
    <row r="64" spans="6:66" x14ac:dyDescent="0.25"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H64" s="22"/>
      <c r="BI64" s="22"/>
      <c r="BJ64" s="22"/>
      <c r="BK64" s="22"/>
      <c r="BL64" s="22"/>
      <c r="BM64" s="22"/>
      <c r="BN64" s="22"/>
    </row>
    <row r="65" spans="6:66" x14ac:dyDescent="0.25"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H65" s="22"/>
      <c r="BI65" s="22"/>
      <c r="BJ65" s="22"/>
      <c r="BK65" s="22"/>
      <c r="BL65" s="22"/>
      <c r="BM65" s="22"/>
      <c r="BN65" s="22"/>
    </row>
    <row r="66" spans="6:66" x14ac:dyDescent="0.25"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H66" s="22"/>
      <c r="BI66" s="22"/>
      <c r="BJ66" s="22"/>
      <c r="BK66" s="22"/>
      <c r="BL66" s="22"/>
      <c r="BM66" s="22"/>
      <c r="BN66" s="22"/>
    </row>
    <row r="67" spans="6:66" x14ac:dyDescent="0.25"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H67" s="22"/>
      <c r="BI67" s="22"/>
      <c r="BJ67" s="22"/>
      <c r="BK67" s="22"/>
      <c r="BL67" s="22"/>
      <c r="BM67" s="22"/>
      <c r="BN67" s="22"/>
    </row>
    <row r="68" spans="6:66" x14ac:dyDescent="0.25"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H68" s="22"/>
      <c r="BI68" s="22"/>
      <c r="BJ68" s="22"/>
      <c r="BK68" s="22"/>
      <c r="BL68" s="22"/>
      <c r="BM68" s="22"/>
      <c r="BN68" s="22"/>
    </row>
    <row r="69" spans="6:66" x14ac:dyDescent="0.25"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H69" s="22"/>
      <c r="BI69" s="22"/>
      <c r="BJ69" s="22"/>
      <c r="BK69" s="22"/>
      <c r="BL69" s="22"/>
      <c r="BM69" s="22"/>
      <c r="BN69" s="22"/>
    </row>
    <row r="70" spans="6:66" x14ac:dyDescent="0.25"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H70" s="22"/>
      <c r="BI70" s="22"/>
      <c r="BJ70" s="22"/>
      <c r="BK70" s="22"/>
      <c r="BL70" s="22"/>
      <c r="BM70" s="22"/>
      <c r="BN70" s="22"/>
    </row>
    <row r="71" spans="6:66" x14ac:dyDescent="0.25"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H71" s="22"/>
      <c r="BI71" s="22"/>
      <c r="BJ71" s="22"/>
      <c r="BK71" s="22"/>
      <c r="BL71" s="22"/>
      <c r="BM71" s="22"/>
      <c r="BN71" s="22"/>
    </row>
    <row r="72" spans="6:66" x14ac:dyDescent="0.25"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H72" s="22"/>
      <c r="BI72" s="22"/>
      <c r="BJ72" s="22"/>
      <c r="BK72" s="22"/>
      <c r="BL72" s="22"/>
      <c r="BM72" s="22"/>
      <c r="BN72" s="22"/>
    </row>
    <row r="73" spans="6:66" x14ac:dyDescent="0.25"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H73" s="22"/>
      <c r="BI73" s="22"/>
      <c r="BJ73" s="22"/>
      <c r="BK73" s="22"/>
      <c r="BL73" s="22"/>
      <c r="BM73" s="22"/>
      <c r="BN73" s="22"/>
    </row>
    <row r="74" spans="6:66" x14ac:dyDescent="0.25"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H74" s="22"/>
      <c r="BI74" s="22"/>
      <c r="BJ74" s="22"/>
      <c r="BK74" s="22"/>
      <c r="BL74" s="22"/>
      <c r="BM74" s="22"/>
      <c r="BN74" s="22"/>
    </row>
    <row r="75" spans="6:66" x14ac:dyDescent="0.25"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H75" s="22"/>
      <c r="BI75" s="22"/>
      <c r="BJ75" s="22"/>
      <c r="BK75" s="22"/>
      <c r="BL75" s="22"/>
      <c r="BM75" s="22"/>
      <c r="BN75" s="22"/>
    </row>
    <row r="76" spans="6:66" x14ac:dyDescent="0.25"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H76" s="22"/>
      <c r="BI76" s="22"/>
      <c r="BJ76" s="22"/>
      <c r="BK76" s="22"/>
      <c r="BL76" s="22"/>
      <c r="BM76" s="22"/>
      <c r="BN76" s="22"/>
    </row>
    <row r="77" spans="6:66" x14ac:dyDescent="0.25"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H77" s="22"/>
      <c r="BI77" s="22"/>
      <c r="BJ77" s="22"/>
      <c r="BK77" s="22"/>
      <c r="BL77" s="22"/>
      <c r="BM77" s="22"/>
      <c r="BN77" s="22"/>
    </row>
    <row r="78" spans="6:66" x14ac:dyDescent="0.25"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H78" s="22"/>
      <c r="BI78" s="22"/>
      <c r="BJ78" s="22"/>
      <c r="BK78" s="22"/>
      <c r="BL78" s="22"/>
      <c r="BM78" s="22"/>
      <c r="BN78" s="22"/>
    </row>
    <row r="79" spans="6:66" x14ac:dyDescent="0.25"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H79" s="22"/>
      <c r="BI79" s="22"/>
      <c r="BJ79" s="22"/>
      <c r="BK79" s="22"/>
      <c r="BL79" s="22"/>
      <c r="BM79" s="22"/>
      <c r="BN79" s="22"/>
    </row>
    <row r="80" spans="6:66" x14ac:dyDescent="0.25"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H80" s="22"/>
      <c r="BI80" s="22"/>
      <c r="BJ80" s="22"/>
      <c r="BK80" s="22"/>
      <c r="BL80" s="22"/>
      <c r="BM80" s="22"/>
      <c r="BN80" s="22"/>
    </row>
    <row r="81" spans="6:66" x14ac:dyDescent="0.25"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H81" s="22"/>
      <c r="BI81" s="22"/>
      <c r="BJ81" s="22"/>
      <c r="BK81" s="22"/>
      <c r="BL81" s="22"/>
      <c r="BM81" s="22"/>
      <c r="BN81" s="22"/>
    </row>
    <row r="82" spans="6:66" x14ac:dyDescent="0.25"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H82" s="22"/>
      <c r="BI82" s="22"/>
      <c r="BJ82" s="22"/>
      <c r="BK82" s="22"/>
      <c r="BL82" s="22"/>
      <c r="BM82" s="22"/>
      <c r="BN82" s="22"/>
    </row>
    <row r="83" spans="6:66" x14ac:dyDescent="0.25"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H83" s="22"/>
      <c r="BI83" s="22"/>
      <c r="BJ83" s="22"/>
      <c r="BK83" s="22"/>
      <c r="BL83" s="22"/>
      <c r="BM83" s="22"/>
      <c r="BN83" s="22"/>
    </row>
    <row r="84" spans="6:66" x14ac:dyDescent="0.25"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H84" s="22"/>
      <c r="BI84" s="22"/>
      <c r="BJ84" s="22"/>
      <c r="BK84" s="22"/>
      <c r="BL84" s="22"/>
      <c r="BM84" s="22"/>
      <c r="BN84" s="22"/>
    </row>
    <row r="85" spans="6:66" x14ac:dyDescent="0.25"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H85" s="22"/>
      <c r="BI85" s="22"/>
      <c r="BJ85" s="22"/>
      <c r="BK85" s="22"/>
      <c r="BL85" s="22"/>
      <c r="BM85" s="22"/>
      <c r="BN85" s="22"/>
    </row>
    <row r="86" spans="6:66" x14ac:dyDescent="0.25"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H86" s="22"/>
      <c r="BI86" s="22"/>
      <c r="BJ86" s="22"/>
      <c r="BK86" s="22"/>
      <c r="BL86" s="22"/>
      <c r="BM86" s="22"/>
      <c r="BN86" s="22"/>
    </row>
    <row r="87" spans="6:66" x14ac:dyDescent="0.25"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H87" s="22"/>
      <c r="BI87" s="22"/>
      <c r="BJ87" s="22"/>
      <c r="BK87" s="22"/>
      <c r="BL87" s="22"/>
      <c r="BM87" s="22"/>
      <c r="BN87" s="22"/>
    </row>
    <row r="88" spans="6:66" x14ac:dyDescent="0.25"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H88" s="22"/>
      <c r="BI88" s="22"/>
      <c r="BJ88" s="22"/>
      <c r="BK88" s="22"/>
      <c r="BL88" s="22"/>
      <c r="BM88" s="22"/>
      <c r="BN88" s="22"/>
    </row>
    <row r="89" spans="6:66" x14ac:dyDescent="0.25"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H89" s="22"/>
      <c r="BI89" s="22"/>
      <c r="BJ89" s="22"/>
      <c r="BK89" s="22"/>
      <c r="BL89" s="22"/>
      <c r="BM89" s="22"/>
      <c r="BN89" s="22"/>
    </row>
    <row r="90" spans="6:66" x14ac:dyDescent="0.25"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H90" s="22"/>
      <c r="BI90" s="22"/>
      <c r="BJ90" s="22"/>
      <c r="BK90" s="22"/>
      <c r="BL90" s="22"/>
      <c r="BM90" s="22"/>
      <c r="BN90" s="22"/>
    </row>
    <row r="91" spans="6:66" x14ac:dyDescent="0.25"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H91" s="22"/>
      <c r="BI91" s="22"/>
      <c r="BJ91" s="22"/>
      <c r="BK91" s="22"/>
      <c r="BL91" s="22"/>
      <c r="BM91" s="22"/>
      <c r="BN91" s="22"/>
    </row>
    <row r="92" spans="6:66" x14ac:dyDescent="0.25"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H92" s="22"/>
      <c r="BI92" s="22"/>
      <c r="BJ92" s="22"/>
      <c r="BK92" s="22"/>
      <c r="BL92" s="22"/>
      <c r="BM92" s="22"/>
      <c r="BN92" s="22"/>
    </row>
    <row r="93" spans="6:66" x14ac:dyDescent="0.25"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H93" s="22"/>
      <c r="BI93" s="22"/>
      <c r="BJ93" s="22"/>
      <c r="BK93" s="22"/>
      <c r="BL93" s="22"/>
      <c r="BM93" s="22"/>
      <c r="BN93" s="22"/>
    </row>
    <row r="94" spans="6:66" x14ac:dyDescent="0.25"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H94" s="22"/>
      <c r="BI94" s="22"/>
      <c r="BJ94" s="22"/>
      <c r="BK94" s="22"/>
      <c r="BL94" s="22"/>
      <c r="BM94" s="22"/>
      <c r="BN94" s="22"/>
    </row>
    <row r="95" spans="6:66" x14ac:dyDescent="0.25"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H95" s="22"/>
      <c r="BI95" s="22"/>
      <c r="BJ95" s="22"/>
      <c r="BK95" s="22"/>
      <c r="BL95" s="22"/>
      <c r="BM95" s="22"/>
      <c r="BN95" s="22"/>
    </row>
    <row r="96" spans="6:66" x14ac:dyDescent="0.25"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H96" s="22"/>
      <c r="BI96" s="22"/>
      <c r="BJ96" s="22"/>
      <c r="BK96" s="22"/>
      <c r="BL96" s="22"/>
      <c r="BM96" s="22"/>
      <c r="BN96" s="22"/>
    </row>
    <row r="97" spans="6:66" x14ac:dyDescent="0.25"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H97" s="22"/>
      <c r="BI97" s="22"/>
      <c r="BJ97" s="22"/>
      <c r="BK97" s="22"/>
      <c r="BL97" s="22"/>
      <c r="BM97" s="22"/>
      <c r="BN97" s="22"/>
    </row>
    <row r="98" spans="6:66" x14ac:dyDescent="0.25"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H98" s="22"/>
      <c r="BI98" s="22"/>
      <c r="BJ98" s="22"/>
      <c r="BK98" s="22"/>
      <c r="BL98" s="22"/>
      <c r="BM98" s="22"/>
      <c r="BN98" s="22"/>
    </row>
    <row r="99" spans="6:66" x14ac:dyDescent="0.25"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H99" s="22"/>
      <c r="BI99" s="22"/>
      <c r="BJ99" s="22"/>
      <c r="BK99" s="22"/>
      <c r="BL99" s="22"/>
      <c r="BM99" s="22"/>
      <c r="BN99" s="22"/>
    </row>
    <row r="100" spans="6:66" x14ac:dyDescent="0.25"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H100" s="22"/>
      <c r="BI100" s="22"/>
      <c r="BJ100" s="22"/>
      <c r="BK100" s="22"/>
      <c r="BL100" s="22"/>
      <c r="BM100" s="22"/>
      <c r="BN100" s="22"/>
    </row>
    <row r="101" spans="6:66" x14ac:dyDescent="0.25"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H101" s="22"/>
      <c r="BI101" s="22"/>
      <c r="BJ101" s="22"/>
      <c r="BK101" s="22"/>
      <c r="BL101" s="22"/>
      <c r="BM101" s="22"/>
      <c r="BN101" s="22"/>
    </row>
    <row r="102" spans="6:66" x14ac:dyDescent="0.25"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H102" s="22"/>
      <c r="BI102" s="22"/>
      <c r="BJ102" s="22"/>
      <c r="BK102" s="22"/>
      <c r="BL102" s="22"/>
      <c r="BM102" s="22"/>
      <c r="BN102" s="22"/>
    </row>
    <row r="103" spans="6:66" x14ac:dyDescent="0.25"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H103" s="22"/>
      <c r="BI103" s="22"/>
      <c r="BJ103" s="22"/>
      <c r="BK103" s="22"/>
      <c r="BL103" s="22"/>
      <c r="BM103" s="22"/>
      <c r="BN103" s="22"/>
    </row>
    <row r="104" spans="6:66" x14ac:dyDescent="0.25"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H104" s="22"/>
      <c r="BI104" s="22"/>
      <c r="BJ104" s="22"/>
      <c r="BK104" s="22"/>
      <c r="BL104" s="22"/>
      <c r="BM104" s="22"/>
      <c r="BN104" s="22"/>
    </row>
    <row r="105" spans="6:66" x14ac:dyDescent="0.25"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H105" s="22"/>
      <c r="BI105" s="22"/>
      <c r="BJ105" s="22"/>
      <c r="BK105" s="22"/>
      <c r="BL105" s="22"/>
      <c r="BM105" s="22"/>
      <c r="BN105" s="22"/>
    </row>
    <row r="106" spans="6:66" x14ac:dyDescent="0.25"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H106" s="22"/>
      <c r="BI106" s="22"/>
      <c r="BJ106" s="22"/>
      <c r="BK106" s="22"/>
      <c r="BL106" s="22"/>
      <c r="BM106" s="22"/>
      <c r="BN106" s="22"/>
    </row>
    <row r="107" spans="6:66" x14ac:dyDescent="0.25"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H107" s="22"/>
      <c r="BI107" s="22"/>
      <c r="BJ107" s="22"/>
      <c r="BK107" s="22"/>
      <c r="BL107" s="22"/>
      <c r="BM107" s="22"/>
      <c r="BN107" s="22"/>
    </row>
    <row r="108" spans="6:66" x14ac:dyDescent="0.25"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H108" s="22"/>
      <c r="BI108" s="22"/>
      <c r="BJ108" s="22"/>
      <c r="BK108" s="22"/>
      <c r="BL108" s="22"/>
      <c r="BM108" s="22"/>
      <c r="BN108" s="22"/>
    </row>
    <row r="109" spans="6:66" x14ac:dyDescent="0.25"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H109" s="22"/>
      <c r="BI109" s="22"/>
      <c r="BJ109" s="22"/>
      <c r="BK109" s="22"/>
      <c r="BL109" s="22"/>
      <c r="BM109" s="22"/>
      <c r="BN109" s="22"/>
    </row>
    <row r="110" spans="6:66" x14ac:dyDescent="0.25"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H110" s="22"/>
      <c r="BI110" s="22"/>
      <c r="BJ110" s="22"/>
      <c r="BK110" s="22"/>
      <c r="BL110" s="22"/>
      <c r="BM110" s="22"/>
      <c r="BN110" s="22"/>
    </row>
    <row r="111" spans="6:66" x14ac:dyDescent="0.25"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H111" s="22"/>
      <c r="BI111" s="22"/>
      <c r="BJ111" s="22"/>
      <c r="BK111" s="22"/>
      <c r="BL111" s="22"/>
      <c r="BM111" s="22"/>
      <c r="BN111" s="22"/>
    </row>
    <row r="112" spans="6:66" x14ac:dyDescent="0.25"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H112" s="22"/>
      <c r="BI112" s="22"/>
      <c r="BJ112" s="22"/>
      <c r="BK112" s="22"/>
      <c r="BL112" s="22"/>
      <c r="BM112" s="22"/>
      <c r="BN112" s="22"/>
    </row>
    <row r="113" spans="6:66" x14ac:dyDescent="0.25"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H113" s="22"/>
      <c r="BI113" s="22"/>
      <c r="BJ113" s="22"/>
      <c r="BK113" s="22"/>
      <c r="BL113" s="22"/>
      <c r="BM113" s="22"/>
      <c r="BN113" s="22"/>
    </row>
    <row r="114" spans="6:66" x14ac:dyDescent="0.25"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H114" s="22"/>
      <c r="BI114" s="22"/>
      <c r="BJ114" s="22"/>
      <c r="BK114" s="22"/>
      <c r="BL114" s="22"/>
      <c r="BM114" s="22"/>
      <c r="BN114" s="22"/>
    </row>
    <row r="115" spans="6:66" x14ac:dyDescent="0.25"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H115" s="22"/>
      <c r="BI115" s="22"/>
      <c r="BJ115" s="22"/>
      <c r="BK115" s="22"/>
      <c r="BL115" s="22"/>
      <c r="BM115" s="22"/>
      <c r="BN115" s="22"/>
    </row>
    <row r="116" spans="6:66" x14ac:dyDescent="0.25"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H116" s="22"/>
      <c r="BI116" s="22"/>
      <c r="BJ116" s="22"/>
      <c r="BK116" s="22"/>
      <c r="BL116" s="22"/>
      <c r="BM116" s="22"/>
      <c r="BN116" s="22"/>
    </row>
    <row r="117" spans="6:66" x14ac:dyDescent="0.25"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H117" s="22"/>
      <c r="BI117" s="22"/>
      <c r="BJ117" s="22"/>
      <c r="BK117" s="22"/>
      <c r="BL117" s="22"/>
      <c r="BM117" s="22"/>
      <c r="BN117" s="22"/>
    </row>
    <row r="118" spans="6:66" x14ac:dyDescent="0.25"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H118" s="22"/>
      <c r="BI118" s="22"/>
      <c r="BJ118" s="22"/>
      <c r="BK118" s="22"/>
      <c r="BL118" s="22"/>
      <c r="BM118" s="22"/>
      <c r="BN118" s="22"/>
    </row>
    <row r="119" spans="6:66" x14ac:dyDescent="0.25"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H119" s="22"/>
      <c r="BI119" s="22"/>
      <c r="BJ119" s="22"/>
      <c r="BK119" s="22"/>
      <c r="BL119" s="22"/>
      <c r="BM119" s="22"/>
      <c r="BN119" s="22"/>
    </row>
    <row r="120" spans="6:66" x14ac:dyDescent="0.25"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H120" s="22"/>
      <c r="BI120" s="22"/>
      <c r="BJ120" s="22"/>
      <c r="BK120" s="22"/>
      <c r="BL120" s="22"/>
      <c r="BM120" s="22"/>
      <c r="BN120" s="22"/>
    </row>
    <row r="121" spans="6:66" x14ac:dyDescent="0.25"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H121" s="22"/>
      <c r="BI121" s="22"/>
      <c r="BJ121" s="22"/>
      <c r="BK121" s="22"/>
      <c r="BL121" s="22"/>
      <c r="BM121" s="22"/>
      <c r="BN121" s="22"/>
    </row>
    <row r="122" spans="6:66" x14ac:dyDescent="0.25"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H122" s="22"/>
      <c r="BI122" s="22"/>
      <c r="BJ122" s="22"/>
      <c r="BK122" s="22"/>
      <c r="BL122" s="22"/>
      <c r="BM122" s="22"/>
      <c r="BN122" s="22"/>
    </row>
    <row r="123" spans="6:66" x14ac:dyDescent="0.25"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H123" s="22"/>
      <c r="BI123" s="22"/>
      <c r="BJ123" s="22"/>
      <c r="BK123" s="22"/>
      <c r="BL123" s="22"/>
      <c r="BM123" s="22"/>
      <c r="BN123" s="22"/>
    </row>
    <row r="124" spans="6:66" x14ac:dyDescent="0.25"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H124" s="22"/>
      <c r="BI124" s="22"/>
      <c r="BJ124" s="22"/>
      <c r="BK124" s="22"/>
      <c r="BL124" s="22"/>
      <c r="BM124" s="22"/>
      <c r="BN124" s="22"/>
    </row>
    <row r="125" spans="6:66" x14ac:dyDescent="0.25"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H125" s="22"/>
      <c r="BI125" s="22"/>
      <c r="BJ125" s="22"/>
      <c r="BK125" s="22"/>
      <c r="BL125" s="22"/>
      <c r="BM125" s="22"/>
      <c r="BN125" s="22"/>
    </row>
    <row r="126" spans="6:66" x14ac:dyDescent="0.25"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H126" s="22"/>
      <c r="BI126" s="22"/>
      <c r="BJ126" s="22"/>
      <c r="BK126" s="22"/>
      <c r="BL126" s="22"/>
      <c r="BM126" s="22"/>
      <c r="BN126" s="22"/>
    </row>
    <row r="127" spans="6:66" x14ac:dyDescent="0.25"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H127" s="22"/>
      <c r="BI127" s="22"/>
      <c r="BJ127" s="22"/>
      <c r="BK127" s="22"/>
      <c r="BL127" s="22"/>
      <c r="BM127" s="22"/>
      <c r="BN127" s="22"/>
    </row>
    <row r="128" spans="6:66" x14ac:dyDescent="0.25"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H128" s="22"/>
      <c r="BI128" s="22"/>
      <c r="BJ128" s="22"/>
      <c r="BK128" s="22"/>
      <c r="BL128" s="22"/>
      <c r="BM128" s="22"/>
      <c r="BN128" s="22"/>
    </row>
    <row r="129" spans="6:66" x14ac:dyDescent="0.25"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H129" s="22"/>
      <c r="BI129" s="22"/>
      <c r="BJ129" s="22"/>
      <c r="BK129" s="22"/>
      <c r="BL129" s="22"/>
      <c r="BM129" s="22"/>
      <c r="BN129" s="22"/>
    </row>
    <row r="130" spans="6:66" x14ac:dyDescent="0.25"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H130" s="22"/>
      <c r="BI130" s="22"/>
      <c r="BJ130" s="22"/>
      <c r="BK130" s="22"/>
      <c r="BL130" s="22"/>
      <c r="BM130" s="22"/>
      <c r="BN130" s="22"/>
    </row>
    <row r="131" spans="6:66" x14ac:dyDescent="0.25"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H131" s="22"/>
      <c r="BI131" s="22"/>
      <c r="BJ131" s="22"/>
      <c r="BK131" s="22"/>
      <c r="BL131" s="22"/>
      <c r="BM131" s="22"/>
      <c r="BN131" s="22"/>
    </row>
    <row r="132" spans="6:66" x14ac:dyDescent="0.25"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H132" s="22"/>
      <c r="BI132" s="22"/>
      <c r="BJ132" s="22"/>
      <c r="BK132" s="22"/>
      <c r="BL132" s="22"/>
      <c r="BM132" s="22"/>
      <c r="BN132" s="22"/>
    </row>
    <row r="133" spans="6:66" x14ac:dyDescent="0.25"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H133" s="22"/>
      <c r="BI133" s="22"/>
      <c r="BJ133" s="22"/>
      <c r="BK133" s="22"/>
      <c r="BL133" s="22"/>
      <c r="BM133" s="22"/>
      <c r="BN133" s="22"/>
    </row>
    <row r="134" spans="6:66" x14ac:dyDescent="0.25"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H134" s="22"/>
      <c r="BI134" s="22"/>
      <c r="BJ134" s="22"/>
      <c r="BK134" s="22"/>
      <c r="BL134" s="22"/>
      <c r="BM134" s="22"/>
      <c r="BN134" s="22"/>
    </row>
    <row r="135" spans="6:66" x14ac:dyDescent="0.25"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H135" s="22"/>
      <c r="BI135" s="22"/>
      <c r="BJ135" s="22"/>
      <c r="BK135" s="22"/>
      <c r="BL135" s="22"/>
      <c r="BM135" s="22"/>
      <c r="BN135" s="22"/>
    </row>
    <row r="136" spans="6:66" x14ac:dyDescent="0.25"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H136" s="22"/>
      <c r="BI136" s="22"/>
      <c r="BJ136" s="22"/>
      <c r="BK136" s="22"/>
      <c r="BL136" s="22"/>
      <c r="BM136" s="22"/>
      <c r="BN136" s="22"/>
    </row>
    <row r="137" spans="6:66" x14ac:dyDescent="0.25"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H137" s="22"/>
      <c r="BI137" s="22"/>
      <c r="BJ137" s="22"/>
      <c r="BK137" s="22"/>
      <c r="BL137" s="22"/>
      <c r="BM137" s="22"/>
      <c r="BN137" s="22"/>
    </row>
    <row r="138" spans="6:66" x14ac:dyDescent="0.25"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H138" s="22"/>
      <c r="BI138" s="22"/>
      <c r="BJ138" s="22"/>
      <c r="BK138" s="22"/>
      <c r="BL138" s="22"/>
      <c r="BM138" s="22"/>
      <c r="BN138" s="22"/>
    </row>
    <row r="139" spans="6:66" x14ac:dyDescent="0.25"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H139" s="22"/>
      <c r="BI139" s="22"/>
      <c r="BJ139" s="22"/>
      <c r="BK139" s="22"/>
      <c r="BL139" s="22"/>
      <c r="BM139" s="22"/>
      <c r="BN139" s="22"/>
    </row>
    <row r="140" spans="6:66" x14ac:dyDescent="0.25"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H140" s="22"/>
      <c r="BI140" s="22"/>
      <c r="BJ140" s="22"/>
      <c r="BK140" s="22"/>
      <c r="BL140" s="22"/>
      <c r="BM140" s="22"/>
      <c r="BN140" s="22"/>
    </row>
    <row r="141" spans="6:66" x14ac:dyDescent="0.25"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H141" s="22"/>
      <c r="BI141" s="22"/>
      <c r="BJ141" s="22"/>
      <c r="BK141" s="22"/>
      <c r="BL141" s="22"/>
      <c r="BM141" s="22"/>
      <c r="BN141" s="22"/>
    </row>
    <row r="142" spans="6:66" x14ac:dyDescent="0.25"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H142" s="22"/>
      <c r="BI142" s="22"/>
      <c r="BJ142" s="22"/>
      <c r="BK142" s="22"/>
      <c r="BL142" s="22"/>
      <c r="BM142" s="22"/>
      <c r="BN142" s="22"/>
    </row>
    <row r="143" spans="6:66" x14ac:dyDescent="0.25"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H143" s="22"/>
      <c r="BI143" s="22"/>
      <c r="BJ143" s="22"/>
      <c r="BK143" s="22"/>
      <c r="BL143" s="22"/>
      <c r="BM143" s="22"/>
      <c r="BN143" s="22"/>
    </row>
    <row r="144" spans="6:66" x14ac:dyDescent="0.25"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H144" s="22"/>
      <c r="BI144" s="22"/>
      <c r="BJ144" s="22"/>
      <c r="BK144" s="22"/>
      <c r="BL144" s="22"/>
      <c r="BM144" s="22"/>
      <c r="BN144" s="22"/>
    </row>
    <row r="145" spans="6:66" x14ac:dyDescent="0.25"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H145" s="22"/>
      <c r="BI145" s="22"/>
      <c r="BJ145" s="22"/>
      <c r="BK145" s="22"/>
      <c r="BL145" s="22"/>
      <c r="BM145" s="22"/>
      <c r="BN145" s="22"/>
    </row>
    <row r="146" spans="6:66" x14ac:dyDescent="0.25"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H146" s="22"/>
      <c r="BI146" s="22"/>
      <c r="BJ146" s="22"/>
      <c r="BK146" s="22"/>
      <c r="BL146" s="22"/>
      <c r="BM146" s="22"/>
      <c r="BN146" s="22"/>
    </row>
    <row r="147" spans="6:66" x14ac:dyDescent="0.25"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H147" s="22"/>
      <c r="BI147" s="22"/>
      <c r="BJ147" s="22"/>
      <c r="BK147" s="22"/>
      <c r="BL147" s="22"/>
      <c r="BM147" s="22"/>
      <c r="BN147" s="22"/>
    </row>
    <row r="148" spans="6:66" x14ac:dyDescent="0.25"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H148" s="22"/>
      <c r="BI148" s="22"/>
      <c r="BJ148" s="22"/>
      <c r="BK148" s="22"/>
      <c r="BL148" s="22"/>
      <c r="BM148" s="22"/>
      <c r="BN148" s="22"/>
    </row>
    <row r="149" spans="6:66" x14ac:dyDescent="0.25"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H149" s="22"/>
      <c r="BI149" s="22"/>
      <c r="BJ149" s="22"/>
      <c r="BK149" s="22"/>
      <c r="BL149" s="22"/>
      <c r="BM149" s="22"/>
      <c r="BN149" s="22"/>
    </row>
    <row r="150" spans="6:66" x14ac:dyDescent="0.25"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H150" s="22"/>
      <c r="BI150" s="22"/>
      <c r="BJ150" s="22"/>
      <c r="BK150" s="22"/>
      <c r="BL150" s="22"/>
      <c r="BM150" s="22"/>
      <c r="BN150" s="22"/>
    </row>
    <row r="151" spans="6:66" x14ac:dyDescent="0.25"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H151" s="22"/>
      <c r="BI151" s="22"/>
      <c r="BJ151" s="22"/>
      <c r="BK151" s="22"/>
      <c r="BL151" s="22"/>
      <c r="BM151" s="22"/>
      <c r="BN151" s="22"/>
    </row>
    <row r="152" spans="6:66" x14ac:dyDescent="0.25"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H152" s="22"/>
      <c r="BI152" s="22"/>
      <c r="BJ152" s="22"/>
      <c r="BK152" s="22"/>
      <c r="BL152" s="22"/>
      <c r="BM152" s="22"/>
      <c r="BN152" s="22"/>
    </row>
    <row r="153" spans="6:66" x14ac:dyDescent="0.25"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H153" s="22"/>
      <c r="BI153" s="22"/>
      <c r="BJ153" s="22"/>
      <c r="BK153" s="22"/>
      <c r="BL153" s="22"/>
      <c r="BM153" s="22"/>
      <c r="BN153" s="22"/>
    </row>
    <row r="154" spans="6:66" x14ac:dyDescent="0.25"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H154" s="22"/>
      <c r="BI154" s="22"/>
      <c r="BJ154" s="22"/>
      <c r="BK154" s="22"/>
      <c r="BL154" s="22"/>
      <c r="BM154" s="22"/>
      <c r="BN154" s="22"/>
    </row>
    <row r="155" spans="6:66" x14ac:dyDescent="0.25"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H155" s="22"/>
      <c r="BI155" s="22"/>
      <c r="BJ155" s="22"/>
      <c r="BK155" s="22"/>
      <c r="BL155" s="22"/>
      <c r="BM155" s="22"/>
      <c r="BN155" s="22"/>
    </row>
    <row r="156" spans="6:66" x14ac:dyDescent="0.25"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H156" s="22"/>
      <c r="BI156" s="22"/>
      <c r="BJ156" s="22"/>
      <c r="BK156" s="22"/>
      <c r="BL156" s="22"/>
      <c r="BM156" s="22"/>
      <c r="BN156" s="22"/>
    </row>
    <row r="157" spans="6:66" x14ac:dyDescent="0.25"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H157" s="22"/>
      <c r="BI157" s="22"/>
      <c r="BJ157" s="22"/>
      <c r="BK157" s="22"/>
      <c r="BL157" s="22"/>
      <c r="BM157" s="22"/>
      <c r="BN157" s="22"/>
    </row>
    <row r="158" spans="6:66" x14ac:dyDescent="0.25"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H158" s="22"/>
      <c r="BI158" s="22"/>
      <c r="BJ158" s="22"/>
      <c r="BK158" s="22"/>
      <c r="BL158" s="22"/>
      <c r="BM158" s="22"/>
      <c r="BN158" s="22"/>
    </row>
    <row r="159" spans="6:66" x14ac:dyDescent="0.25"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H159" s="22"/>
      <c r="BI159" s="22"/>
      <c r="BJ159" s="22"/>
      <c r="BK159" s="22"/>
      <c r="BL159" s="22"/>
      <c r="BM159" s="22"/>
      <c r="BN159" s="22"/>
    </row>
    <row r="160" spans="6:66" x14ac:dyDescent="0.25"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H160" s="22"/>
      <c r="BI160" s="22"/>
      <c r="BJ160" s="22"/>
      <c r="BK160" s="22"/>
      <c r="BL160" s="22"/>
      <c r="BM160" s="22"/>
      <c r="BN160" s="22"/>
    </row>
    <row r="161" spans="6:66" x14ac:dyDescent="0.25"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H161" s="22"/>
      <c r="BI161" s="22"/>
      <c r="BJ161" s="22"/>
      <c r="BK161" s="22"/>
      <c r="BL161" s="22"/>
      <c r="BM161" s="22"/>
      <c r="BN161" s="22"/>
    </row>
    <row r="162" spans="6:66" x14ac:dyDescent="0.25"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H162" s="22"/>
      <c r="BI162" s="22"/>
      <c r="BJ162" s="22"/>
      <c r="BK162" s="22"/>
      <c r="BL162" s="22"/>
      <c r="BM162" s="22"/>
      <c r="BN162" s="22"/>
    </row>
    <row r="163" spans="6:66" x14ac:dyDescent="0.25"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H163" s="22"/>
      <c r="BI163" s="22"/>
      <c r="BJ163" s="22"/>
      <c r="BK163" s="22"/>
      <c r="BL163" s="22"/>
      <c r="BM163" s="22"/>
      <c r="BN163" s="22"/>
    </row>
    <row r="164" spans="6:66" x14ac:dyDescent="0.25"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H164" s="22"/>
      <c r="BI164" s="22"/>
      <c r="BJ164" s="22"/>
      <c r="BK164" s="22"/>
      <c r="BL164" s="22"/>
      <c r="BM164" s="22"/>
      <c r="BN164" s="22"/>
    </row>
    <row r="165" spans="6:66" x14ac:dyDescent="0.25"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H165" s="22"/>
      <c r="BI165" s="22"/>
      <c r="BJ165" s="22"/>
      <c r="BK165" s="22"/>
      <c r="BL165" s="22"/>
      <c r="BM165" s="22"/>
      <c r="BN165" s="22"/>
    </row>
    <row r="166" spans="6:66" x14ac:dyDescent="0.25"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H166" s="22"/>
      <c r="BI166" s="22"/>
      <c r="BJ166" s="22"/>
      <c r="BK166" s="22"/>
      <c r="BL166" s="22"/>
      <c r="BM166" s="22"/>
      <c r="BN166" s="22"/>
    </row>
    <row r="167" spans="6:66" x14ac:dyDescent="0.25"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H167" s="22"/>
      <c r="BI167" s="22"/>
      <c r="BJ167" s="22"/>
      <c r="BK167" s="22"/>
      <c r="BL167" s="22"/>
      <c r="BM167" s="22"/>
      <c r="BN167" s="22"/>
    </row>
    <row r="168" spans="6:66" x14ac:dyDescent="0.25"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H168" s="22"/>
      <c r="BI168" s="22"/>
      <c r="BJ168" s="22"/>
      <c r="BK168" s="22"/>
      <c r="BL168" s="22"/>
      <c r="BM168" s="22"/>
      <c r="BN168" s="22"/>
    </row>
    <row r="169" spans="6:66" x14ac:dyDescent="0.25"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H169" s="22"/>
      <c r="BI169" s="22"/>
      <c r="BJ169" s="22"/>
      <c r="BK169" s="22"/>
      <c r="BL169" s="22"/>
      <c r="BM169" s="22"/>
      <c r="BN169" s="22"/>
    </row>
    <row r="170" spans="6:66" x14ac:dyDescent="0.25"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H170" s="22"/>
      <c r="BI170" s="22"/>
      <c r="BJ170" s="22"/>
      <c r="BK170" s="22"/>
      <c r="BL170" s="22"/>
      <c r="BM170" s="22"/>
      <c r="BN170" s="22"/>
    </row>
    <row r="171" spans="6:66" x14ac:dyDescent="0.25"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H171" s="22"/>
      <c r="BI171" s="22"/>
      <c r="BJ171" s="22"/>
      <c r="BK171" s="22"/>
      <c r="BL171" s="22"/>
      <c r="BM171" s="22"/>
      <c r="BN171" s="22"/>
    </row>
    <row r="172" spans="6:66" x14ac:dyDescent="0.25"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H172" s="22"/>
      <c r="BI172" s="22"/>
      <c r="BJ172" s="22"/>
      <c r="BK172" s="22"/>
      <c r="BL172" s="22"/>
      <c r="BM172" s="22"/>
      <c r="BN172" s="22"/>
    </row>
    <row r="173" spans="6:66" x14ac:dyDescent="0.25"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H173" s="22"/>
      <c r="BI173" s="22"/>
      <c r="BJ173" s="22"/>
      <c r="BK173" s="22"/>
      <c r="BL173" s="22"/>
      <c r="BM173" s="22"/>
      <c r="BN173" s="22"/>
    </row>
    <row r="174" spans="6:66" x14ac:dyDescent="0.25"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H174" s="22"/>
      <c r="BI174" s="22"/>
      <c r="BJ174" s="22"/>
      <c r="BK174" s="22"/>
      <c r="BL174" s="22"/>
      <c r="BM174" s="22"/>
      <c r="BN174" s="22"/>
    </row>
    <row r="175" spans="6:66" x14ac:dyDescent="0.25"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H175" s="22"/>
      <c r="BI175" s="22"/>
      <c r="BJ175" s="22"/>
      <c r="BK175" s="22"/>
      <c r="BL175" s="22"/>
      <c r="BM175" s="22"/>
      <c r="BN175" s="22"/>
    </row>
    <row r="176" spans="6:66" x14ac:dyDescent="0.25"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H176" s="22"/>
      <c r="BI176" s="22"/>
      <c r="BJ176" s="22"/>
      <c r="BK176" s="22"/>
      <c r="BL176" s="22"/>
      <c r="BM176" s="22"/>
      <c r="BN176" s="22"/>
    </row>
    <row r="177" spans="6:66" x14ac:dyDescent="0.25"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H177" s="22"/>
      <c r="BI177" s="22"/>
      <c r="BJ177" s="22"/>
      <c r="BK177" s="22"/>
      <c r="BL177" s="22"/>
      <c r="BM177" s="22"/>
      <c r="BN177" s="22"/>
    </row>
    <row r="178" spans="6:66" x14ac:dyDescent="0.25"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H178" s="22"/>
      <c r="BI178" s="22"/>
      <c r="BJ178" s="22"/>
      <c r="BK178" s="22"/>
      <c r="BL178" s="22"/>
      <c r="BM178" s="22"/>
      <c r="BN178" s="22"/>
    </row>
    <row r="179" spans="6:66" x14ac:dyDescent="0.25"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H179" s="22"/>
      <c r="BI179" s="22"/>
      <c r="BJ179" s="22"/>
      <c r="BK179" s="22"/>
      <c r="BL179" s="22"/>
      <c r="BM179" s="22"/>
      <c r="BN179" s="22"/>
    </row>
    <row r="180" spans="6:66" x14ac:dyDescent="0.25"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H180" s="22"/>
      <c r="BI180" s="22"/>
      <c r="BJ180" s="22"/>
      <c r="BK180" s="22"/>
      <c r="BL180" s="22"/>
      <c r="BM180" s="22"/>
      <c r="BN180" s="22"/>
    </row>
    <row r="181" spans="6:66" x14ac:dyDescent="0.25"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H181" s="22"/>
      <c r="BI181" s="22"/>
      <c r="BJ181" s="22"/>
      <c r="BK181" s="22"/>
      <c r="BL181" s="22"/>
      <c r="BM181" s="22"/>
      <c r="BN181" s="22"/>
    </row>
    <row r="182" spans="6:66" x14ac:dyDescent="0.25"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H182" s="22"/>
      <c r="BI182" s="22"/>
      <c r="BJ182" s="22"/>
      <c r="BK182" s="22"/>
      <c r="BL182" s="22"/>
      <c r="BM182" s="22"/>
      <c r="BN182" s="22"/>
    </row>
    <row r="183" spans="6:66" x14ac:dyDescent="0.25"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H183" s="22"/>
      <c r="BI183" s="22"/>
      <c r="BJ183" s="22"/>
      <c r="BK183" s="22"/>
      <c r="BL183" s="22"/>
      <c r="BM183" s="22"/>
      <c r="BN183" s="22"/>
    </row>
    <row r="184" spans="6:66" x14ac:dyDescent="0.25"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H184" s="22"/>
      <c r="BI184" s="22"/>
      <c r="BJ184" s="22"/>
      <c r="BK184" s="22"/>
      <c r="BL184" s="22"/>
      <c r="BM184" s="22"/>
      <c r="BN184" s="22"/>
    </row>
    <row r="185" spans="6:66" x14ac:dyDescent="0.25"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H185" s="22"/>
      <c r="BI185" s="22"/>
      <c r="BJ185" s="22"/>
      <c r="BK185" s="22"/>
      <c r="BL185" s="22"/>
      <c r="BM185" s="22"/>
      <c r="BN185" s="22"/>
    </row>
    <row r="186" spans="6:66" x14ac:dyDescent="0.25"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H186" s="22"/>
      <c r="BI186" s="22"/>
      <c r="BJ186" s="22"/>
      <c r="BK186" s="22"/>
      <c r="BL186" s="22"/>
      <c r="BM186" s="22"/>
      <c r="BN186" s="22"/>
    </row>
    <row r="187" spans="6:66" x14ac:dyDescent="0.25"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H187" s="22"/>
      <c r="BI187" s="22"/>
      <c r="BJ187" s="22"/>
      <c r="BK187" s="22"/>
      <c r="BL187" s="22"/>
      <c r="BM187" s="22"/>
      <c r="BN187" s="22"/>
    </row>
    <row r="188" spans="6:66" x14ac:dyDescent="0.25"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H188" s="22"/>
      <c r="BI188" s="22"/>
      <c r="BJ188" s="22"/>
      <c r="BK188" s="22"/>
      <c r="BL188" s="22"/>
      <c r="BM188" s="22"/>
      <c r="BN188" s="22"/>
    </row>
    <row r="189" spans="6:66" x14ac:dyDescent="0.25"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H189" s="22"/>
      <c r="BI189" s="22"/>
      <c r="BJ189" s="22"/>
      <c r="BK189" s="22"/>
      <c r="BL189" s="22"/>
      <c r="BM189" s="22"/>
      <c r="BN189" s="22"/>
    </row>
    <row r="190" spans="6:66" x14ac:dyDescent="0.25"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H190" s="22"/>
      <c r="BI190" s="22"/>
      <c r="BJ190" s="22"/>
      <c r="BK190" s="22"/>
      <c r="BL190" s="22"/>
      <c r="BM190" s="22"/>
      <c r="BN190" s="22"/>
    </row>
    <row r="191" spans="6:66" x14ac:dyDescent="0.25"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H191" s="22"/>
      <c r="BI191" s="22"/>
      <c r="BJ191" s="22"/>
      <c r="BK191" s="22"/>
      <c r="BL191" s="22"/>
      <c r="BM191" s="22"/>
      <c r="BN191" s="22"/>
    </row>
    <row r="192" spans="6:66" x14ac:dyDescent="0.25"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H192" s="22"/>
      <c r="BI192" s="22"/>
      <c r="BJ192" s="22"/>
      <c r="BK192" s="22"/>
      <c r="BL192" s="22"/>
      <c r="BM192" s="22"/>
      <c r="BN192" s="22"/>
    </row>
    <row r="193" spans="6:66" x14ac:dyDescent="0.25"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H193" s="22"/>
      <c r="BI193" s="22"/>
      <c r="BJ193" s="22"/>
      <c r="BK193" s="22"/>
      <c r="BL193" s="22"/>
      <c r="BM193" s="22"/>
      <c r="BN193" s="22"/>
    </row>
    <row r="194" spans="6:66" x14ac:dyDescent="0.25"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H194" s="22"/>
      <c r="BI194" s="22"/>
      <c r="BJ194" s="22"/>
      <c r="BK194" s="22"/>
      <c r="BL194" s="22"/>
      <c r="BM194" s="22"/>
      <c r="BN194" s="22"/>
    </row>
    <row r="195" spans="6:66" x14ac:dyDescent="0.25">
      <c r="BH195" s="22"/>
      <c r="BI195" s="22"/>
      <c r="BJ195" s="22"/>
      <c r="BK195" s="22"/>
      <c r="BL195" s="22"/>
      <c r="BM195" s="22"/>
      <c r="BN195" s="22"/>
    </row>
    <row r="196" spans="6:66" x14ac:dyDescent="0.25">
      <c r="BH196" s="22"/>
      <c r="BI196" s="22"/>
      <c r="BJ196" s="22"/>
      <c r="BK196" s="22"/>
      <c r="BL196" s="22"/>
      <c r="BM196" s="22"/>
      <c r="BN196" s="22"/>
    </row>
    <row r="197" spans="6:66" x14ac:dyDescent="0.25">
      <c r="BH197" s="22"/>
      <c r="BI197" s="22"/>
      <c r="BJ197" s="22"/>
      <c r="BK197" s="22"/>
      <c r="BL197" s="22"/>
      <c r="BM197" s="22"/>
      <c r="BN197" s="22"/>
    </row>
    <row r="198" spans="6:66" x14ac:dyDescent="0.25">
      <c r="BH198" s="22"/>
      <c r="BI198" s="22"/>
      <c r="BJ198" s="22"/>
      <c r="BK198" s="22"/>
      <c r="BL198" s="22"/>
      <c r="BM198" s="22"/>
      <c r="BN198" s="22"/>
    </row>
    <row r="199" spans="6:66" x14ac:dyDescent="0.25">
      <c r="BH199" s="22"/>
      <c r="BI199" s="22"/>
      <c r="BJ199" s="22"/>
      <c r="BK199" s="22"/>
      <c r="BL199" s="22"/>
      <c r="BM199" s="22"/>
      <c r="BN199" s="22"/>
    </row>
    <row r="200" spans="6:66" x14ac:dyDescent="0.25">
      <c r="BH200" s="22"/>
      <c r="BI200" s="22"/>
      <c r="BJ200" s="22"/>
      <c r="BK200" s="22"/>
      <c r="BL200" s="22"/>
      <c r="BM200" s="22"/>
      <c r="BN200" s="22"/>
    </row>
    <row r="201" spans="6:66" x14ac:dyDescent="0.25">
      <c r="BH201" s="22"/>
      <c r="BI201" s="22"/>
      <c r="BJ201" s="22"/>
      <c r="BK201" s="22"/>
      <c r="BL201" s="22"/>
      <c r="BM201" s="22"/>
      <c r="BN201" s="22"/>
    </row>
    <row r="202" spans="6:66" x14ac:dyDescent="0.25">
      <c r="BH202" s="22"/>
      <c r="BI202" s="22"/>
      <c r="BJ202" s="22"/>
      <c r="BK202" s="22"/>
      <c r="BL202" s="22"/>
      <c r="BM202" s="22"/>
      <c r="BN202" s="22"/>
    </row>
    <row r="203" spans="6:66" x14ac:dyDescent="0.25">
      <c r="BH203" s="22"/>
      <c r="BI203" s="22"/>
      <c r="BJ203" s="22"/>
      <c r="BK203" s="22"/>
      <c r="BL203" s="22"/>
      <c r="BM203" s="22"/>
      <c r="BN203" s="22"/>
    </row>
    <row r="204" spans="6:66" x14ac:dyDescent="0.25">
      <c r="BH204" s="22"/>
      <c r="BI204" s="22"/>
      <c r="BJ204" s="22"/>
      <c r="BK204" s="22"/>
      <c r="BL204" s="22"/>
      <c r="BM204" s="22"/>
      <c r="BN204" s="22"/>
    </row>
    <row r="205" spans="6:66" x14ac:dyDescent="0.25">
      <c r="BH205" s="22"/>
      <c r="BI205" s="22"/>
      <c r="BJ205" s="22"/>
      <c r="BK205" s="22"/>
      <c r="BL205" s="22"/>
      <c r="BM205" s="22"/>
      <c r="BN205" s="22"/>
    </row>
    <row r="206" spans="6:66" x14ac:dyDescent="0.25">
      <c r="BH206" s="22"/>
      <c r="BI206" s="22"/>
      <c r="BJ206" s="22"/>
      <c r="BK206" s="22"/>
      <c r="BL206" s="22"/>
      <c r="BM206" s="22"/>
      <c r="BN206" s="22"/>
    </row>
    <row r="207" spans="6:66" x14ac:dyDescent="0.25">
      <c r="BH207" s="22"/>
      <c r="BI207" s="22"/>
      <c r="BJ207" s="22"/>
      <c r="BK207" s="22"/>
      <c r="BL207" s="22"/>
      <c r="BM207" s="22"/>
      <c r="BN207" s="22"/>
    </row>
    <row r="208" spans="6:66" x14ac:dyDescent="0.25">
      <c r="BH208" s="22"/>
      <c r="BI208" s="22"/>
      <c r="BJ208" s="22"/>
      <c r="BK208" s="22"/>
      <c r="BL208" s="22"/>
      <c r="BM208" s="22"/>
      <c r="BN208" s="22"/>
    </row>
    <row r="209" spans="60:66" x14ac:dyDescent="0.25">
      <c r="BH209" s="22"/>
      <c r="BI209" s="22"/>
      <c r="BJ209" s="22"/>
      <c r="BK209" s="22"/>
      <c r="BL209" s="22"/>
      <c r="BM209" s="22"/>
      <c r="BN209" s="22"/>
    </row>
    <row r="210" spans="60:66" x14ac:dyDescent="0.25">
      <c r="BH210" s="22"/>
      <c r="BI210" s="22"/>
      <c r="BJ210" s="22"/>
      <c r="BK210" s="22"/>
      <c r="BL210" s="22"/>
      <c r="BM210" s="22"/>
      <c r="BN210" s="22"/>
    </row>
    <row r="211" spans="60:66" x14ac:dyDescent="0.25">
      <c r="BH211" s="22"/>
      <c r="BI211" s="22"/>
      <c r="BJ211" s="22"/>
      <c r="BK211" s="22"/>
      <c r="BL211" s="22"/>
      <c r="BM211" s="22"/>
      <c r="BN211" s="22"/>
    </row>
    <row r="212" spans="60:66" x14ac:dyDescent="0.25">
      <c r="BH212" s="22"/>
      <c r="BI212" s="22"/>
      <c r="BJ212" s="22"/>
      <c r="BK212" s="22"/>
      <c r="BL212" s="22"/>
      <c r="BM212" s="22"/>
      <c r="BN212" s="22"/>
    </row>
    <row r="213" spans="60:66" x14ac:dyDescent="0.25">
      <c r="BH213" s="22"/>
      <c r="BI213" s="22"/>
      <c r="BJ213" s="22"/>
      <c r="BK213" s="22"/>
      <c r="BL213" s="22"/>
      <c r="BM213" s="22"/>
      <c r="BN213" s="22"/>
    </row>
    <row r="214" spans="60:66" x14ac:dyDescent="0.25">
      <c r="BH214" s="22"/>
      <c r="BI214" s="22"/>
      <c r="BJ214" s="22"/>
      <c r="BK214" s="22"/>
      <c r="BL214" s="22"/>
      <c r="BM214" s="22"/>
      <c r="BN214" s="22"/>
    </row>
    <row r="215" spans="60:66" x14ac:dyDescent="0.25">
      <c r="BH215" s="22"/>
      <c r="BI215" s="22"/>
      <c r="BJ215" s="22"/>
      <c r="BK215" s="22"/>
      <c r="BL215" s="22"/>
      <c r="BM215" s="22"/>
      <c r="BN215" s="22"/>
    </row>
    <row r="216" spans="60:66" x14ac:dyDescent="0.25">
      <c r="BH216" s="22"/>
      <c r="BI216" s="22"/>
      <c r="BJ216" s="22"/>
      <c r="BK216" s="22"/>
      <c r="BL216" s="22"/>
      <c r="BM216" s="22"/>
      <c r="BN216" s="22"/>
    </row>
    <row r="217" spans="60:66" x14ac:dyDescent="0.25">
      <c r="BH217" s="22"/>
      <c r="BI217" s="22"/>
      <c r="BJ217" s="22"/>
      <c r="BK217" s="22"/>
      <c r="BL217" s="22"/>
      <c r="BM217" s="22"/>
      <c r="BN217" s="22"/>
    </row>
    <row r="218" spans="60:66" x14ac:dyDescent="0.25">
      <c r="BH218" s="22"/>
      <c r="BI218" s="22"/>
      <c r="BJ218" s="22"/>
      <c r="BK218" s="22"/>
      <c r="BL218" s="22"/>
      <c r="BM218" s="22"/>
      <c r="BN218" s="22"/>
    </row>
    <row r="219" spans="60:66" x14ac:dyDescent="0.25">
      <c r="BH219" s="22"/>
      <c r="BI219" s="22"/>
      <c r="BJ219" s="22"/>
      <c r="BK219" s="22"/>
      <c r="BL219" s="22"/>
      <c r="BM219" s="22"/>
      <c r="BN219" s="22"/>
    </row>
    <row r="220" spans="60:66" x14ac:dyDescent="0.25">
      <c r="BH220" s="22"/>
      <c r="BI220" s="22"/>
      <c r="BJ220" s="22"/>
      <c r="BK220" s="22"/>
      <c r="BL220" s="22"/>
      <c r="BM220" s="22"/>
      <c r="BN220" s="22"/>
    </row>
    <row r="221" spans="60:66" x14ac:dyDescent="0.25">
      <c r="BH221" s="22"/>
      <c r="BI221" s="22"/>
      <c r="BJ221" s="22"/>
      <c r="BK221" s="22"/>
      <c r="BL221" s="22"/>
      <c r="BM221" s="22"/>
      <c r="BN221" s="22"/>
    </row>
    <row r="222" spans="60:66" x14ac:dyDescent="0.25">
      <c r="BH222" s="22"/>
      <c r="BI222" s="22"/>
      <c r="BJ222" s="22"/>
      <c r="BK222" s="22"/>
      <c r="BL222" s="22"/>
      <c r="BM222" s="22"/>
      <c r="BN222" s="22"/>
    </row>
    <row r="223" spans="60:66" x14ac:dyDescent="0.25">
      <c r="BH223" s="22"/>
      <c r="BI223" s="22"/>
      <c r="BJ223" s="22"/>
      <c r="BK223" s="22"/>
      <c r="BL223" s="22"/>
      <c r="BM223" s="22"/>
      <c r="BN223" s="22"/>
    </row>
    <row r="224" spans="60:66" x14ac:dyDescent="0.25">
      <c r="BH224" s="22"/>
      <c r="BI224" s="22"/>
      <c r="BJ224" s="22"/>
      <c r="BK224" s="22"/>
      <c r="BL224" s="22"/>
      <c r="BM224" s="22"/>
      <c r="BN224" s="22"/>
    </row>
    <row r="225" spans="60:66" x14ac:dyDescent="0.25">
      <c r="BH225" s="22"/>
      <c r="BI225" s="22"/>
      <c r="BJ225" s="22"/>
      <c r="BK225" s="22"/>
      <c r="BL225" s="22"/>
      <c r="BM225" s="22"/>
      <c r="BN225" s="22"/>
    </row>
    <row r="226" spans="60:66" x14ac:dyDescent="0.25">
      <c r="BH226" s="22"/>
      <c r="BI226" s="22"/>
      <c r="BJ226" s="22"/>
      <c r="BK226" s="22"/>
      <c r="BL226" s="22"/>
      <c r="BM226" s="22"/>
      <c r="BN226" s="22"/>
    </row>
    <row r="227" spans="60:66" x14ac:dyDescent="0.25">
      <c r="BH227" s="22"/>
      <c r="BI227" s="22"/>
      <c r="BJ227" s="22"/>
      <c r="BK227" s="22"/>
      <c r="BL227" s="22"/>
      <c r="BM227" s="22"/>
      <c r="BN227" s="22"/>
    </row>
    <row r="228" spans="60:66" x14ac:dyDescent="0.25">
      <c r="BH228" s="22"/>
      <c r="BI228" s="22"/>
      <c r="BJ228" s="22"/>
      <c r="BK228" s="22"/>
      <c r="BL228" s="22"/>
      <c r="BM228" s="22"/>
      <c r="BN228" s="22"/>
    </row>
    <row r="229" spans="60:66" x14ac:dyDescent="0.25">
      <c r="BH229" s="22"/>
      <c r="BI229" s="22"/>
      <c r="BJ229" s="22"/>
      <c r="BK229" s="22"/>
      <c r="BL229" s="22"/>
      <c r="BM229" s="22"/>
      <c r="BN229" s="22"/>
    </row>
    <row r="230" spans="60:66" x14ac:dyDescent="0.25">
      <c r="BH230" s="22"/>
      <c r="BI230" s="22"/>
      <c r="BJ230" s="22"/>
      <c r="BK230" s="22"/>
      <c r="BL230" s="22"/>
      <c r="BM230" s="22"/>
      <c r="BN230" s="22"/>
    </row>
    <row r="231" spans="60:66" x14ac:dyDescent="0.25">
      <c r="BH231" s="22"/>
      <c r="BI231" s="22"/>
      <c r="BJ231" s="22"/>
      <c r="BK231" s="22"/>
      <c r="BL231" s="22"/>
      <c r="BM231" s="22"/>
      <c r="BN231" s="22"/>
    </row>
    <row r="232" spans="60:66" x14ac:dyDescent="0.25">
      <c r="BH232" s="22"/>
      <c r="BI232" s="22"/>
      <c r="BJ232" s="22"/>
      <c r="BK232" s="22"/>
      <c r="BL232" s="22"/>
      <c r="BM232" s="22"/>
      <c r="BN232" s="22"/>
    </row>
    <row r="233" spans="60:66" x14ac:dyDescent="0.25">
      <c r="BH233" s="22"/>
      <c r="BI233" s="22"/>
      <c r="BJ233" s="22"/>
      <c r="BK233" s="22"/>
      <c r="BL233" s="22"/>
      <c r="BM233" s="22"/>
      <c r="BN233" s="22"/>
    </row>
    <row r="234" spans="60:66" x14ac:dyDescent="0.25">
      <c r="BH234" s="22"/>
      <c r="BI234" s="22"/>
      <c r="BJ234" s="22"/>
      <c r="BK234" s="22"/>
      <c r="BL234" s="22"/>
      <c r="BM234" s="22"/>
      <c r="BN234" s="22"/>
    </row>
    <row r="235" spans="60:66" x14ac:dyDescent="0.25">
      <c r="BH235" s="22"/>
      <c r="BI235" s="22"/>
      <c r="BJ235" s="22"/>
      <c r="BK235" s="22"/>
      <c r="BL235" s="22"/>
      <c r="BM235" s="22"/>
      <c r="BN235" s="22"/>
    </row>
    <row r="236" spans="60:66" x14ac:dyDescent="0.25">
      <c r="BH236" s="22"/>
      <c r="BI236" s="22"/>
      <c r="BJ236" s="22"/>
      <c r="BK236" s="22"/>
      <c r="BL236" s="22"/>
      <c r="BM236" s="22"/>
      <c r="BN236" s="22"/>
    </row>
    <row r="237" spans="60:66" x14ac:dyDescent="0.25">
      <c r="BH237" s="22"/>
      <c r="BI237" s="22"/>
      <c r="BJ237" s="22"/>
      <c r="BK237" s="22"/>
      <c r="BL237" s="22"/>
      <c r="BM237" s="22"/>
      <c r="BN237" s="22"/>
    </row>
    <row r="238" spans="60:66" x14ac:dyDescent="0.25">
      <c r="BH238" s="22"/>
      <c r="BI238" s="22"/>
      <c r="BJ238" s="22"/>
      <c r="BK238" s="22"/>
      <c r="BL238" s="22"/>
      <c r="BM238" s="22"/>
      <c r="BN238" s="22"/>
    </row>
    <row r="239" spans="60:66" x14ac:dyDescent="0.25">
      <c r="BH239" s="22"/>
      <c r="BI239" s="22"/>
      <c r="BJ239" s="22"/>
      <c r="BK239" s="22"/>
      <c r="BL239" s="22"/>
      <c r="BM239" s="22"/>
      <c r="BN239" s="22"/>
    </row>
    <row r="240" spans="60:66" x14ac:dyDescent="0.25">
      <c r="BH240" s="22"/>
      <c r="BI240" s="22"/>
      <c r="BJ240" s="22"/>
      <c r="BK240" s="22"/>
      <c r="BL240" s="22"/>
      <c r="BM240" s="22"/>
      <c r="BN240" s="22"/>
    </row>
    <row r="241" spans="60:66" x14ac:dyDescent="0.25">
      <c r="BH241" s="22"/>
      <c r="BI241" s="22"/>
      <c r="BJ241" s="22"/>
      <c r="BK241" s="22"/>
      <c r="BL241" s="22"/>
      <c r="BM241" s="22"/>
      <c r="BN241" s="22"/>
    </row>
    <row r="242" spans="60:66" x14ac:dyDescent="0.25">
      <c r="BH242" s="22"/>
      <c r="BI242" s="22"/>
      <c r="BJ242" s="22"/>
      <c r="BK242" s="22"/>
      <c r="BL242" s="22"/>
      <c r="BM242" s="22"/>
      <c r="BN242" s="22"/>
    </row>
    <row r="243" spans="60:66" x14ac:dyDescent="0.25">
      <c r="BH243" s="22"/>
      <c r="BI243" s="22"/>
      <c r="BJ243" s="22"/>
      <c r="BK243" s="22"/>
      <c r="BL243" s="22"/>
      <c r="BM243" s="22"/>
      <c r="BN243" s="22"/>
    </row>
    <row r="244" spans="60:66" x14ac:dyDescent="0.25">
      <c r="BH244" s="22"/>
      <c r="BI244" s="22"/>
      <c r="BJ244" s="22"/>
      <c r="BK244" s="22"/>
      <c r="BL244" s="22"/>
      <c r="BM244" s="22"/>
      <c r="BN244" s="22"/>
    </row>
    <row r="245" spans="60:66" x14ac:dyDescent="0.25">
      <c r="BH245" s="22"/>
      <c r="BI245" s="22"/>
      <c r="BJ245" s="22"/>
      <c r="BK245" s="22"/>
      <c r="BL245" s="22"/>
      <c r="BM245" s="22"/>
      <c r="BN245" s="22"/>
    </row>
    <row r="246" spans="60:66" x14ac:dyDescent="0.25">
      <c r="BH246" s="22"/>
      <c r="BI246" s="22"/>
      <c r="BJ246" s="22"/>
      <c r="BK246" s="22"/>
      <c r="BL246" s="22"/>
      <c r="BM246" s="22"/>
      <c r="BN246" s="22"/>
    </row>
    <row r="247" spans="60:66" x14ac:dyDescent="0.25">
      <c r="BH247" s="22"/>
      <c r="BI247" s="22"/>
      <c r="BJ247" s="22"/>
      <c r="BK247" s="22"/>
      <c r="BL247" s="22"/>
      <c r="BM247" s="22"/>
      <c r="BN247" s="22"/>
    </row>
  </sheetData>
  <conditionalFormatting sqref="J10:J29">
    <cfRule type="containsText" dxfId="91" priority="94" operator="containsText" text="WO">
      <formula>NOT(ISERROR(SEARCH("WO",J10)))</formula>
    </cfRule>
  </conditionalFormatting>
  <conditionalFormatting sqref="K10:K29 R10:R29 Y10:Y29 AF10:AF29 AM10:AO29">
    <cfRule type="containsText" dxfId="90" priority="25" operator="containsText" text="L">
      <formula>NOT(ISERROR(SEARCH("L",K10)))</formula>
    </cfRule>
    <cfRule type="containsText" dxfId="89" priority="26" operator="containsText" text="A">
      <formula>NOT(ISERROR(SEARCH("A",K10)))</formula>
    </cfRule>
    <cfRule type="containsText" dxfId="88" priority="27" operator="containsText" text="P">
      <formula>NOT(ISERROR(SEARCH("P",K10)))</formula>
    </cfRule>
  </conditionalFormatting>
  <conditionalFormatting sqref="K10:K29">
    <cfRule type="containsText" dxfId="87" priority="24" operator="containsText" text="Wo">
      <formula>NOT(ISERROR(SEARCH("Wo",K10)))</formula>
    </cfRule>
  </conditionalFormatting>
  <conditionalFormatting sqref="L10:Q29">
    <cfRule type="containsText" dxfId="86" priority="6" operator="containsText" text="L">
      <formula>NOT(ISERROR(SEARCH("L",L10)))</formula>
    </cfRule>
    <cfRule type="containsText" dxfId="85" priority="7" operator="containsText" text="A">
      <formula>NOT(ISERROR(SEARCH("A",L10)))</formula>
    </cfRule>
    <cfRule type="containsText" dxfId="84" priority="8" operator="containsText" text="P">
      <formula>NOT(ISERROR(SEARCH("P",L10)))</formula>
    </cfRule>
  </conditionalFormatting>
  <conditionalFormatting sqref="M10:N29 L11:L29">
    <cfRule type="containsText" dxfId="83" priority="9" operator="containsText" text="WO">
      <formula>NOT(ISERROR(SEARCH("WO",L10)))</formula>
    </cfRule>
  </conditionalFormatting>
  <conditionalFormatting sqref="R10:R29">
    <cfRule type="containsText" dxfId="82" priority="23" operator="containsText" text="Wo">
      <formula>NOT(ISERROR(SEARCH("Wo",R10)))</formula>
    </cfRule>
  </conditionalFormatting>
  <conditionalFormatting sqref="S10:S29">
    <cfRule type="containsText" dxfId="81" priority="19" operator="containsText" text="WO">
      <formula>NOT(ISERROR(SEARCH("WO",S10)))</formula>
    </cfRule>
  </conditionalFormatting>
  <conditionalFormatting sqref="S10:X29">
    <cfRule type="containsText" dxfId="80" priority="15" operator="containsText" text="L">
      <formula>NOT(ISERROR(SEARCH("L",S10)))</formula>
    </cfRule>
    <cfRule type="containsText" dxfId="79" priority="16" operator="containsText" text="A">
      <formula>NOT(ISERROR(SEARCH("A",S10)))</formula>
    </cfRule>
    <cfRule type="containsText" dxfId="78" priority="17" operator="containsText" text="P">
      <formula>NOT(ISERROR(SEARCH("P",S10)))</formula>
    </cfRule>
  </conditionalFormatting>
  <conditionalFormatting sqref="X11:X29">
    <cfRule type="containsText" dxfId="77" priority="18" operator="containsText" text="WO">
      <formula>NOT(ISERROR(SEARCH("WO",X11)))</formula>
    </cfRule>
  </conditionalFormatting>
  <conditionalFormatting sqref="Y10:Y29">
    <cfRule type="containsText" dxfId="76" priority="22" operator="containsText" text="Wo">
      <formula>NOT(ISERROR(SEARCH("Wo",Y10)))</formula>
    </cfRule>
  </conditionalFormatting>
  <conditionalFormatting sqref="Z10:AE29">
    <cfRule type="containsText" dxfId="75" priority="1" operator="containsText" text="L">
      <formula>NOT(ISERROR(SEARCH("L",Z10)))</formula>
    </cfRule>
    <cfRule type="containsText" dxfId="74" priority="2" operator="containsText" text="A">
      <formula>NOT(ISERROR(SEARCH("A",Z10)))</formula>
    </cfRule>
    <cfRule type="containsText" dxfId="73" priority="3" operator="containsText" text="P">
      <formula>NOT(ISERROR(SEARCH("P",Z10)))</formula>
    </cfRule>
  </conditionalFormatting>
  <conditionalFormatting sqref="AC11:AC29">
    <cfRule type="containsText" dxfId="72" priority="5" operator="containsText" text="WO">
      <formula>NOT(ISERROR(SEARCH("WO",AC11)))</formula>
    </cfRule>
  </conditionalFormatting>
  <conditionalFormatting sqref="AD10:AE29">
    <cfRule type="containsText" dxfId="71" priority="4" operator="containsText" text="WO">
      <formula>NOT(ISERROR(SEARCH("WO",AD10)))</formula>
    </cfRule>
  </conditionalFormatting>
  <conditionalFormatting sqref="AF10:AF29">
    <cfRule type="containsText" dxfId="70" priority="21" operator="containsText" text="Wo">
      <formula>NOT(ISERROR(SEARCH("Wo",AF10)))</formula>
    </cfRule>
  </conditionalFormatting>
  <conditionalFormatting sqref="AG10:AL29">
    <cfRule type="containsText" dxfId="69" priority="10" operator="containsText" text="L">
      <formula>NOT(ISERROR(SEARCH("L",AG10)))</formula>
    </cfRule>
    <cfRule type="containsText" dxfId="68" priority="11" operator="containsText" text="A">
      <formula>NOT(ISERROR(SEARCH("A",AG10)))</formula>
    </cfRule>
    <cfRule type="containsText" dxfId="67" priority="12" operator="containsText" text="P">
      <formula>NOT(ISERROR(SEARCH("P",AG10)))</formula>
    </cfRule>
  </conditionalFormatting>
  <conditionalFormatting sqref="AJ11:AJ29">
    <cfRule type="containsText" dxfId="66" priority="14" operator="containsText" text="WO">
      <formula>NOT(ISERROR(SEARCH("WO",AJ11)))</formula>
    </cfRule>
  </conditionalFormatting>
  <conditionalFormatting sqref="AK10:AL29">
    <cfRule type="containsText" dxfId="65" priority="13" operator="containsText" text="WO">
      <formula>NOT(ISERROR(SEARCH("WO",AK10)))</formula>
    </cfRule>
  </conditionalFormatting>
  <conditionalFormatting sqref="AM10:AM29">
    <cfRule type="containsText" dxfId="64" priority="20" operator="containsText" text="Wo">
      <formula>NOT(ISERROR(SEARCH("Wo",AM10)))</formula>
    </cfRule>
  </conditionalFormatting>
  <conditionalFormatting sqref="AO10:AO29 AN11:AN29">
    <cfRule type="containsText" dxfId="63" priority="60" operator="containsText" text="WO">
      <formula>NOT(ISERROR(SEARCH("WO",AN10)))</formula>
    </cfRule>
  </conditionalFormatting>
  <dataValidations count="1">
    <dataValidation type="list" allowBlank="1" showInputMessage="1" showErrorMessage="1" sqref="AG10:AL29 AN10:AN29 L10:Q29 S10:X29 Z10:AE29" xr:uid="{90E53382-DDB1-48CC-9B5A-FE949A746FC4}">
      <formula1>"P, A, 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ACCB1A-7E2A-4D7B-96AA-636E5380B1FF}">
          <x14:formula1>
            <xm:f>Sheet2!$A$1:$A$12</xm:f>
          </x14:formula1>
          <xm:sqref>H6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70D57EE9-15A0-4916-8870-C878B6D2244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Jun!AV10:AY10</xm:f>
              <xm:sqref>BF10</xm:sqref>
            </x14:sparkline>
            <x14:sparkline>
              <xm:f>Jun!AV11:AY11</xm:f>
              <xm:sqref>BF11</xm:sqref>
            </x14:sparkline>
            <x14:sparkline>
              <xm:f>Jun!AV12:AY12</xm:f>
              <xm:sqref>BF12</xm:sqref>
            </x14:sparkline>
            <x14:sparkline>
              <xm:f>Jun!AV13:AY13</xm:f>
              <xm:sqref>BF13</xm:sqref>
            </x14:sparkline>
            <x14:sparkline>
              <xm:f>Jun!AV14:AY14</xm:f>
              <xm:sqref>BF14</xm:sqref>
            </x14:sparkline>
            <x14:sparkline>
              <xm:f>Jun!AV15:AY15</xm:f>
              <xm:sqref>BF15</xm:sqref>
            </x14:sparkline>
            <x14:sparkline>
              <xm:f>Jun!AV16:AY16</xm:f>
              <xm:sqref>BF16</xm:sqref>
            </x14:sparkline>
            <x14:sparkline>
              <xm:f>Jun!AV17:AY17</xm:f>
              <xm:sqref>BF17</xm:sqref>
            </x14:sparkline>
            <x14:sparkline>
              <xm:f>Jun!AV18:AY18</xm:f>
              <xm:sqref>BF18</xm:sqref>
            </x14:sparkline>
            <x14:sparkline>
              <xm:f>Jun!AV19:AY19</xm:f>
              <xm:sqref>BF19</xm:sqref>
            </x14:sparkline>
            <x14:sparkline>
              <xm:f>Jun!AV20:AY20</xm:f>
              <xm:sqref>BF20</xm:sqref>
            </x14:sparkline>
            <x14:sparkline>
              <xm:f>Jun!AV21:AY21</xm:f>
              <xm:sqref>BF21</xm:sqref>
            </x14:sparkline>
            <x14:sparkline>
              <xm:f>Jun!AV22:AY22</xm:f>
              <xm:sqref>BF22</xm:sqref>
            </x14:sparkline>
            <x14:sparkline>
              <xm:f>Jun!AV23:AY23</xm:f>
              <xm:sqref>BF23</xm:sqref>
            </x14:sparkline>
            <x14:sparkline>
              <xm:f>Jun!AV24:AY24</xm:f>
              <xm:sqref>BF24</xm:sqref>
            </x14:sparkline>
            <x14:sparkline>
              <xm:f>Jun!AV25:AY25</xm:f>
              <xm:sqref>BF25</xm:sqref>
            </x14:sparkline>
            <x14:sparkline>
              <xm:f>Jun!AV26:AY26</xm:f>
              <xm:sqref>BF26</xm:sqref>
            </x14:sparkline>
            <x14:sparkline>
              <xm:f>Jun!AV27:AY27</xm:f>
              <xm:sqref>BF27</xm:sqref>
            </x14:sparkline>
            <x14:sparkline>
              <xm:f>Jun!AV28:AY28</xm:f>
              <xm:sqref>BF28</xm:sqref>
            </x14:sparkline>
            <x14:sparkline>
              <xm:f>Jun!AV29:AY29</xm:f>
              <xm:sqref>BF29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9EE29-1C57-47C4-B512-A873CE963803}">
  <dimension ref="E1:BO247"/>
  <sheetViews>
    <sheetView zoomScale="85" zoomScaleNormal="85" workbookViewId="0"/>
  </sheetViews>
  <sheetFormatPr defaultRowHeight="15.75" x14ac:dyDescent="0.25"/>
  <cols>
    <col min="1" max="4" width="9.140625" style="3"/>
    <col min="5" max="5" width="9.140625" style="22"/>
    <col min="6" max="6" width="9.140625" style="3"/>
    <col min="7" max="7" width="9.28515625" style="3" bestFit="1" customWidth="1"/>
    <col min="8" max="8" width="26.85546875" style="3" customWidth="1"/>
    <col min="9" max="9" width="15" style="3" customWidth="1"/>
    <col min="10" max="10" width="19.28515625" style="3" customWidth="1"/>
    <col min="11" max="11" width="9.140625" style="3"/>
    <col min="12" max="12" width="9.28515625" style="3" bestFit="1" customWidth="1"/>
    <col min="13" max="13" width="13.7109375" style="3" customWidth="1"/>
    <col min="14" max="41" width="9.28515625" style="3" bestFit="1" customWidth="1"/>
    <col min="42" max="42" width="9.140625" style="3"/>
    <col min="43" max="43" width="9.140625" style="22"/>
    <col min="44" max="44" width="9.140625" style="3"/>
    <col min="45" max="46" width="15.42578125" style="3" customWidth="1"/>
    <col min="47" max="47" width="15.5703125" style="3" customWidth="1"/>
    <col min="48" max="48" width="10.7109375" style="3" customWidth="1"/>
    <col min="49" max="49" width="10.28515625" style="3" customWidth="1"/>
    <col min="50" max="50" width="9.140625" style="3"/>
    <col min="51" max="51" width="11.5703125" style="3" customWidth="1"/>
    <col min="52" max="52" width="9.140625" style="3"/>
    <col min="53" max="53" width="13.7109375" style="3" customWidth="1"/>
    <col min="54" max="54" width="13.5703125" style="3" customWidth="1"/>
    <col min="55" max="55" width="17.85546875" style="3" customWidth="1"/>
    <col min="56" max="56" width="15" style="3" customWidth="1"/>
    <col min="57" max="57" width="18.140625" style="3" customWidth="1"/>
    <col min="58" max="58" width="25.140625" style="3" customWidth="1"/>
    <col min="59" max="59" width="9.140625" style="22"/>
    <col min="60" max="16384" width="9.140625" style="3"/>
  </cols>
  <sheetData>
    <row r="1" spans="6:67" x14ac:dyDescent="0.25">
      <c r="BH1" s="22"/>
      <c r="BI1" s="22"/>
      <c r="BJ1" s="22"/>
      <c r="BK1" s="22"/>
      <c r="BL1" s="22"/>
      <c r="BM1" s="22"/>
      <c r="BN1" s="22"/>
      <c r="BO1" s="22"/>
    </row>
    <row r="2" spans="6:67" x14ac:dyDescent="0.25">
      <c r="BH2" s="22"/>
      <c r="BI2" s="22"/>
      <c r="BJ2" s="22"/>
      <c r="BK2" s="22"/>
      <c r="BL2" s="22"/>
      <c r="BM2" s="22"/>
      <c r="BN2" s="22"/>
    </row>
    <row r="3" spans="6:67" x14ac:dyDescent="0.25">
      <c r="BH3" s="22"/>
      <c r="BI3" s="22"/>
      <c r="BJ3" s="22"/>
      <c r="BK3" s="22"/>
      <c r="BL3" s="22"/>
      <c r="BM3" s="22"/>
      <c r="BN3" s="22"/>
    </row>
    <row r="4" spans="6:67" s="22" customFormat="1" x14ac:dyDescent="0.25"/>
    <row r="5" spans="6:67" s="22" customFormat="1" x14ac:dyDescent="0.25"/>
    <row r="6" spans="6:67" s="22" customFormat="1" x14ac:dyDescent="0.25">
      <c r="G6" s="25" t="s">
        <v>22</v>
      </c>
      <c r="H6" s="26">
        <v>45839</v>
      </c>
      <c r="I6" s="27">
        <f>(DATEDIF($H$6,$M$6,"D"))+1</f>
        <v>31</v>
      </c>
      <c r="J6" s="25" t="str">
        <f>TEXT(H6,"MMMM")</f>
        <v>July</v>
      </c>
      <c r="K6" s="25"/>
      <c r="L6" s="25" t="s">
        <v>23</v>
      </c>
      <c r="M6" s="26">
        <f>EOMONTH(H6,0)</f>
        <v>45869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6:67" x14ac:dyDescent="0.25"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2"/>
      <c r="BI7" s="22"/>
      <c r="BJ7" s="22"/>
      <c r="BK7" s="22"/>
      <c r="BL7" s="22"/>
      <c r="BM7" s="22"/>
      <c r="BN7" s="22"/>
    </row>
    <row r="8" spans="6:67" x14ac:dyDescent="0.25">
      <c r="F8" s="21"/>
      <c r="G8" s="5"/>
      <c r="H8" s="5" t="s">
        <v>25</v>
      </c>
      <c r="I8" s="5"/>
      <c r="J8" s="5" t="s">
        <v>26</v>
      </c>
      <c r="K8" s="5" t="str">
        <f>TEXT(K9,"DDD")</f>
        <v>Tue</v>
      </c>
      <c r="L8" s="5" t="str">
        <f t="shared" ref="L8:AO8" si="0">TEXT(L9,"DDD")</f>
        <v>Wed</v>
      </c>
      <c r="M8" s="5" t="str">
        <f t="shared" si="0"/>
        <v>Thu</v>
      </c>
      <c r="N8" s="5" t="str">
        <f t="shared" si="0"/>
        <v>Fri</v>
      </c>
      <c r="O8" s="5" t="str">
        <f t="shared" si="0"/>
        <v>Sat</v>
      </c>
      <c r="P8" s="5" t="str">
        <f t="shared" si="0"/>
        <v>Sun</v>
      </c>
      <c r="Q8" s="5" t="str">
        <f t="shared" si="0"/>
        <v>Mon</v>
      </c>
      <c r="R8" s="5" t="str">
        <f t="shared" si="0"/>
        <v>Tue</v>
      </c>
      <c r="S8" s="5" t="str">
        <f t="shared" si="0"/>
        <v>Wed</v>
      </c>
      <c r="T8" s="5" t="str">
        <f t="shared" si="0"/>
        <v>Thu</v>
      </c>
      <c r="U8" s="5" t="str">
        <f t="shared" si="0"/>
        <v>Fri</v>
      </c>
      <c r="V8" s="5" t="str">
        <f t="shared" si="0"/>
        <v>Sat</v>
      </c>
      <c r="W8" s="5" t="str">
        <f t="shared" si="0"/>
        <v>Sun</v>
      </c>
      <c r="X8" s="5" t="str">
        <f t="shared" si="0"/>
        <v>Mon</v>
      </c>
      <c r="Y8" s="5" t="str">
        <f t="shared" si="0"/>
        <v>Tue</v>
      </c>
      <c r="Z8" s="5" t="str">
        <f t="shared" si="0"/>
        <v>Wed</v>
      </c>
      <c r="AA8" s="5" t="str">
        <f t="shared" si="0"/>
        <v>Thu</v>
      </c>
      <c r="AB8" s="5" t="str">
        <f t="shared" si="0"/>
        <v>Fri</v>
      </c>
      <c r="AC8" s="5" t="str">
        <f t="shared" si="0"/>
        <v>Sat</v>
      </c>
      <c r="AD8" s="5" t="str">
        <f t="shared" si="0"/>
        <v>Sun</v>
      </c>
      <c r="AE8" s="5" t="str">
        <f t="shared" si="0"/>
        <v>Mon</v>
      </c>
      <c r="AF8" s="5" t="str">
        <f t="shared" si="0"/>
        <v>Tue</v>
      </c>
      <c r="AG8" s="5" t="str">
        <f t="shared" si="0"/>
        <v>Wed</v>
      </c>
      <c r="AH8" s="5" t="str">
        <f t="shared" si="0"/>
        <v>Thu</v>
      </c>
      <c r="AI8" s="5" t="str">
        <f t="shared" si="0"/>
        <v>Fri</v>
      </c>
      <c r="AJ8" s="5" t="str">
        <f t="shared" si="0"/>
        <v>Sat</v>
      </c>
      <c r="AK8" s="5" t="str">
        <f t="shared" si="0"/>
        <v>Sun</v>
      </c>
      <c r="AL8" s="5" t="str">
        <f t="shared" si="0"/>
        <v>Mon</v>
      </c>
      <c r="AM8" s="5" t="str">
        <f t="shared" si="0"/>
        <v>Tue</v>
      </c>
      <c r="AN8" s="5" t="str">
        <f t="shared" si="0"/>
        <v>Wed</v>
      </c>
      <c r="AO8" s="5" t="str">
        <f t="shared" si="0"/>
        <v>Thu</v>
      </c>
      <c r="AP8" s="21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2"/>
      <c r="BI8" s="22"/>
      <c r="BJ8" s="22"/>
      <c r="BK8" s="22"/>
      <c r="BL8" s="22"/>
      <c r="BM8" s="22"/>
      <c r="BN8" s="22"/>
    </row>
    <row r="9" spans="6:67" ht="16.5" thickBot="1" x14ac:dyDescent="0.3">
      <c r="F9" s="21"/>
      <c r="G9" s="13" t="s">
        <v>0</v>
      </c>
      <c r="H9" s="13" t="s">
        <v>1</v>
      </c>
      <c r="I9" s="13" t="s">
        <v>2</v>
      </c>
      <c r="J9" s="57" t="s">
        <v>21</v>
      </c>
      <c r="K9" s="15">
        <f>H6</f>
        <v>45839</v>
      </c>
      <c r="L9" s="15">
        <f>IF(K9&lt;$M$6,K9+1,"")</f>
        <v>45840</v>
      </c>
      <c r="M9" s="15">
        <f t="shared" ref="M9:AO9" si="1">IF(L9&lt;$M$6,L9+1,"")</f>
        <v>45841</v>
      </c>
      <c r="N9" s="15">
        <f t="shared" si="1"/>
        <v>45842</v>
      </c>
      <c r="O9" s="15">
        <f t="shared" si="1"/>
        <v>45843</v>
      </c>
      <c r="P9" s="28">
        <f t="shared" si="1"/>
        <v>45844</v>
      </c>
      <c r="Q9" s="15">
        <f t="shared" si="1"/>
        <v>45845</v>
      </c>
      <c r="R9" s="15">
        <f t="shared" si="1"/>
        <v>45846</v>
      </c>
      <c r="S9" s="15">
        <f t="shared" si="1"/>
        <v>45847</v>
      </c>
      <c r="T9" s="15">
        <f t="shared" si="1"/>
        <v>45848</v>
      </c>
      <c r="U9" s="15">
        <f t="shared" si="1"/>
        <v>45849</v>
      </c>
      <c r="V9" s="15">
        <f t="shared" si="1"/>
        <v>45850</v>
      </c>
      <c r="W9" s="28">
        <f t="shared" si="1"/>
        <v>45851</v>
      </c>
      <c r="X9" s="15">
        <f t="shared" si="1"/>
        <v>45852</v>
      </c>
      <c r="Y9" s="15">
        <f t="shared" si="1"/>
        <v>45853</v>
      </c>
      <c r="Z9" s="15">
        <f t="shared" si="1"/>
        <v>45854</v>
      </c>
      <c r="AA9" s="15">
        <f t="shared" si="1"/>
        <v>45855</v>
      </c>
      <c r="AB9" s="15">
        <f t="shared" si="1"/>
        <v>45856</v>
      </c>
      <c r="AC9" s="15">
        <f t="shared" si="1"/>
        <v>45857</v>
      </c>
      <c r="AD9" s="28">
        <f t="shared" si="1"/>
        <v>45858</v>
      </c>
      <c r="AE9" s="15">
        <f t="shared" si="1"/>
        <v>45859</v>
      </c>
      <c r="AF9" s="15">
        <f t="shared" si="1"/>
        <v>45860</v>
      </c>
      <c r="AG9" s="15">
        <f t="shared" si="1"/>
        <v>45861</v>
      </c>
      <c r="AH9" s="15">
        <f t="shared" si="1"/>
        <v>45862</v>
      </c>
      <c r="AI9" s="15">
        <f t="shared" si="1"/>
        <v>45863</v>
      </c>
      <c r="AJ9" s="15">
        <f t="shared" si="1"/>
        <v>45864</v>
      </c>
      <c r="AK9" s="28">
        <f t="shared" si="1"/>
        <v>45865</v>
      </c>
      <c r="AL9" s="15">
        <f t="shared" si="1"/>
        <v>45866</v>
      </c>
      <c r="AM9" s="15">
        <f t="shared" si="1"/>
        <v>45867</v>
      </c>
      <c r="AN9" s="15">
        <f t="shared" si="1"/>
        <v>45868</v>
      </c>
      <c r="AO9" s="15">
        <f t="shared" si="1"/>
        <v>45869</v>
      </c>
      <c r="AP9" s="21"/>
      <c r="AQ9" s="24"/>
      <c r="AR9" s="18" t="s">
        <v>0</v>
      </c>
      <c r="AS9" s="18" t="s">
        <v>1</v>
      </c>
      <c r="AT9" s="18" t="s">
        <v>37</v>
      </c>
      <c r="AU9" s="18" t="s">
        <v>2</v>
      </c>
      <c r="AV9" s="18" t="s">
        <v>27</v>
      </c>
      <c r="AW9" s="18" t="s">
        <v>28</v>
      </c>
      <c r="AX9" s="18" t="s">
        <v>29</v>
      </c>
      <c r="AY9" s="18" t="s">
        <v>30</v>
      </c>
      <c r="AZ9" s="18" t="s">
        <v>26</v>
      </c>
      <c r="BA9" s="18" t="s">
        <v>31</v>
      </c>
      <c r="BB9" s="18" t="s">
        <v>32</v>
      </c>
      <c r="BC9" s="18" t="s">
        <v>33</v>
      </c>
      <c r="BD9" s="18" t="s">
        <v>34</v>
      </c>
      <c r="BE9" s="18" t="s">
        <v>35</v>
      </c>
      <c r="BF9" s="18" t="s">
        <v>36</v>
      </c>
      <c r="BG9" s="24"/>
      <c r="BH9" s="22"/>
      <c r="BI9" s="22"/>
      <c r="BJ9" s="22"/>
      <c r="BK9" s="22"/>
      <c r="BL9" s="22"/>
      <c r="BM9" s="22"/>
      <c r="BN9" s="22"/>
    </row>
    <row r="10" spans="6:67" x14ac:dyDescent="0.25">
      <c r="F10" s="21"/>
      <c r="G10" s="6">
        <v>1</v>
      </c>
      <c r="H10" s="7" t="s">
        <v>3</v>
      </c>
      <c r="I10" s="7">
        <v>1001</v>
      </c>
      <c r="J10" s="58">
        <f>COUNTIF($J$8:$AO$8,"SUN")</f>
        <v>4</v>
      </c>
      <c r="K10" s="52" t="s">
        <v>38</v>
      </c>
      <c r="L10" s="52" t="s">
        <v>38</v>
      </c>
      <c r="M10" s="52" t="s">
        <v>38</v>
      </c>
      <c r="N10" s="52" t="s">
        <v>38</v>
      </c>
      <c r="O10" s="52" t="s">
        <v>40</v>
      </c>
      <c r="P10" s="43" t="str">
        <f t="shared" ref="P10:AK20" si="2">IF(P$8="SUN","WO","")</f>
        <v>WO</v>
      </c>
      <c r="Q10" s="52" t="s">
        <v>38</v>
      </c>
      <c r="R10" s="51" t="s">
        <v>38</v>
      </c>
      <c r="S10" s="51" t="s">
        <v>38</v>
      </c>
      <c r="T10" s="51" t="s">
        <v>38</v>
      </c>
      <c r="U10" s="51" t="s">
        <v>38</v>
      </c>
      <c r="V10" s="51" t="s">
        <v>39</v>
      </c>
      <c r="W10" s="43" t="str">
        <f t="shared" ref="P10:W29" si="3">IF(W$8="SUN","WO","")</f>
        <v>WO</v>
      </c>
      <c r="X10" s="52" t="s">
        <v>38</v>
      </c>
      <c r="Y10" s="51" t="s">
        <v>38</v>
      </c>
      <c r="Z10" s="51" t="s">
        <v>38</v>
      </c>
      <c r="AA10" s="51" t="s">
        <v>38</v>
      </c>
      <c r="AB10" s="51" t="s">
        <v>38</v>
      </c>
      <c r="AC10" s="51" t="s">
        <v>39</v>
      </c>
      <c r="AD10" s="43" t="str">
        <f t="shared" si="2"/>
        <v>WO</v>
      </c>
      <c r="AE10" s="51" t="s">
        <v>38</v>
      </c>
      <c r="AF10" s="51" t="s">
        <v>38</v>
      </c>
      <c r="AG10" s="51" t="s">
        <v>39</v>
      </c>
      <c r="AH10" s="51" t="s">
        <v>38</v>
      </c>
      <c r="AI10" s="51" t="s">
        <v>38</v>
      </c>
      <c r="AJ10" s="51" t="s">
        <v>38</v>
      </c>
      <c r="AK10" s="43" t="str">
        <f t="shared" si="2"/>
        <v>WO</v>
      </c>
      <c r="AL10" s="52" t="s">
        <v>38</v>
      </c>
      <c r="AM10" s="52" t="s">
        <v>38</v>
      </c>
      <c r="AN10" s="52" t="s">
        <v>38</v>
      </c>
      <c r="AO10" s="54" t="s">
        <v>40</v>
      </c>
      <c r="AP10" s="21"/>
      <c r="AQ10" s="24"/>
      <c r="AR10" s="10">
        <v>1</v>
      </c>
      <c r="AS10" s="9" t="s">
        <v>3</v>
      </c>
      <c r="AT10" s="9" t="str">
        <f t="shared" ref="AT10:AT29" si="4">$J$6</f>
        <v>July</v>
      </c>
      <c r="AU10" s="9">
        <v>1001</v>
      </c>
      <c r="AV10" s="9">
        <f t="shared" ref="AV10:AV29" si="5">COUNTIF($K10:$AO10,"P")</f>
        <v>22</v>
      </c>
      <c r="AW10" s="9">
        <f t="shared" ref="AW10:AW29" si="6">COUNTIF($K10:$AO10,"A")</f>
        <v>3</v>
      </c>
      <c r="AX10" s="9">
        <f t="shared" ref="AX10:AX29" si="7">COUNTIF($K10:$AO10,"L")</f>
        <v>2</v>
      </c>
      <c r="AY10" s="16">
        <f t="shared" ref="AY10:AY29" si="8">$J$10</f>
        <v>4</v>
      </c>
      <c r="AZ10" s="16">
        <f t="shared" ref="AZ10:AZ29" si="9">$I$6</f>
        <v>31</v>
      </c>
      <c r="BA10" s="16">
        <f>JulReport[[#This Row],[Days]]-JulReport[[#This Row],[Absent]]</f>
        <v>28</v>
      </c>
      <c r="BB10" s="19">
        <v>10000</v>
      </c>
      <c r="BC10" s="20">
        <f>JulReport[[#This Row],[Salary ]]/JulReport[[#This Row],[Days]]</f>
        <v>322.58064516129031</v>
      </c>
      <c r="BD10" s="20">
        <f>JulReport[[#This Row],[Per Day Salary ]]*JulReport[[#This Row],[Absent]]</f>
        <v>967.74193548387098</v>
      </c>
      <c r="BE10" s="20">
        <f>JulReport[[#This Row],[Salary ]]-JulReport[[#This Row],[Deduction]]</f>
        <v>9032.2580645161288</v>
      </c>
      <c r="BF10" s="20"/>
      <c r="BG10" s="24"/>
      <c r="BH10" s="22"/>
      <c r="BI10" s="22"/>
      <c r="BJ10" s="22"/>
      <c r="BK10" s="22"/>
      <c r="BL10" s="22"/>
      <c r="BM10" s="22"/>
      <c r="BN10" s="22"/>
    </row>
    <row r="11" spans="6:67" x14ac:dyDescent="0.25">
      <c r="F11" s="21"/>
      <c r="G11" s="8">
        <v>2</v>
      </c>
      <c r="H11" s="9" t="s">
        <v>4</v>
      </c>
      <c r="I11" s="10">
        <v>1002</v>
      </c>
      <c r="J11" s="47">
        <f t="shared" ref="J11:J29" si="10">COUNTIF($J$8:$AO$8,"SUN")</f>
        <v>4</v>
      </c>
      <c r="K11" s="16" t="s">
        <v>38</v>
      </c>
      <c r="L11" s="16" t="s">
        <v>38</v>
      </c>
      <c r="M11" s="16" t="s">
        <v>38</v>
      </c>
      <c r="N11" s="16" t="s">
        <v>38</v>
      </c>
      <c r="O11" s="16" t="s">
        <v>38</v>
      </c>
      <c r="P11" s="44" t="str">
        <f t="shared" si="3"/>
        <v>WO</v>
      </c>
      <c r="Q11" s="16" t="s">
        <v>39</v>
      </c>
      <c r="R11" s="10" t="s">
        <v>38</v>
      </c>
      <c r="S11" s="10" t="s">
        <v>38</v>
      </c>
      <c r="T11" s="10" t="s">
        <v>38</v>
      </c>
      <c r="U11" s="10" t="s">
        <v>38</v>
      </c>
      <c r="V11" s="16" t="s">
        <v>38</v>
      </c>
      <c r="W11" s="44" t="str">
        <f t="shared" si="3"/>
        <v>WO</v>
      </c>
      <c r="X11" s="16" t="s">
        <v>39</v>
      </c>
      <c r="Y11" s="10" t="s">
        <v>38</v>
      </c>
      <c r="Z11" s="10" t="s">
        <v>38</v>
      </c>
      <c r="AA11" s="10" t="s">
        <v>38</v>
      </c>
      <c r="AB11" s="10" t="s">
        <v>38</v>
      </c>
      <c r="AC11" s="16" t="s">
        <v>38</v>
      </c>
      <c r="AD11" s="44" t="str">
        <f t="shared" si="2"/>
        <v>WO</v>
      </c>
      <c r="AE11" s="10" t="s">
        <v>38</v>
      </c>
      <c r="AF11" s="10" t="s">
        <v>38</v>
      </c>
      <c r="AG11" s="10" t="s">
        <v>38</v>
      </c>
      <c r="AH11" s="10" t="s">
        <v>38</v>
      </c>
      <c r="AI11" s="10" t="s">
        <v>39</v>
      </c>
      <c r="AJ11" s="10" t="s">
        <v>38</v>
      </c>
      <c r="AK11" s="44" t="str">
        <f t="shared" si="2"/>
        <v>WO</v>
      </c>
      <c r="AL11" s="16" t="s">
        <v>39</v>
      </c>
      <c r="AM11" s="16" t="s">
        <v>38</v>
      </c>
      <c r="AN11" s="16" t="s">
        <v>38</v>
      </c>
      <c r="AO11" s="17" t="s">
        <v>38</v>
      </c>
      <c r="AP11" s="21"/>
      <c r="AQ11" s="24"/>
      <c r="AR11" s="10">
        <v>2</v>
      </c>
      <c r="AS11" s="9" t="s">
        <v>4</v>
      </c>
      <c r="AT11" s="9" t="str">
        <f t="shared" si="4"/>
        <v>July</v>
      </c>
      <c r="AU11" s="9">
        <v>1002</v>
      </c>
      <c r="AV11" s="9">
        <f t="shared" si="5"/>
        <v>23</v>
      </c>
      <c r="AW11" s="16">
        <f t="shared" si="6"/>
        <v>4</v>
      </c>
      <c r="AX11" s="16">
        <f t="shared" si="7"/>
        <v>0</v>
      </c>
      <c r="AY11" s="16">
        <f t="shared" si="8"/>
        <v>4</v>
      </c>
      <c r="AZ11" s="16">
        <f t="shared" si="9"/>
        <v>31</v>
      </c>
      <c r="BA11" s="16">
        <f>JulReport[[#This Row],[Days]]-JulReport[[#This Row],[Absent]]</f>
        <v>27</v>
      </c>
      <c r="BB11" s="19">
        <v>20000</v>
      </c>
      <c r="BC11" s="20">
        <f>JulReport[[#This Row],[Salary ]]/JulReport[[#This Row],[Days]]</f>
        <v>645.16129032258061</v>
      </c>
      <c r="BD11" s="20">
        <f>JulReport[[#This Row],[Per Day Salary ]]*JulReport[[#This Row],[Absent]]</f>
        <v>2580.6451612903224</v>
      </c>
      <c r="BE11" s="20">
        <f>JulReport[[#This Row],[Salary ]]-JulReport[[#This Row],[Deduction]]</f>
        <v>17419.354838709678</v>
      </c>
      <c r="BF11" s="20"/>
      <c r="BG11" s="24"/>
      <c r="BH11" s="22"/>
      <c r="BI11" s="22"/>
      <c r="BJ11" s="22"/>
      <c r="BK11" s="22"/>
      <c r="BL11" s="22"/>
      <c r="BM11" s="22"/>
      <c r="BN11" s="22"/>
    </row>
    <row r="12" spans="6:67" x14ac:dyDescent="0.25">
      <c r="F12" s="21"/>
      <c r="G12" s="8">
        <v>3</v>
      </c>
      <c r="H12" s="10" t="s">
        <v>5</v>
      </c>
      <c r="I12" s="10">
        <v>1003</v>
      </c>
      <c r="J12" s="47">
        <f t="shared" si="10"/>
        <v>4</v>
      </c>
      <c r="K12" s="16" t="s">
        <v>39</v>
      </c>
      <c r="L12" s="16" t="s">
        <v>38</v>
      </c>
      <c r="M12" s="16" t="s">
        <v>38</v>
      </c>
      <c r="N12" s="16" t="s">
        <v>38</v>
      </c>
      <c r="O12" s="16" t="s">
        <v>38</v>
      </c>
      <c r="P12" s="44" t="str">
        <f t="shared" si="2"/>
        <v>WO</v>
      </c>
      <c r="Q12" s="16" t="s">
        <v>38</v>
      </c>
      <c r="R12" s="10" t="s">
        <v>38</v>
      </c>
      <c r="S12" s="10" t="s">
        <v>40</v>
      </c>
      <c r="T12" s="10" t="s">
        <v>38</v>
      </c>
      <c r="U12" s="10" t="s">
        <v>38</v>
      </c>
      <c r="V12" s="16" t="s">
        <v>38</v>
      </c>
      <c r="W12" s="44" t="str">
        <f t="shared" si="2"/>
        <v>WO</v>
      </c>
      <c r="X12" s="16" t="s">
        <v>38</v>
      </c>
      <c r="Y12" s="10" t="s">
        <v>38</v>
      </c>
      <c r="Z12" s="10" t="s">
        <v>40</v>
      </c>
      <c r="AA12" s="10" t="s">
        <v>38</v>
      </c>
      <c r="AB12" s="10" t="s">
        <v>38</v>
      </c>
      <c r="AC12" s="16" t="s">
        <v>38</v>
      </c>
      <c r="AD12" s="44" t="str">
        <f t="shared" si="2"/>
        <v>WO</v>
      </c>
      <c r="AE12" s="10" t="s">
        <v>38</v>
      </c>
      <c r="AF12" s="10" t="s">
        <v>40</v>
      </c>
      <c r="AG12" s="10" t="s">
        <v>38</v>
      </c>
      <c r="AH12" s="10" t="s">
        <v>38</v>
      </c>
      <c r="AI12" s="10" t="s">
        <v>38</v>
      </c>
      <c r="AJ12" s="10" t="s">
        <v>38</v>
      </c>
      <c r="AK12" s="44" t="str">
        <f t="shared" si="2"/>
        <v>WO</v>
      </c>
      <c r="AL12" s="16" t="s">
        <v>38</v>
      </c>
      <c r="AM12" s="16" t="s">
        <v>38</v>
      </c>
      <c r="AN12" s="16" t="s">
        <v>38</v>
      </c>
      <c r="AO12" s="17" t="s">
        <v>38</v>
      </c>
      <c r="AP12" s="21"/>
      <c r="AQ12" s="24"/>
      <c r="AR12" s="10">
        <v>3</v>
      </c>
      <c r="AS12" s="10" t="s">
        <v>5</v>
      </c>
      <c r="AT12" s="10" t="str">
        <f t="shared" si="4"/>
        <v>July</v>
      </c>
      <c r="AU12" s="10">
        <v>1003</v>
      </c>
      <c r="AV12" s="9">
        <f t="shared" si="5"/>
        <v>23</v>
      </c>
      <c r="AW12" s="16">
        <f t="shared" si="6"/>
        <v>1</v>
      </c>
      <c r="AX12" s="16">
        <f t="shared" si="7"/>
        <v>3</v>
      </c>
      <c r="AY12" s="16">
        <f t="shared" si="8"/>
        <v>4</v>
      </c>
      <c r="AZ12" s="16">
        <f t="shared" si="9"/>
        <v>31</v>
      </c>
      <c r="BA12" s="16">
        <f>JulReport[[#This Row],[Days]]-JulReport[[#This Row],[Absent]]</f>
        <v>30</v>
      </c>
      <c r="BB12" s="19">
        <v>30000</v>
      </c>
      <c r="BC12" s="20">
        <f>JulReport[[#This Row],[Salary ]]/JulReport[[#This Row],[Days]]</f>
        <v>967.74193548387098</v>
      </c>
      <c r="BD12" s="20">
        <f>JulReport[[#This Row],[Per Day Salary ]]*JulReport[[#This Row],[Absent]]</f>
        <v>967.74193548387098</v>
      </c>
      <c r="BE12" s="20">
        <f>JulReport[[#This Row],[Salary ]]-JulReport[[#This Row],[Deduction]]</f>
        <v>29032.258064516129</v>
      </c>
      <c r="BF12" s="20"/>
      <c r="BG12" s="24"/>
      <c r="BH12" s="22"/>
      <c r="BI12" s="22"/>
      <c r="BJ12" s="22"/>
      <c r="BK12" s="22"/>
      <c r="BL12" s="22"/>
      <c r="BM12" s="22"/>
      <c r="BN12" s="22"/>
    </row>
    <row r="13" spans="6:67" x14ac:dyDescent="0.25">
      <c r="F13" s="21"/>
      <c r="G13" s="8">
        <v>4</v>
      </c>
      <c r="H13" s="10" t="s">
        <v>6</v>
      </c>
      <c r="I13" s="10">
        <v>1004</v>
      </c>
      <c r="J13" s="47">
        <f t="shared" si="10"/>
        <v>4</v>
      </c>
      <c r="K13" s="16" t="s">
        <v>38</v>
      </c>
      <c r="L13" s="16" t="s">
        <v>38</v>
      </c>
      <c r="M13" s="16" t="s">
        <v>38</v>
      </c>
      <c r="N13" s="16" t="s">
        <v>38</v>
      </c>
      <c r="O13" s="16" t="s">
        <v>38</v>
      </c>
      <c r="P13" s="44" t="str">
        <f t="shared" si="2"/>
        <v>WO</v>
      </c>
      <c r="Q13" s="16" t="s">
        <v>38</v>
      </c>
      <c r="R13" s="10" t="s">
        <v>38</v>
      </c>
      <c r="S13" s="10" t="s">
        <v>38</v>
      </c>
      <c r="T13" s="10" t="s">
        <v>38</v>
      </c>
      <c r="U13" s="10" t="s">
        <v>38</v>
      </c>
      <c r="V13" s="16" t="s">
        <v>38</v>
      </c>
      <c r="W13" s="44" t="str">
        <f t="shared" si="2"/>
        <v>WO</v>
      </c>
      <c r="X13" s="16" t="s">
        <v>38</v>
      </c>
      <c r="Y13" s="10" t="s">
        <v>38</v>
      </c>
      <c r="Z13" s="10" t="s">
        <v>38</v>
      </c>
      <c r="AA13" s="10" t="s">
        <v>38</v>
      </c>
      <c r="AB13" s="10" t="s">
        <v>38</v>
      </c>
      <c r="AC13" s="16" t="s">
        <v>38</v>
      </c>
      <c r="AD13" s="44" t="str">
        <f t="shared" si="2"/>
        <v>WO</v>
      </c>
      <c r="AE13" s="10" t="s">
        <v>38</v>
      </c>
      <c r="AF13" s="10" t="s">
        <v>38</v>
      </c>
      <c r="AG13" s="10" t="s">
        <v>38</v>
      </c>
      <c r="AH13" s="10" t="s">
        <v>38</v>
      </c>
      <c r="AI13" s="10" t="s">
        <v>38</v>
      </c>
      <c r="AJ13" s="10" t="s">
        <v>38</v>
      </c>
      <c r="AK13" s="44" t="str">
        <f t="shared" si="2"/>
        <v>WO</v>
      </c>
      <c r="AL13" s="16" t="s">
        <v>38</v>
      </c>
      <c r="AM13" s="16" t="s">
        <v>40</v>
      </c>
      <c r="AN13" s="16" t="s">
        <v>38</v>
      </c>
      <c r="AO13" s="17" t="s">
        <v>38</v>
      </c>
      <c r="AP13" s="21"/>
      <c r="AQ13" s="24"/>
      <c r="AR13" s="10">
        <v>4</v>
      </c>
      <c r="AS13" s="10" t="s">
        <v>6</v>
      </c>
      <c r="AT13" s="10" t="str">
        <f t="shared" si="4"/>
        <v>July</v>
      </c>
      <c r="AU13" s="10">
        <v>1004</v>
      </c>
      <c r="AV13" s="9">
        <f t="shared" si="5"/>
        <v>26</v>
      </c>
      <c r="AW13" s="16">
        <f t="shared" si="6"/>
        <v>0</v>
      </c>
      <c r="AX13" s="16">
        <f t="shared" si="7"/>
        <v>1</v>
      </c>
      <c r="AY13" s="16">
        <f t="shared" si="8"/>
        <v>4</v>
      </c>
      <c r="AZ13" s="16">
        <f t="shared" si="9"/>
        <v>31</v>
      </c>
      <c r="BA13" s="16">
        <f>JulReport[[#This Row],[Days]]-JulReport[[#This Row],[Absent]]</f>
        <v>31</v>
      </c>
      <c r="BB13" s="19">
        <v>45000</v>
      </c>
      <c r="BC13" s="20">
        <f>JulReport[[#This Row],[Salary ]]/JulReport[[#This Row],[Days]]</f>
        <v>1451.6129032258063</v>
      </c>
      <c r="BD13" s="20">
        <f>JulReport[[#This Row],[Per Day Salary ]]*JulReport[[#This Row],[Absent]]</f>
        <v>0</v>
      </c>
      <c r="BE13" s="20">
        <f>JulReport[[#This Row],[Salary ]]-JulReport[[#This Row],[Deduction]]</f>
        <v>45000</v>
      </c>
      <c r="BF13" s="20"/>
      <c r="BG13" s="24"/>
      <c r="BH13" s="22"/>
      <c r="BI13" s="22"/>
      <c r="BJ13" s="22"/>
      <c r="BK13" s="22"/>
      <c r="BL13" s="22"/>
      <c r="BM13" s="22"/>
      <c r="BN13" s="22"/>
    </row>
    <row r="14" spans="6:67" x14ac:dyDescent="0.25">
      <c r="F14" s="21"/>
      <c r="G14" s="8">
        <v>5</v>
      </c>
      <c r="H14" s="10" t="s">
        <v>7</v>
      </c>
      <c r="I14" s="10">
        <v>1005</v>
      </c>
      <c r="J14" s="47">
        <f t="shared" si="10"/>
        <v>4</v>
      </c>
      <c r="K14" s="16" t="s">
        <v>38</v>
      </c>
      <c r="L14" s="16" t="s">
        <v>38</v>
      </c>
      <c r="M14" s="16" t="s">
        <v>38</v>
      </c>
      <c r="N14" s="16" t="s">
        <v>38</v>
      </c>
      <c r="O14" s="16" t="s">
        <v>38</v>
      </c>
      <c r="P14" s="44" t="str">
        <f t="shared" si="2"/>
        <v>WO</v>
      </c>
      <c r="Q14" s="16" t="s">
        <v>38</v>
      </c>
      <c r="R14" s="10" t="s">
        <v>38</v>
      </c>
      <c r="S14" s="10" t="s">
        <v>38</v>
      </c>
      <c r="T14" s="10" t="s">
        <v>38</v>
      </c>
      <c r="U14" s="10" t="s">
        <v>39</v>
      </c>
      <c r="V14" s="16" t="s">
        <v>38</v>
      </c>
      <c r="W14" s="44" t="str">
        <f t="shared" si="2"/>
        <v>WO</v>
      </c>
      <c r="X14" s="16" t="s">
        <v>38</v>
      </c>
      <c r="Y14" s="10" t="s">
        <v>38</v>
      </c>
      <c r="Z14" s="10" t="s">
        <v>38</v>
      </c>
      <c r="AA14" s="10" t="s">
        <v>38</v>
      </c>
      <c r="AB14" s="10" t="s">
        <v>39</v>
      </c>
      <c r="AC14" s="16" t="s">
        <v>38</v>
      </c>
      <c r="AD14" s="44" t="str">
        <f t="shared" si="2"/>
        <v>WO</v>
      </c>
      <c r="AE14" s="10" t="s">
        <v>38</v>
      </c>
      <c r="AF14" s="10" t="s">
        <v>40</v>
      </c>
      <c r="AG14" s="10" t="s">
        <v>38</v>
      </c>
      <c r="AH14" s="10" t="s">
        <v>38</v>
      </c>
      <c r="AI14" s="10" t="s">
        <v>38</v>
      </c>
      <c r="AJ14" s="10" t="s">
        <v>38</v>
      </c>
      <c r="AK14" s="44" t="str">
        <f t="shared" si="2"/>
        <v>WO</v>
      </c>
      <c r="AL14" s="16" t="s">
        <v>40</v>
      </c>
      <c r="AM14" s="16" t="s">
        <v>38</v>
      </c>
      <c r="AN14" s="16" t="s">
        <v>38</v>
      </c>
      <c r="AO14" s="17" t="s">
        <v>38</v>
      </c>
      <c r="AP14" s="21"/>
      <c r="AQ14" s="24"/>
      <c r="AR14" s="10">
        <v>5</v>
      </c>
      <c r="AS14" s="10" t="s">
        <v>7</v>
      </c>
      <c r="AT14" s="10" t="str">
        <f t="shared" si="4"/>
        <v>July</v>
      </c>
      <c r="AU14" s="10">
        <v>1005</v>
      </c>
      <c r="AV14" s="9">
        <f t="shared" si="5"/>
        <v>23</v>
      </c>
      <c r="AW14" s="16">
        <f t="shared" si="6"/>
        <v>2</v>
      </c>
      <c r="AX14" s="16">
        <f t="shared" si="7"/>
        <v>2</v>
      </c>
      <c r="AY14" s="16">
        <f t="shared" si="8"/>
        <v>4</v>
      </c>
      <c r="AZ14" s="16">
        <f t="shared" si="9"/>
        <v>31</v>
      </c>
      <c r="BA14" s="16">
        <f>JulReport[[#This Row],[Days]]-JulReport[[#This Row],[Absent]]</f>
        <v>29</v>
      </c>
      <c r="BB14" s="19">
        <v>62000</v>
      </c>
      <c r="BC14" s="20">
        <f>JulReport[[#This Row],[Salary ]]/JulReport[[#This Row],[Days]]</f>
        <v>2000</v>
      </c>
      <c r="BD14" s="20">
        <f>JulReport[[#This Row],[Per Day Salary ]]*JulReport[[#This Row],[Absent]]</f>
        <v>4000</v>
      </c>
      <c r="BE14" s="20">
        <f>JulReport[[#This Row],[Salary ]]-JulReport[[#This Row],[Deduction]]</f>
        <v>58000</v>
      </c>
      <c r="BF14" s="20"/>
      <c r="BG14" s="24"/>
      <c r="BH14" s="22"/>
      <c r="BI14" s="22"/>
      <c r="BJ14" s="22"/>
      <c r="BK14" s="22"/>
      <c r="BL14" s="22"/>
      <c r="BM14" s="22"/>
      <c r="BN14" s="22"/>
    </row>
    <row r="15" spans="6:67" x14ac:dyDescent="0.25">
      <c r="F15" s="21"/>
      <c r="G15" s="8">
        <v>6</v>
      </c>
      <c r="H15" s="10" t="s">
        <v>8</v>
      </c>
      <c r="I15" s="10">
        <v>1006</v>
      </c>
      <c r="J15" s="47">
        <f t="shared" si="10"/>
        <v>4</v>
      </c>
      <c r="K15" s="16" t="s">
        <v>38</v>
      </c>
      <c r="L15" s="16" t="s">
        <v>38</v>
      </c>
      <c r="M15" s="16" t="s">
        <v>39</v>
      </c>
      <c r="N15" s="16" t="s">
        <v>38</v>
      </c>
      <c r="O15" s="16" t="s">
        <v>38</v>
      </c>
      <c r="P15" s="44" t="str">
        <f t="shared" si="2"/>
        <v>WO</v>
      </c>
      <c r="Q15" s="16" t="s">
        <v>38</v>
      </c>
      <c r="R15" s="10" t="s">
        <v>38</v>
      </c>
      <c r="S15" s="10" t="s">
        <v>38</v>
      </c>
      <c r="T15" s="10" t="s">
        <v>38</v>
      </c>
      <c r="U15" s="10" t="s">
        <v>38</v>
      </c>
      <c r="V15" s="16" t="s">
        <v>38</v>
      </c>
      <c r="W15" s="44" t="str">
        <f t="shared" si="2"/>
        <v>WO</v>
      </c>
      <c r="X15" s="16" t="s">
        <v>38</v>
      </c>
      <c r="Y15" s="10" t="s">
        <v>38</v>
      </c>
      <c r="Z15" s="10" t="s">
        <v>38</v>
      </c>
      <c r="AA15" s="10" t="s">
        <v>38</v>
      </c>
      <c r="AB15" s="10" t="s">
        <v>38</v>
      </c>
      <c r="AC15" s="16" t="s">
        <v>38</v>
      </c>
      <c r="AD15" s="44" t="str">
        <f t="shared" si="2"/>
        <v>WO</v>
      </c>
      <c r="AE15" s="10" t="s">
        <v>38</v>
      </c>
      <c r="AF15" s="10" t="s">
        <v>38</v>
      </c>
      <c r="AG15" s="10" t="s">
        <v>38</v>
      </c>
      <c r="AH15" s="10" t="s">
        <v>38</v>
      </c>
      <c r="AI15" s="10" t="s">
        <v>38</v>
      </c>
      <c r="AJ15" s="10" t="s">
        <v>39</v>
      </c>
      <c r="AK15" s="44" t="str">
        <f t="shared" si="2"/>
        <v>WO</v>
      </c>
      <c r="AL15" s="16" t="s">
        <v>38</v>
      </c>
      <c r="AM15" s="16" t="s">
        <v>38</v>
      </c>
      <c r="AN15" s="16" t="s">
        <v>38</v>
      </c>
      <c r="AO15" s="17" t="s">
        <v>38</v>
      </c>
      <c r="AP15" s="21"/>
      <c r="AQ15" s="24"/>
      <c r="AR15" s="10">
        <v>6</v>
      </c>
      <c r="AS15" s="10" t="s">
        <v>8</v>
      </c>
      <c r="AT15" s="10" t="str">
        <f t="shared" si="4"/>
        <v>July</v>
      </c>
      <c r="AU15" s="10">
        <v>1006</v>
      </c>
      <c r="AV15" s="9">
        <f t="shared" si="5"/>
        <v>25</v>
      </c>
      <c r="AW15" s="16">
        <f t="shared" si="6"/>
        <v>2</v>
      </c>
      <c r="AX15" s="16">
        <f t="shared" si="7"/>
        <v>0</v>
      </c>
      <c r="AY15" s="16">
        <f t="shared" si="8"/>
        <v>4</v>
      </c>
      <c r="AZ15" s="16">
        <f t="shared" si="9"/>
        <v>31</v>
      </c>
      <c r="BA15" s="16">
        <f>JulReport[[#This Row],[Days]]-JulReport[[#This Row],[Absent]]</f>
        <v>29</v>
      </c>
      <c r="BB15" s="19">
        <v>13000</v>
      </c>
      <c r="BC15" s="20">
        <f>JulReport[[#This Row],[Salary ]]/JulReport[[#This Row],[Days]]</f>
        <v>419.35483870967744</v>
      </c>
      <c r="BD15" s="20">
        <f>JulReport[[#This Row],[Per Day Salary ]]*JulReport[[#This Row],[Absent]]</f>
        <v>838.70967741935488</v>
      </c>
      <c r="BE15" s="20">
        <f>JulReport[[#This Row],[Salary ]]-JulReport[[#This Row],[Deduction]]</f>
        <v>12161.290322580646</v>
      </c>
      <c r="BF15" s="20"/>
      <c r="BG15" s="24"/>
      <c r="BH15" s="22"/>
      <c r="BI15" s="22"/>
      <c r="BJ15" s="22"/>
      <c r="BK15" s="22"/>
      <c r="BL15" s="22"/>
      <c r="BM15" s="22"/>
      <c r="BN15" s="22"/>
    </row>
    <row r="16" spans="6:67" x14ac:dyDescent="0.25">
      <c r="F16" s="21"/>
      <c r="G16" s="8">
        <v>7</v>
      </c>
      <c r="H16" s="10" t="s">
        <v>9</v>
      </c>
      <c r="I16" s="10">
        <v>1007</v>
      </c>
      <c r="J16" s="47">
        <f t="shared" si="10"/>
        <v>4</v>
      </c>
      <c r="K16" s="16" t="s">
        <v>38</v>
      </c>
      <c r="L16" s="16" t="s">
        <v>38</v>
      </c>
      <c r="M16" s="16" t="s">
        <v>38</v>
      </c>
      <c r="N16" s="16" t="s">
        <v>38</v>
      </c>
      <c r="O16" s="16" t="s">
        <v>38</v>
      </c>
      <c r="P16" s="44" t="str">
        <f t="shared" si="2"/>
        <v>WO</v>
      </c>
      <c r="Q16" s="16" t="s">
        <v>38</v>
      </c>
      <c r="R16" s="10" t="s">
        <v>39</v>
      </c>
      <c r="S16" s="10" t="s">
        <v>38</v>
      </c>
      <c r="T16" s="10" t="s">
        <v>38</v>
      </c>
      <c r="U16" s="10" t="s">
        <v>38</v>
      </c>
      <c r="V16" s="16" t="s">
        <v>38</v>
      </c>
      <c r="W16" s="44" t="str">
        <f t="shared" si="2"/>
        <v>WO</v>
      </c>
      <c r="X16" s="16" t="s">
        <v>38</v>
      </c>
      <c r="Y16" s="10" t="s">
        <v>39</v>
      </c>
      <c r="Z16" s="10" t="s">
        <v>38</v>
      </c>
      <c r="AA16" s="10" t="s">
        <v>38</v>
      </c>
      <c r="AB16" s="10" t="s">
        <v>38</v>
      </c>
      <c r="AC16" s="16" t="s">
        <v>38</v>
      </c>
      <c r="AD16" s="44" t="str">
        <f t="shared" si="2"/>
        <v>WO</v>
      </c>
      <c r="AE16" s="10" t="s">
        <v>38</v>
      </c>
      <c r="AF16" s="10" t="s">
        <v>39</v>
      </c>
      <c r="AG16" s="10" t="s">
        <v>38</v>
      </c>
      <c r="AH16" s="10" t="s">
        <v>38</v>
      </c>
      <c r="AI16" s="10" t="s">
        <v>38</v>
      </c>
      <c r="AJ16" s="10" t="s">
        <v>38</v>
      </c>
      <c r="AK16" s="44" t="str">
        <f t="shared" si="2"/>
        <v>WO</v>
      </c>
      <c r="AL16" s="16" t="s">
        <v>38</v>
      </c>
      <c r="AM16" s="16" t="s">
        <v>38</v>
      </c>
      <c r="AN16" s="16" t="s">
        <v>38</v>
      </c>
      <c r="AO16" s="17" t="s">
        <v>38</v>
      </c>
      <c r="AP16" s="21"/>
      <c r="AQ16" s="24"/>
      <c r="AR16" s="10">
        <v>7</v>
      </c>
      <c r="AS16" s="10" t="s">
        <v>9</v>
      </c>
      <c r="AT16" s="10" t="str">
        <f t="shared" si="4"/>
        <v>July</v>
      </c>
      <c r="AU16" s="10">
        <v>1007</v>
      </c>
      <c r="AV16" s="9">
        <f t="shared" si="5"/>
        <v>24</v>
      </c>
      <c r="AW16" s="16">
        <f t="shared" si="6"/>
        <v>3</v>
      </c>
      <c r="AX16" s="16">
        <f t="shared" si="7"/>
        <v>0</v>
      </c>
      <c r="AY16" s="16">
        <f t="shared" si="8"/>
        <v>4</v>
      </c>
      <c r="AZ16" s="16">
        <f t="shared" si="9"/>
        <v>31</v>
      </c>
      <c r="BA16" s="16">
        <f>JulReport[[#This Row],[Days]]-JulReport[[#This Row],[Absent]]</f>
        <v>28</v>
      </c>
      <c r="BB16" s="19">
        <v>48000</v>
      </c>
      <c r="BC16" s="20">
        <f>JulReport[[#This Row],[Salary ]]/JulReport[[#This Row],[Days]]</f>
        <v>1548.3870967741937</v>
      </c>
      <c r="BD16" s="20">
        <f>JulReport[[#This Row],[Per Day Salary ]]*JulReport[[#This Row],[Absent]]</f>
        <v>4645.1612903225814</v>
      </c>
      <c r="BE16" s="20">
        <f>JulReport[[#This Row],[Salary ]]-JulReport[[#This Row],[Deduction]]</f>
        <v>43354.838709677417</v>
      </c>
      <c r="BF16" s="20"/>
      <c r="BG16" s="24"/>
      <c r="BH16" s="22"/>
      <c r="BI16" s="22"/>
      <c r="BJ16" s="22"/>
      <c r="BK16" s="22"/>
      <c r="BL16" s="22"/>
      <c r="BM16" s="22"/>
      <c r="BN16" s="22"/>
    </row>
    <row r="17" spans="6:66" x14ac:dyDescent="0.25">
      <c r="F17" s="21"/>
      <c r="G17" s="8">
        <v>8</v>
      </c>
      <c r="H17" s="10" t="s">
        <v>10</v>
      </c>
      <c r="I17" s="10">
        <v>1008</v>
      </c>
      <c r="J17" s="47">
        <f t="shared" si="10"/>
        <v>4</v>
      </c>
      <c r="K17" s="16" t="s">
        <v>38</v>
      </c>
      <c r="L17" s="16" t="s">
        <v>40</v>
      </c>
      <c r="M17" s="16" t="s">
        <v>38</v>
      </c>
      <c r="N17" s="16" t="s">
        <v>39</v>
      </c>
      <c r="O17" s="16" t="s">
        <v>38</v>
      </c>
      <c r="P17" s="44" t="str">
        <f t="shared" si="2"/>
        <v>WO</v>
      </c>
      <c r="Q17" s="16" t="s">
        <v>38</v>
      </c>
      <c r="R17" s="10" t="s">
        <v>38</v>
      </c>
      <c r="S17" s="10" t="s">
        <v>38</v>
      </c>
      <c r="T17" s="10" t="s">
        <v>38</v>
      </c>
      <c r="U17" s="10" t="s">
        <v>38</v>
      </c>
      <c r="V17" s="16" t="s">
        <v>38</v>
      </c>
      <c r="W17" s="44" t="str">
        <f t="shared" si="2"/>
        <v>WO</v>
      </c>
      <c r="X17" s="16" t="s">
        <v>38</v>
      </c>
      <c r="Y17" s="10" t="s">
        <v>38</v>
      </c>
      <c r="Z17" s="10" t="s">
        <v>38</v>
      </c>
      <c r="AA17" s="10" t="s">
        <v>38</v>
      </c>
      <c r="AB17" s="10" t="s">
        <v>38</v>
      </c>
      <c r="AC17" s="16" t="s">
        <v>38</v>
      </c>
      <c r="AD17" s="44" t="str">
        <f t="shared" si="2"/>
        <v>WO</v>
      </c>
      <c r="AE17" s="10" t="s">
        <v>38</v>
      </c>
      <c r="AF17" s="10" t="s">
        <v>38</v>
      </c>
      <c r="AG17" s="10" t="s">
        <v>38</v>
      </c>
      <c r="AH17" s="10" t="s">
        <v>38</v>
      </c>
      <c r="AI17" s="10" t="s">
        <v>39</v>
      </c>
      <c r="AJ17" s="10" t="s">
        <v>38</v>
      </c>
      <c r="AK17" s="44" t="str">
        <f t="shared" si="2"/>
        <v>WO</v>
      </c>
      <c r="AL17" s="16" t="s">
        <v>38</v>
      </c>
      <c r="AM17" s="16" t="s">
        <v>38</v>
      </c>
      <c r="AN17" s="16" t="s">
        <v>38</v>
      </c>
      <c r="AO17" s="17" t="s">
        <v>38</v>
      </c>
      <c r="AP17" s="21"/>
      <c r="AQ17" s="24"/>
      <c r="AR17" s="10">
        <v>8</v>
      </c>
      <c r="AS17" s="10" t="s">
        <v>10</v>
      </c>
      <c r="AT17" s="10" t="str">
        <f t="shared" si="4"/>
        <v>July</v>
      </c>
      <c r="AU17" s="10">
        <v>1008</v>
      </c>
      <c r="AV17" s="9">
        <f t="shared" si="5"/>
        <v>24</v>
      </c>
      <c r="AW17" s="16">
        <f t="shared" si="6"/>
        <v>2</v>
      </c>
      <c r="AX17" s="16">
        <f t="shared" si="7"/>
        <v>1</v>
      </c>
      <c r="AY17" s="16">
        <f t="shared" si="8"/>
        <v>4</v>
      </c>
      <c r="AZ17" s="16">
        <f t="shared" si="9"/>
        <v>31</v>
      </c>
      <c r="BA17" s="16">
        <f>JulReport[[#This Row],[Days]]-JulReport[[#This Row],[Absent]]</f>
        <v>29</v>
      </c>
      <c r="BB17" s="19">
        <v>17000</v>
      </c>
      <c r="BC17" s="20">
        <f>JulReport[[#This Row],[Salary ]]/JulReport[[#This Row],[Days]]</f>
        <v>548.38709677419354</v>
      </c>
      <c r="BD17" s="20">
        <f>JulReport[[#This Row],[Per Day Salary ]]*JulReport[[#This Row],[Absent]]</f>
        <v>1096.7741935483871</v>
      </c>
      <c r="BE17" s="20">
        <f>JulReport[[#This Row],[Salary ]]-JulReport[[#This Row],[Deduction]]</f>
        <v>15903.225806451614</v>
      </c>
      <c r="BF17" s="20"/>
      <c r="BG17" s="24"/>
      <c r="BH17" s="22"/>
      <c r="BI17" s="22"/>
      <c r="BJ17" s="22"/>
      <c r="BK17" s="22"/>
      <c r="BL17" s="22"/>
      <c r="BM17" s="22"/>
      <c r="BN17" s="22"/>
    </row>
    <row r="18" spans="6:66" x14ac:dyDescent="0.25">
      <c r="F18" s="21"/>
      <c r="G18" s="8">
        <v>9</v>
      </c>
      <c r="H18" s="10" t="s">
        <v>11</v>
      </c>
      <c r="I18" s="10">
        <v>1009</v>
      </c>
      <c r="J18" s="47">
        <f t="shared" si="10"/>
        <v>4</v>
      </c>
      <c r="K18" s="16" t="s">
        <v>38</v>
      </c>
      <c r="L18" s="16" t="s">
        <v>38</v>
      </c>
      <c r="M18" s="16" t="s">
        <v>38</v>
      </c>
      <c r="N18" s="16" t="s">
        <v>38</v>
      </c>
      <c r="O18" s="16" t="s">
        <v>38</v>
      </c>
      <c r="P18" s="44" t="str">
        <f t="shared" si="2"/>
        <v>WO</v>
      </c>
      <c r="Q18" s="16" t="s">
        <v>38</v>
      </c>
      <c r="R18" s="10" t="s">
        <v>38</v>
      </c>
      <c r="S18" s="10" t="s">
        <v>38</v>
      </c>
      <c r="T18" s="10" t="s">
        <v>40</v>
      </c>
      <c r="U18" s="10" t="s">
        <v>38</v>
      </c>
      <c r="V18" s="16" t="s">
        <v>38</v>
      </c>
      <c r="W18" s="44" t="str">
        <f t="shared" si="2"/>
        <v>WO</v>
      </c>
      <c r="X18" s="16" t="s">
        <v>38</v>
      </c>
      <c r="Y18" s="10" t="s">
        <v>38</v>
      </c>
      <c r="Z18" s="10" t="s">
        <v>38</v>
      </c>
      <c r="AA18" s="10" t="s">
        <v>40</v>
      </c>
      <c r="AB18" s="10" t="s">
        <v>38</v>
      </c>
      <c r="AC18" s="16" t="s">
        <v>38</v>
      </c>
      <c r="AD18" s="44" t="str">
        <f t="shared" si="2"/>
        <v>WO</v>
      </c>
      <c r="AE18" s="10" t="s">
        <v>38</v>
      </c>
      <c r="AF18" s="10" t="s">
        <v>38</v>
      </c>
      <c r="AG18" s="10" t="s">
        <v>38</v>
      </c>
      <c r="AH18" s="10" t="s">
        <v>38</v>
      </c>
      <c r="AI18" s="10" t="s">
        <v>38</v>
      </c>
      <c r="AJ18" s="10" t="s">
        <v>38</v>
      </c>
      <c r="AK18" s="44" t="str">
        <f t="shared" si="2"/>
        <v>WO</v>
      </c>
      <c r="AL18" s="16" t="s">
        <v>38</v>
      </c>
      <c r="AM18" s="16" t="s">
        <v>38</v>
      </c>
      <c r="AN18" s="16" t="s">
        <v>38</v>
      </c>
      <c r="AO18" s="17" t="s">
        <v>38</v>
      </c>
      <c r="AP18" s="21"/>
      <c r="AQ18" s="24"/>
      <c r="AR18" s="10">
        <v>9</v>
      </c>
      <c r="AS18" s="10" t="s">
        <v>11</v>
      </c>
      <c r="AT18" s="10" t="str">
        <f t="shared" si="4"/>
        <v>July</v>
      </c>
      <c r="AU18" s="10">
        <v>1009</v>
      </c>
      <c r="AV18" s="9">
        <f t="shared" si="5"/>
        <v>25</v>
      </c>
      <c r="AW18" s="16">
        <f t="shared" si="6"/>
        <v>0</v>
      </c>
      <c r="AX18" s="16">
        <f t="shared" si="7"/>
        <v>2</v>
      </c>
      <c r="AY18" s="16">
        <f t="shared" si="8"/>
        <v>4</v>
      </c>
      <c r="AZ18" s="16">
        <f t="shared" si="9"/>
        <v>31</v>
      </c>
      <c r="BA18" s="16">
        <f>JulReport[[#This Row],[Days]]-JulReport[[#This Row],[Absent]]</f>
        <v>31</v>
      </c>
      <c r="BB18" s="19">
        <v>39000</v>
      </c>
      <c r="BC18" s="20">
        <f>JulReport[[#This Row],[Salary ]]/JulReport[[#This Row],[Days]]</f>
        <v>1258.0645161290322</v>
      </c>
      <c r="BD18" s="20">
        <f>JulReport[[#This Row],[Per Day Salary ]]*JulReport[[#This Row],[Absent]]</f>
        <v>0</v>
      </c>
      <c r="BE18" s="20">
        <f>JulReport[[#This Row],[Salary ]]-JulReport[[#This Row],[Deduction]]</f>
        <v>39000</v>
      </c>
      <c r="BF18" s="20"/>
      <c r="BG18" s="24"/>
      <c r="BH18" s="22"/>
      <c r="BI18" s="22"/>
      <c r="BJ18" s="22"/>
      <c r="BK18" s="22"/>
      <c r="BL18" s="22"/>
      <c r="BM18" s="22"/>
      <c r="BN18" s="22"/>
    </row>
    <row r="19" spans="6:66" x14ac:dyDescent="0.25">
      <c r="F19" s="21"/>
      <c r="G19" s="8">
        <v>10</v>
      </c>
      <c r="H19" s="10" t="s">
        <v>3</v>
      </c>
      <c r="I19" s="10">
        <v>1010</v>
      </c>
      <c r="J19" s="47">
        <f t="shared" si="10"/>
        <v>4</v>
      </c>
      <c r="K19" s="16" t="s">
        <v>38</v>
      </c>
      <c r="L19" s="16" t="s">
        <v>38</v>
      </c>
      <c r="M19" s="16" t="s">
        <v>38</v>
      </c>
      <c r="N19" s="16" t="s">
        <v>38</v>
      </c>
      <c r="O19" s="16" t="s">
        <v>38</v>
      </c>
      <c r="P19" s="44" t="str">
        <f t="shared" si="2"/>
        <v>WO</v>
      </c>
      <c r="Q19" s="16" t="s">
        <v>38</v>
      </c>
      <c r="R19" s="10" t="s">
        <v>38</v>
      </c>
      <c r="S19" s="10" t="s">
        <v>38</v>
      </c>
      <c r="T19" s="10" t="s">
        <v>38</v>
      </c>
      <c r="U19" s="10" t="s">
        <v>38</v>
      </c>
      <c r="V19" s="16" t="s">
        <v>38</v>
      </c>
      <c r="W19" s="44" t="str">
        <f t="shared" si="2"/>
        <v>WO</v>
      </c>
      <c r="X19" s="16" t="s">
        <v>38</v>
      </c>
      <c r="Y19" s="10" t="s">
        <v>38</v>
      </c>
      <c r="Z19" s="10" t="s">
        <v>38</v>
      </c>
      <c r="AA19" s="10" t="s">
        <v>38</v>
      </c>
      <c r="AB19" s="10" t="s">
        <v>38</v>
      </c>
      <c r="AC19" s="16" t="s">
        <v>38</v>
      </c>
      <c r="AD19" s="44" t="str">
        <f t="shared" si="2"/>
        <v>WO</v>
      </c>
      <c r="AE19" s="10" t="s">
        <v>39</v>
      </c>
      <c r="AF19" s="10" t="s">
        <v>38</v>
      </c>
      <c r="AG19" s="10" t="s">
        <v>38</v>
      </c>
      <c r="AH19" s="10" t="s">
        <v>38</v>
      </c>
      <c r="AI19" s="10" t="s">
        <v>38</v>
      </c>
      <c r="AJ19" s="10" t="s">
        <v>38</v>
      </c>
      <c r="AK19" s="44" t="str">
        <f t="shared" si="2"/>
        <v>WO</v>
      </c>
      <c r="AL19" s="16" t="s">
        <v>38</v>
      </c>
      <c r="AM19" s="16" t="s">
        <v>38</v>
      </c>
      <c r="AN19" s="16" t="s">
        <v>39</v>
      </c>
      <c r="AO19" s="17" t="s">
        <v>38</v>
      </c>
      <c r="AP19" s="21"/>
      <c r="AQ19" s="24"/>
      <c r="AR19" s="10">
        <v>10</v>
      </c>
      <c r="AS19" s="10" t="s">
        <v>3</v>
      </c>
      <c r="AT19" s="10" t="str">
        <f t="shared" si="4"/>
        <v>July</v>
      </c>
      <c r="AU19" s="10">
        <v>1010</v>
      </c>
      <c r="AV19" s="9">
        <f t="shared" si="5"/>
        <v>25</v>
      </c>
      <c r="AW19" s="16">
        <f t="shared" si="6"/>
        <v>2</v>
      </c>
      <c r="AX19" s="16">
        <f t="shared" si="7"/>
        <v>0</v>
      </c>
      <c r="AY19" s="16">
        <f t="shared" si="8"/>
        <v>4</v>
      </c>
      <c r="AZ19" s="16">
        <f t="shared" si="9"/>
        <v>31</v>
      </c>
      <c r="BA19" s="16">
        <f>JulReport[[#This Row],[Days]]-JulReport[[#This Row],[Absent]]</f>
        <v>29</v>
      </c>
      <c r="BB19" s="19">
        <v>72000</v>
      </c>
      <c r="BC19" s="20">
        <f>JulReport[[#This Row],[Salary ]]/JulReport[[#This Row],[Days]]</f>
        <v>2322.5806451612902</v>
      </c>
      <c r="BD19" s="20">
        <f>JulReport[[#This Row],[Per Day Salary ]]*JulReport[[#This Row],[Absent]]</f>
        <v>4645.1612903225805</v>
      </c>
      <c r="BE19" s="20">
        <f>JulReport[[#This Row],[Salary ]]-JulReport[[#This Row],[Deduction]]</f>
        <v>67354.838709677424</v>
      </c>
      <c r="BF19" s="20"/>
      <c r="BG19" s="24"/>
      <c r="BH19" s="22"/>
      <c r="BI19" s="22"/>
      <c r="BJ19" s="22"/>
      <c r="BK19" s="22"/>
      <c r="BL19" s="22"/>
      <c r="BM19" s="22"/>
      <c r="BN19" s="22"/>
    </row>
    <row r="20" spans="6:66" x14ac:dyDescent="0.25">
      <c r="F20" s="21"/>
      <c r="G20" s="8">
        <v>11</v>
      </c>
      <c r="H20" s="9" t="s">
        <v>12</v>
      </c>
      <c r="I20" s="10">
        <v>1011</v>
      </c>
      <c r="J20" s="47">
        <f t="shared" si="10"/>
        <v>4</v>
      </c>
      <c r="K20" s="16" t="s">
        <v>38</v>
      </c>
      <c r="L20" s="16" t="s">
        <v>38</v>
      </c>
      <c r="M20" s="16" t="s">
        <v>40</v>
      </c>
      <c r="N20" s="16" t="s">
        <v>38</v>
      </c>
      <c r="O20" s="16" t="s">
        <v>38</v>
      </c>
      <c r="P20" s="44" t="str">
        <f t="shared" si="2"/>
        <v>WO</v>
      </c>
      <c r="Q20" s="16" t="s">
        <v>38</v>
      </c>
      <c r="R20" s="10" t="s">
        <v>38</v>
      </c>
      <c r="S20" s="10" t="s">
        <v>38</v>
      </c>
      <c r="T20" s="10" t="s">
        <v>40</v>
      </c>
      <c r="U20" s="10" t="s">
        <v>38</v>
      </c>
      <c r="V20" s="16" t="s">
        <v>38</v>
      </c>
      <c r="W20" s="44" t="str">
        <f t="shared" si="2"/>
        <v>WO</v>
      </c>
      <c r="X20" s="16" t="s">
        <v>38</v>
      </c>
      <c r="Y20" s="10" t="s">
        <v>38</v>
      </c>
      <c r="Z20" s="10" t="s">
        <v>38</v>
      </c>
      <c r="AA20" s="10" t="s">
        <v>40</v>
      </c>
      <c r="AB20" s="10" t="s">
        <v>38</v>
      </c>
      <c r="AC20" s="16" t="s">
        <v>38</v>
      </c>
      <c r="AD20" s="44" t="str">
        <f t="shared" ref="AD20:AK20" si="11">IF(AD$8="SUN","WO","")</f>
        <v>WO</v>
      </c>
      <c r="AE20" s="10" t="s">
        <v>38</v>
      </c>
      <c r="AF20" s="10" t="s">
        <v>38</v>
      </c>
      <c r="AG20" s="10" t="s">
        <v>38</v>
      </c>
      <c r="AH20" s="10" t="s">
        <v>38</v>
      </c>
      <c r="AI20" s="10" t="s">
        <v>38</v>
      </c>
      <c r="AJ20" s="10" t="s">
        <v>38</v>
      </c>
      <c r="AK20" s="44" t="str">
        <f t="shared" si="11"/>
        <v>WO</v>
      </c>
      <c r="AL20" s="16" t="s">
        <v>38</v>
      </c>
      <c r="AM20" s="16" t="s">
        <v>38</v>
      </c>
      <c r="AN20" s="16" t="s">
        <v>38</v>
      </c>
      <c r="AO20" s="17" t="s">
        <v>38</v>
      </c>
      <c r="AP20" s="21"/>
      <c r="AQ20" s="24"/>
      <c r="AR20" s="10">
        <v>11</v>
      </c>
      <c r="AS20" s="9" t="s">
        <v>12</v>
      </c>
      <c r="AT20" s="9" t="str">
        <f t="shared" si="4"/>
        <v>July</v>
      </c>
      <c r="AU20" s="10">
        <v>1011</v>
      </c>
      <c r="AV20" s="9">
        <f t="shared" si="5"/>
        <v>24</v>
      </c>
      <c r="AW20" s="16">
        <f t="shared" si="6"/>
        <v>0</v>
      </c>
      <c r="AX20" s="16">
        <f t="shared" si="7"/>
        <v>3</v>
      </c>
      <c r="AY20" s="16">
        <f t="shared" si="8"/>
        <v>4</v>
      </c>
      <c r="AZ20" s="16">
        <f t="shared" si="9"/>
        <v>31</v>
      </c>
      <c r="BA20" s="16">
        <f>JulReport[[#This Row],[Days]]-JulReport[[#This Row],[Absent]]</f>
        <v>31</v>
      </c>
      <c r="BB20" s="19">
        <v>13000</v>
      </c>
      <c r="BC20" s="20">
        <f>JulReport[[#This Row],[Salary ]]/JulReport[[#This Row],[Days]]</f>
        <v>419.35483870967744</v>
      </c>
      <c r="BD20" s="20">
        <f>JulReport[[#This Row],[Per Day Salary ]]*JulReport[[#This Row],[Absent]]</f>
        <v>0</v>
      </c>
      <c r="BE20" s="20">
        <f>JulReport[[#This Row],[Salary ]]-JulReport[[#This Row],[Deduction]]</f>
        <v>13000</v>
      </c>
      <c r="BF20" s="20"/>
      <c r="BG20" s="24"/>
      <c r="BH20" s="22"/>
      <c r="BI20" s="22"/>
      <c r="BJ20" s="22"/>
      <c r="BK20" s="22"/>
      <c r="BL20" s="22"/>
      <c r="BM20" s="22"/>
      <c r="BN20" s="22"/>
    </row>
    <row r="21" spans="6:66" x14ac:dyDescent="0.25">
      <c r="F21" s="21"/>
      <c r="G21" s="8">
        <v>12</v>
      </c>
      <c r="H21" s="10" t="s">
        <v>13</v>
      </c>
      <c r="I21" s="10">
        <v>1012</v>
      </c>
      <c r="J21" s="47">
        <f t="shared" si="10"/>
        <v>4</v>
      </c>
      <c r="K21" s="16" t="s">
        <v>38</v>
      </c>
      <c r="L21" s="16" t="s">
        <v>38</v>
      </c>
      <c r="M21" s="16" t="s">
        <v>38</v>
      </c>
      <c r="N21" s="16" t="s">
        <v>38</v>
      </c>
      <c r="O21" s="16" t="s">
        <v>38</v>
      </c>
      <c r="P21" s="44" t="str">
        <f t="shared" si="3"/>
        <v>WO</v>
      </c>
      <c r="Q21" s="16" t="s">
        <v>38</v>
      </c>
      <c r="R21" s="10" t="s">
        <v>38</v>
      </c>
      <c r="S21" s="10" t="s">
        <v>38</v>
      </c>
      <c r="T21" s="10" t="s">
        <v>38</v>
      </c>
      <c r="U21" s="10" t="s">
        <v>38</v>
      </c>
      <c r="V21" s="16" t="s">
        <v>38</v>
      </c>
      <c r="W21" s="44" t="str">
        <f t="shared" si="3"/>
        <v>WO</v>
      </c>
      <c r="X21" s="16" t="s">
        <v>38</v>
      </c>
      <c r="Y21" s="10" t="s">
        <v>38</v>
      </c>
      <c r="Z21" s="10" t="s">
        <v>38</v>
      </c>
      <c r="AA21" s="10" t="s">
        <v>38</v>
      </c>
      <c r="AB21" s="10" t="s">
        <v>38</v>
      </c>
      <c r="AC21" s="16" t="s">
        <v>38</v>
      </c>
      <c r="AD21" s="44" t="str">
        <f t="shared" ref="AD21:AK29" si="12">IF(AD$8="SUN","WO","")</f>
        <v>WO</v>
      </c>
      <c r="AE21" s="10" t="s">
        <v>38</v>
      </c>
      <c r="AF21" s="10" t="s">
        <v>38</v>
      </c>
      <c r="AG21" s="10" t="s">
        <v>38</v>
      </c>
      <c r="AH21" s="10" t="s">
        <v>38</v>
      </c>
      <c r="AI21" s="10" t="s">
        <v>38</v>
      </c>
      <c r="AJ21" s="10" t="s">
        <v>38</v>
      </c>
      <c r="AK21" s="44" t="str">
        <f t="shared" si="12"/>
        <v>WO</v>
      </c>
      <c r="AL21" s="16" t="s">
        <v>38</v>
      </c>
      <c r="AM21" s="16" t="s">
        <v>38</v>
      </c>
      <c r="AN21" s="16" t="s">
        <v>38</v>
      </c>
      <c r="AO21" s="17" t="s">
        <v>38</v>
      </c>
      <c r="AP21" s="21"/>
      <c r="AQ21" s="24"/>
      <c r="AR21" s="10">
        <v>12</v>
      </c>
      <c r="AS21" s="10" t="s">
        <v>13</v>
      </c>
      <c r="AT21" s="10" t="str">
        <f t="shared" si="4"/>
        <v>July</v>
      </c>
      <c r="AU21" s="10">
        <v>1012</v>
      </c>
      <c r="AV21" s="9">
        <f t="shared" si="5"/>
        <v>27</v>
      </c>
      <c r="AW21" s="16">
        <f t="shared" si="6"/>
        <v>0</v>
      </c>
      <c r="AX21" s="16">
        <f t="shared" si="7"/>
        <v>0</v>
      </c>
      <c r="AY21" s="16">
        <f t="shared" si="8"/>
        <v>4</v>
      </c>
      <c r="AZ21" s="16">
        <f t="shared" si="9"/>
        <v>31</v>
      </c>
      <c r="BA21" s="16">
        <f>JulReport[[#This Row],[Days]]-JulReport[[#This Row],[Absent]]</f>
        <v>31</v>
      </c>
      <c r="BB21" s="19">
        <v>22000</v>
      </c>
      <c r="BC21" s="20">
        <f>JulReport[[#This Row],[Salary ]]/JulReport[[#This Row],[Days]]</f>
        <v>709.67741935483866</v>
      </c>
      <c r="BD21" s="20">
        <f>JulReport[[#This Row],[Per Day Salary ]]*JulReport[[#This Row],[Absent]]</f>
        <v>0</v>
      </c>
      <c r="BE21" s="20">
        <f>JulReport[[#This Row],[Salary ]]-JulReport[[#This Row],[Deduction]]</f>
        <v>22000</v>
      </c>
      <c r="BF21" s="20"/>
      <c r="BG21" s="24"/>
      <c r="BH21" s="22"/>
      <c r="BI21" s="22"/>
      <c r="BJ21" s="22"/>
      <c r="BK21" s="22"/>
      <c r="BL21" s="22"/>
      <c r="BM21" s="22"/>
      <c r="BN21" s="22"/>
    </row>
    <row r="22" spans="6:66" x14ac:dyDescent="0.25">
      <c r="F22" s="21"/>
      <c r="G22" s="8">
        <v>13</v>
      </c>
      <c r="H22" s="10" t="s">
        <v>14</v>
      </c>
      <c r="I22" s="10">
        <v>1013</v>
      </c>
      <c r="J22" s="47">
        <f t="shared" si="10"/>
        <v>4</v>
      </c>
      <c r="K22" s="16" t="s">
        <v>38</v>
      </c>
      <c r="L22" s="16" t="s">
        <v>38</v>
      </c>
      <c r="M22" s="16" t="s">
        <v>38</v>
      </c>
      <c r="N22" s="16" t="s">
        <v>38</v>
      </c>
      <c r="O22" s="16" t="s">
        <v>38</v>
      </c>
      <c r="P22" s="44" t="str">
        <f t="shared" si="3"/>
        <v>WO</v>
      </c>
      <c r="Q22" s="16" t="s">
        <v>40</v>
      </c>
      <c r="R22" s="10" t="s">
        <v>38</v>
      </c>
      <c r="S22" s="10" t="s">
        <v>38</v>
      </c>
      <c r="T22" s="10" t="s">
        <v>38</v>
      </c>
      <c r="U22" s="10" t="s">
        <v>38</v>
      </c>
      <c r="V22" s="16" t="s">
        <v>38</v>
      </c>
      <c r="W22" s="44" t="str">
        <f t="shared" si="3"/>
        <v>WO</v>
      </c>
      <c r="X22" s="16" t="s">
        <v>40</v>
      </c>
      <c r="Y22" s="10" t="s">
        <v>38</v>
      </c>
      <c r="Z22" s="10" t="s">
        <v>38</v>
      </c>
      <c r="AA22" s="10" t="s">
        <v>38</v>
      </c>
      <c r="AB22" s="10" t="s">
        <v>38</v>
      </c>
      <c r="AC22" s="16" t="s">
        <v>38</v>
      </c>
      <c r="AD22" s="44" t="str">
        <f t="shared" si="12"/>
        <v>WO</v>
      </c>
      <c r="AE22" s="10" t="s">
        <v>38</v>
      </c>
      <c r="AF22" s="10" t="s">
        <v>38</v>
      </c>
      <c r="AG22" s="10" t="s">
        <v>38</v>
      </c>
      <c r="AH22" s="10" t="s">
        <v>38</v>
      </c>
      <c r="AI22" s="10" t="s">
        <v>38</v>
      </c>
      <c r="AJ22" s="10" t="s">
        <v>38</v>
      </c>
      <c r="AK22" s="44" t="str">
        <f t="shared" si="12"/>
        <v>WO</v>
      </c>
      <c r="AL22" s="16" t="s">
        <v>38</v>
      </c>
      <c r="AM22" s="16" t="s">
        <v>38</v>
      </c>
      <c r="AN22" s="16" t="s">
        <v>38</v>
      </c>
      <c r="AO22" s="17" t="s">
        <v>38</v>
      </c>
      <c r="AP22" s="21"/>
      <c r="AQ22" s="24"/>
      <c r="AR22" s="10">
        <v>13</v>
      </c>
      <c r="AS22" s="10" t="s">
        <v>14</v>
      </c>
      <c r="AT22" s="10" t="str">
        <f t="shared" si="4"/>
        <v>July</v>
      </c>
      <c r="AU22" s="10">
        <v>1013</v>
      </c>
      <c r="AV22" s="9">
        <f t="shared" si="5"/>
        <v>25</v>
      </c>
      <c r="AW22" s="16">
        <f t="shared" si="6"/>
        <v>0</v>
      </c>
      <c r="AX22" s="16">
        <f t="shared" si="7"/>
        <v>2</v>
      </c>
      <c r="AY22" s="16">
        <f t="shared" si="8"/>
        <v>4</v>
      </c>
      <c r="AZ22" s="16">
        <f t="shared" si="9"/>
        <v>31</v>
      </c>
      <c r="BA22" s="16">
        <f>JulReport[[#This Row],[Days]]-JulReport[[#This Row],[Absent]]</f>
        <v>31</v>
      </c>
      <c r="BB22" s="19">
        <v>35000</v>
      </c>
      <c r="BC22" s="20">
        <f>JulReport[[#This Row],[Salary ]]/JulReport[[#This Row],[Days]]</f>
        <v>1129.0322580645161</v>
      </c>
      <c r="BD22" s="20">
        <f>JulReport[[#This Row],[Per Day Salary ]]*JulReport[[#This Row],[Absent]]</f>
        <v>0</v>
      </c>
      <c r="BE22" s="20">
        <f>JulReport[[#This Row],[Salary ]]-JulReport[[#This Row],[Deduction]]</f>
        <v>35000</v>
      </c>
      <c r="BF22" s="20"/>
      <c r="BG22" s="24"/>
      <c r="BH22" s="22"/>
      <c r="BI22" s="22"/>
      <c r="BJ22" s="22"/>
      <c r="BK22" s="22"/>
      <c r="BL22" s="22"/>
      <c r="BM22" s="22"/>
      <c r="BN22" s="22"/>
    </row>
    <row r="23" spans="6:66" x14ac:dyDescent="0.25">
      <c r="F23" s="21"/>
      <c r="G23" s="8">
        <v>14</v>
      </c>
      <c r="H23" s="10" t="s">
        <v>15</v>
      </c>
      <c r="I23" s="10">
        <v>1014</v>
      </c>
      <c r="J23" s="47">
        <f t="shared" si="10"/>
        <v>4</v>
      </c>
      <c r="K23" s="16" t="s">
        <v>38</v>
      </c>
      <c r="L23" s="16" t="s">
        <v>39</v>
      </c>
      <c r="M23" s="16" t="s">
        <v>38</v>
      </c>
      <c r="N23" s="16" t="s">
        <v>38</v>
      </c>
      <c r="O23" s="16" t="s">
        <v>38</v>
      </c>
      <c r="P23" s="44" t="str">
        <f t="shared" si="3"/>
        <v>WO</v>
      </c>
      <c r="Q23" s="16" t="s">
        <v>38</v>
      </c>
      <c r="R23" s="10" t="s">
        <v>38</v>
      </c>
      <c r="S23" s="10" t="s">
        <v>38</v>
      </c>
      <c r="T23" s="10" t="s">
        <v>38</v>
      </c>
      <c r="U23" s="10" t="s">
        <v>38</v>
      </c>
      <c r="V23" s="16" t="s">
        <v>38</v>
      </c>
      <c r="W23" s="44" t="str">
        <f t="shared" si="3"/>
        <v>WO</v>
      </c>
      <c r="X23" s="16" t="s">
        <v>38</v>
      </c>
      <c r="Y23" s="10" t="s">
        <v>38</v>
      </c>
      <c r="Z23" s="10" t="s">
        <v>38</v>
      </c>
      <c r="AA23" s="10" t="s">
        <v>38</v>
      </c>
      <c r="AB23" s="10" t="s">
        <v>38</v>
      </c>
      <c r="AC23" s="16" t="s">
        <v>38</v>
      </c>
      <c r="AD23" s="44" t="str">
        <f t="shared" si="12"/>
        <v>WO</v>
      </c>
      <c r="AE23" s="10" t="s">
        <v>40</v>
      </c>
      <c r="AF23" s="10" t="s">
        <v>38</v>
      </c>
      <c r="AG23" s="10" t="s">
        <v>38</v>
      </c>
      <c r="AH23" s="10" t="s">
        <v>39</v>
      </c>
      <c r="AI23" s="10" t="s">
        <v>38</v>
      </c>
      <c r="AJ23" s="10" t="s">
        <v>38</v>
      </c>
      <c r="AK23" s="44" t="str">
        <f t="shared" si="12"/>
        <v>WO</v>
      </c>
      <c r="AL23" s="16" t="s">
        <v>38</v>
      </c>
      <c r="AM23" s="16" t="s">
        <v>38</v>
      </c>
      <c r="AN23" s="16" t="s">
        <v>38</v>
      </c>
      <c r="AO23" s="17" t="s">
        <v>38</v>
      </c>
      <c r="AP23" s="21"/>
      <c r="AQ23" s="24"/>
      <c r="AR23" s="10">
        <v>14</v>
      </c>
      <c r="AS23" s="10" t="s">
        <v>15</v>
      </c>
      <c r="AT23" s="10" t="str">
        <f t="shared" si="4"/>
        <v>July</v>
      </c>
      <c r="AU23" s="10">
        <v>1014</v>
      </c>
      <c r="AV23" s="9">
        <f t="shared" si="5"/>
        <v>24</v>
      </c>
      <c r="AW23" s="16">
        <f t="shared" si="6"/>
        <v>2</v>
      </c>
      <c r="AX23" s="16">
        <f t="shared" si="7"/>
        <v>1</v>
      </c>
      <c r="AY23" s="16">
        <f t="shared" si="8"/>
        <v>4</v>
      </c>
      <c r="AZ23" s="16">
        <f t="shared" si="9"/>
        <v>31</v>
      </c>
      <c r="BA23" s="16">
        <f>JulReport[[#This Row],[Days]]-JulReport[[#This Row],[Absent]]</f>
        <v>29</v>
      </c>
      <c r="BB23" s="19">
        <v>14000</v>
      </c>
      <c r="BC23" s="20">
        <f>JulReport[[#This Row],[Salary ]]/JulReport[[#This Row],[Days]]</f>
        <v>451.61290322580646</v>
      </c>
      <c r="BD23" s="20">
        <f>JulReport[[#This Row],[Per Day Salary ]]*JulReport[[#This Row],[Absent]]</f>
        <v>903.22580645161293</v>
      </c>
      <c r="BE23" s="20">
        <f>JulReport[[#This Row],[Salary ]]-JulReport[[#This Row],[Deduction]]</f>
        <v>13096.774193548386</v>
      </c>
      <c r="BF23" s="20"/>
      <c r="BG23" s="24"/>
      <c r="BH23" s="22"/>
      <c r="BI23" s="22"/>
      <c r="BJ23" s="22"/>
      <c r="BK23" s="22"/>
      <c r="BL23" s="22"/>
      <c r="BM23" s="22"/>
      <c r="BN23" s="22"/>
    </row>
    <row r="24" spans="6:66" x14ac:dyDescent="0.25">
      <c r="F24" s="21"/>
      <c r="G24" s="8">
        <v>15</v>
      </c>
      <c r="H24" s="10" t="s">
        <v>16</v>
      </c>
      <c r="I24" s="10">
        <v>1015</v>
      </c>
      <c r="J24" s="47">
        <f t="shared" si="10"/>
        <v>4</v>
      </c>
      <c r="K24" s="16" t="s">
        <v>38</v>
      </c>
      <c r="L24" s="16" t="s">
        <v>38</v>
      </c>
      <c r="M24" s="16" t="s">
        <v>38</v>
      </c>
      <c r="N24" s="16" t="s">
        <v>39</v>
      </c>
      <c r="O24" s="16" t="s">
        <v>38</v>
      </c>
      <c r="P24" s="44" t="str">
        <f t="shared" si="3"/>
        <v>WO</v>
      </c>
      <c r="Q24" s="16" t="s">
        <v>38</v>
      </c>
      <c r="R24" s="10" t="s">
        <v>39</v>
      </c>
      <c r="S24" s="10" t="s">
        <v>38</v>
      </c>
      <c r="T24" s="10" t="s">
        <v>38</v>
      </c>
      <c r="U24" s="10" t="s">
        <v>38</v>
      </c>
      <c r="V24" s="16" t="s">
        <v>40</v>
      </c>
      <c r="W24" s="44" t="str">
        <f t="shared" si="3"/>
        <v>WO</v>
      </c>
      <c r="X24" s="16" t="s">
        <v>38</v>
      </c>
      <c r="Y24" s="10" t="s">
        <v>39</v>
      </c>
      <c r="Z24" s="10" t="s">
        <v>38</v>
      </c>
      <c r="AA24" s="10" t="s">
        <v>38</v>
      </c>
      <c r="AB24" s="10" t="s">
        <v>38</v>
      </c>
      <c r="AC24" s="16" t="s">
        <v>40</v>
      </c>
      <c r="AD24" s="44" t="str">
        <f t="shared" si="12"/>
        <v>WO</v>
      </c>
      <c r="AE24" s="10" t="s">
        <v>38</v>
      </c>
      <c r="AF24" s="10" t="s">
        <v>38</v>
      </c>
      <c r="AG24" s="10" t="s">
        <v>38</v>
      </c>
      <c r="AH24" s="10" t="s">
        <v>38</v>
      </c>
      <c r="AI24" s="10" t="s">
        <v>38</v>
      </c>
      <c r="AJ24" s="10" t="s">
        <v>38</v>
      </c>
      <c r="AK24" s="44" t="str">
        <f t="shared" si="12"/>
        <v>WO</v>
      </c>
      <c r="AL24" s="16" t="s">
        <v>38</v>
      </c>
      <c r="AM24" s="16" t="s">
        <v>39</v>
      </c>
      <c r="AN24" s="16" t="s">
        <v>38</v>
      </c>
      <c r="AO24" s="17" t="s">
        <v>38</v>
      </c>
      <c r="AP24" s="21"/>
      <c r="AQ24" s="24"/>
      <c r="AR24" s="10">
        <v>15</v>
      </c>
      <c r="AS24" s="10" t="s">
        <v>16</v>
      </c>
      <c r="AT24" s="10" t="str">
        <f t="shared" si="4"/>
        <v>July</v>
      </c>
      <c r="AU24" s="10">
        <v>1015</v>
      </c>
      <c r="AV24" s="9">
        <f t="shared" si="5"/>
        <v>21</v>
      </c>
      <c r="AW24" s="16">
        <f t="shared" si="6"/>
        <v>4</v>
      </c>
      <c r="AX24" s="16">
        <f t="shared" si="7"/>
        <v>2</v>
      </c>
      <c r="AY24" s="16">
        <f t="shared" si="8"/>
        <v>4</v>
      </c>
      <c r="AZ24" s="16">
        <f t="shared" si="9"/>
        <v>31</v>
      </c>
      <c r="BA24" s="16">
        <f>JulReport[[#This Row],[Days]]-JulReport[[#This Row],[Absent]]</f>
        <v>27</v>
      </c>
      <c r="BB24" s="19">
        <v>72000</v>
      </c>
      <c r="BC24" s="20">
        <f>JulReport[[#This Row],[Salary ]]/JulReport[[#This Row],[Days]]</f>
        <v>2322.5806451612902</v>
      </c>
      <c r="BD24" s="20">
        <f>JulReport[[#This Row],[Per Day Salary ]]*JulReport[[#This Row],[Absent]]</f>
        <v>9290.322580645161</v>
      </c>
      <c r="BE24" s="20">
        <f>JulReport[[#This Row],[Salary ]]-JulReport[[#This Row],[Deduction]]</f>
        <v>62709.677419354841</v>
      </c>
      <c r="BF24" s="20"/>
      <c r="BG24" s="24"/>
      <c r="BH24" s="22"/>
      <c r="BI24" s="22"/>
      <c r="BJ24" s="22"/>
      <c r="BK24" s="22"/>
      <c r="BL24" s="22"/>
      <c r="BM24" s="22"/>
      <c r="BN24" s="22"/>
    </row>
    <row r="25" spans="6:66" x14ac:dyDescent="0.25">
      <c r="F25" s="21"/>
      <c r="G25" s="8">
        <v>16</v>
      </c>
      <c r="H25" s="10" t="s">
        <v>17</v>
      </c>
      <c r="I25" s="10">
        <v>1016</v>
      </c>
      <c r="J25" s="47">
        <f t="shared" si="10"/>
        <v>4</v>
      </c>
      <c r="K25" s="16" t="s">
        <v>38</v>
      </c>
      <c r="L25" s="16" t="s">
        <v>38</v>
      </c>
      <c r="M25" s="16" t="s">
        <v>38</v>
      </c>
      <c r="N25" s="16" t="s">
        <v>38</v>
      </c>
      <c r="O25" s="16" t="s">
        <v>38</v>
      </c>
      <c r="P25" s="44" t="str">
        <f t="shared" si="3"/>
        <v>WO</v>
      </c>
      <c r="Q25" s="16" t="s">
        <v>38</v>
      </c>
      <c r="R25" s="10" t="s">
        <v>38</v>
      </c>
      <c r="S25" s="10" t="s">
        <v>38</v>
      </c>
      <c r="T25" s="10" t="s">
        <v>38</v>
      </c>
      <c r="U25" s="10" t="s">
        <v>38</v>
      </c>
      <c r="V25" s="16" t="s">
        <v>38</v>
      </c>
      <c r="W25" s="44" t="str">
        <f t="shared" si="3"/>
        <v>WO</v>
      </c>
      <c r="X25" s="16" t="s">
        <v>38</v>
      </c>
      <c r="Y25" s="10" t="s">
        <v>38</v>
      </c>
      <c r="Z25" s="10" t="s">
        <v>38</v>
      </c>
      <c r="AA25" s="10" t="s">
        <v>38</v>
      </c>
      <c r="AB25" s="10" t="s">
        <v>38</v>
      </c>
      <c r="AC25" s="16" t="s">
        <v>38</v>
      </c>
      <c r="AD25" s="44" t="str">
        <f t="shared" si="12"/>
        <v>WO</v>
      </c>
      <c r="AE25" s="10" t="s">
        <v>38</v>
      </c>
      <c r="AF25" s="10" t="s">
        <v>38</v>
      </c>
      <c r="AG25" s="10" t="s">
        <v>38</v>
      </c>
      <c r="AH25" s="10" t="s">
        <v>38</v>
      </c>
      <c r="AI25" s="10" t="s">
        <v>38</v>
      </c>
      <c r="AJ25" s="10" t="s">
        <v>38</v>
      </c>
      <c r="AK25" s="44" t="str">
        <f t="shared" si="12"/>
        <v>WO</v>
      </c>
      <c r="AL25" s="16" t="s">
        <v>38</v>
      </c>
      <c r="AM25" s="16" t="s">
        <v>38</v>
      </c>
      <c r="AN25" s="16" t="s">
        <v>38</v>
      </c>
      <c r="AO25" s="17" t="s">
        <v>38</v>
      </c>
      <c r="AP25" s="21"/>
      <c r="AQ25" s="24"/>
      <c r="AR25" s="10">
        <v>16</v>
      </c>
      <c r="AS25" s="10" t="s">
        <v>17</v>
      </c>
      <c r="AT25" s="10" t="str">
        <f t="shared" si="4"/>
        <v>July</v>
      </c>
      <c r="AU25" s="10">
        <v>1016</v>
      </c>
      <c r="AV25" s="9">
        <f t="shared" si="5"/>
        <v>27</v>
      </c>
      <c r="AW25" s="16">
        <f t="shared" si="6"/>
        <v>0</v>
      </c>
      <c r="AX25" s="16">
        <f t="shared" si="7"/>
        <v>0</v>
      </c>
      <c r="AY25" s="16">
        <f t="shared" si="8"/>
        <v>4</v>
      </c>
      <c r="AZ25" s="16">
        <f t="shared" si="9"/>
        <v>31</v>
      </c>
      <c r="BA25" s="16">
        <f>JulReport[[#This Row],[Days]]-JulReport[[#This Row],[Absent]]</f>
        <v>31</v>
      </c>
      <c r="BB25" s="19">
        <v>79000</v>
      </c>
      <c r="BC25" s="20">
        <f>JulReport[[#This Row],[Salary ]]/JulReport[[#This Row],[Days]]</f>
        <v>2548.3870967741937</v>
      </c>
      <c r="BD25" s="20">
        <f>JulReport[[#This Row],[Per Day Salary ]]*JulReport[[#This Row],[Absent]]</f>
        <v>0</v>
      </c>
      <c r="BE25" s="20">
        <f>JulReport[[#This Row],[Salary ]]-JulReport[[#This Row],[Deduction]]</f>
        <v>79000</v>
      </c>
      <c r="BF25" s="20"/>
      <c r="BG25" s="24"/>
      <c r="BH25" s="22"/>
      <c r="BI25" s="22"/>
      <c r="BJ25" s="22"/>
      <c r="BK25" s="22"/>
      <c r="BL25" s="22"/>
      <c r="BM25" s="22"/>
      <c r="BN25" s="22"/>
    </row>
    <row r="26" spans="6:66" x14ac:dyDescent="0.25">
      <c r="F26" s="21"/>
      <c r="G26" s="8">
        <v>17</v>
      </c>
      <c r="H26" s="10" t="s">
        <v>18</v>
      </c>
      <c r="I26" s="10">
        <v>1017</v>
      </c>
      <c r="J26" s="47">
        <f t="shared" si="10"/>
        <v>4</v>
      </c>
      <c r="K26" s="16" t="s">
        <v>38</v>
      </c>
      <c r="L26" s="16" t="s">
        <v>38</v>
      </c>
      <c r="M26" s="16" t="s">
        <v>38</v>
      </c>
      <c r="N26" s="16" t="s">
        <v>38</v>
      </c>
      <c r="O26" s="16" t="s">
        <v>40</v>
      </c>
      <c r="P26" s="44" t="str">
        <f t="shared" si="3"/>
        <v>WO</v>
      </c>
      <c r="Q26" s="16" t="s">
        <v>38</v>
      </c>
      <c r="R26" s="10" t="s">
        <v>38</v>
      </c>
      <c r="S26" s="10" t="s">
        <v>38</v>
      </c>
      <c r="T26" s="10" t="s">
        <v>38</v>
      </c>
      <c r="U26" s="10" t="s">
        <v>38</v>
      </c>
      <c r="V26" s="16" t="s">
        <v>38</v>
      </c>
      <c r="W26" s="44" t="str">
        <f t="shared" si="3"/>
        <v>WO</v>
      </c>
      <c r="X26" s="16" t="s">
        <v>38</v>
      </c>
      <c r="Y26" s="10" t="s">
        <v>38</v>
      </c>
      <c r="Z26" s="10" t="s">
        <v>38</v>
      </c>
      <c r="AA26" s="10" t="s">
        <v>38</v>
      </c>
      <c r="AB26" s="10" t="s">
        <v>38</v>
      </c>
      <c r="AC26" s="16" t="s">
        <v>38</v>
      </c>
      <c r="AD26" s="44" t="str">
        <f t="shared" si="12"/>
        <v>WO</v>
      </c>
      <c r="AE26" s="10" t="s">
        <v>38</v>
      </c>
      <c r="AF26" s="10" t="s">
        <v>38</v>
      </c>
      <c r="AG26" s="10" t="s">
        <v>38</v>
      </c>
      <c r="AH26" s="10" t="s">
        <v>38</v>
      </c>
      <c r="AI26" s="10" t="s">
        <v>38</v>
      </c>
      <c r="AJ26" s="10" t="s">
        <v>38</v>
      </c>
      <c r="AK26" s="44" t="str">
        <f t="shared" si="12"/>
        <v>WO</v>
      </c>
      <c r="AL26" s="16" t="s">
        <v>38</v>
      </c>
      <c r="AM26" s="16" t="s">
        <v>38</v>
      </c>
      <c r="AN26" s="16" t="s">
        <v>38</v>
      </c>
      <c r="AO26" s="17" t="s">
        <v>39</v>
      </c>
      <c r="AP26" s="21"/>
      <c r="AQ26" s="24"/>
      <c r="AR26" s="10">
        <v>17</v>
      </c>
      <c r="AS26" s="10" t="s">
        <v>18</v>
      </c>
      <c r="AT26" s="10" t="str">
        <f t="shared" si="4"/>
        <v>July</v>
      </c>
      <c r="AU26" s="10">
        <v>1017</v>
      </c>
      <c r="AV26" s="9">
        <f t="shared" si="5"/>
        <v>25</v>
      </c>
      <c r="AW26" s="16">
        <f t="shared" si="6"/>
        <v>1</v>
      </c>
      <c r="AX26" s="16">
        <f t="shared" si="7"/>
        <v>1</v>
      </c>
      <c r="AY26" s="16">
        <f t="shared" si="8"/>
        <v>4</v>
      </c>
      <c r="AZ26" s="16">
        <f t="shared" si="9"/>
        <v>31</v>
      </c>
      <c r="BA26" s="16">
        <f>JulReport[[#This Row],[Days]]-JulReport[[#This Row],[Absent]]</f>
        <v>30</v>
      </c>
      <c r="BB26" s="19">
        <v>33000</v>
      </c>
      <c r="BC26" s="20">
        <f>JulReport[[#This Row],[Salary ]]/JulReport[[#This Row],[Days]]</f>
        <v>1064.516129032258</v>
      </c>
      <c r="BD26" s="20">
        <f>JulReport[[#This Row],[Per Day Salary ]]*JulReport[[#This Row],[Absent]]</f>
        <v>1064.516129032258</v>
      </c>
      <c r="BE26" s="20">
        <f>JulReport[[#This Row],[Salary ]]-JulReport[[#This Row],[Deduction]]</f>
        <v>31935.483870967742</v>
      </c>
      <c r="BF26" s="20"/>
      <c r="BG26" s="24"/>
      <c r="BH26" s="22"/>
      <c r="BI26" s="22"/>
      <c r="BJ26" s="22"/>
      <c r="BK26" s="22"/>
      <c r="BL26" s="22"/>
      <c r="BM26" s="22"/>
      <c r="BN26" s="22"/>
    </row>
    <row r="27" spans="6:66" x14ac:dyDescent="0.25">
      <c r="F27" s="21"/>
      <c r="G27" s="8">
        <v>18</v>
      </c>
      <c r="H27" s="10" t="s">
        <v>41</v>
      </c>
      <c r="I27" s="10">
        <v>1018</v>
      </c>
      <c r="J27" s="47">
        <f t="shared" si="10"/>
        <v>4</v>
      </c>
      <c r="K27" s="16" t="s">
        <v>38</v>
      </c>
      <c r="L27" s="16" t="s">
        <v>38</v>
      </c>
      <c r="M27" s="16" t="s">
        <v>38</v>
      </c>
      <c r="N27" s="16" t="s">
        <v>38</v>
      </c>
      <c r="O27" s="16" t="s">
        <v>38</v>
      </c>
      <c r="P27" s="44" t="str">
        <f t="shared" si="3"/>
        <v>WO</v>
      </c>
      <c r="Q27" s="16" t="s">
        <v>38</v>
      </c>
      <c r="R27" s="10" t="s">
        <v>38</v>
      </c>
      <c r="S27" s="10" t="s">
        <v>38</v>
      </c>
      <c r="T27" s="10" t="s">
        <v>38</v>
      </c>
      <c r="U27" s="10" t="s">
        <v>38</v>
      </c>
      <c r="V27" s="16" t="s">
        <v>38</v>
      </c>
      <c r="W27" s="44" t="str">
        <f t="shared" si="3"/>
        <v>WO</v>
      </c>
      <c r="X27" s="16" t="s">
        <v>38</v>
      </c>
      <c r="Y27" s="10" t="s">
        <v>38</v>
      </c>
      <c r="Z27" s="10" t="s">
        <v>38</v>
      </c>
      <c r="AA27" s="10" t="s">
        <v>38</v>
      </c>
      <c r="AB27" s="10" t="s">
        <v>38</v>
      </c>
      <c r="AC27" s="16" t="s">
        <v>38</v>
      </c>
      <c r="AD27" s="44" t="str">
        <f t="shared" si="12"/>
        <v>WO</v>
      </c>
      <c r="AE27" s="10" t="s">
        <v>38</v>
      </c>
      <c r="AF27" s="10" t="s">
        <v>38</v>
      </c>
      <c r="AG27" s="10" t="s">
        <v>40</v>
      </c>
      <c r="AH27" s="10" t="s">
        <v>38</v>
      </c>
      <c r="AI27" s="10" t="s">
        <v>38</v>
      </c>
      <c r="AJ27" s="10" t="s">
        <v>40</v>
      </c>
      <c r="AK27" s="44" t="str">
        <f t="shared" si="12"/>
        <v>WO</v>
      </c>
      <c r="AL27" s="16" t="s">
        <v>38</v>
      </c>
      <c r="AM27" s="16" t="s">
        <v>38</v>
      </c>
      <c r="AN27" s="16" t="s">
        <v>38</v>
      </c>
      <c r="AO27" s="17" t="s">
        <v>38</v>
      </c>
      <c r="AP27" s="21"/>
      <c r="AQ27" s="24"/>
      <c r="AR27" s="10">
        <v>18</v>
      </c>
      <c r="AS27" s="10" t="s">
        <v>41</v>
      </c>
      <c r="AT27" s="10" t="str">
        <f t="shared" si="4"/>
        <v>July</v>
      </c>
      <c r="AU27" s="10">
        <v>1018</v>
      </c>
      <c r="AV27" s="9">
        <f t="shared" si="5"/>
        <v>25</v>
      </c>
      <c r="AW27" s="16">
        <f t="shared" si="6"/>
        <v>0</v>
      </c>
      <c r="AX27" s="16">
        <f t="shared" si="7"/>
        <v>2</v>
      </c>
      <c r="AY27" s="16">
        <f t="shared" si="8"/>
        <v>4</v>
      </c>
      <c r="AZ27" s="16">
        <f t="shared" si="9"/>
        <v>31</v>
      </c>
      <c r="BA27" s="16">
        <f>JulReport[[#This Row],[Days]]-JulReport[[#This Row],[Absent]]</f>
        <v>31</v>
      </c>
      <c r="BB27" s="19">
        <v>12000</v>
      </c>
      <c r="BC27" s="20">
        <f>JulReport[[#This Row],[Salary ]]/JulReport[[#This Row],[Days]]</f>
        <v>387.09677419354841</v>
      </c>
      <c r="BD27" s="20">
        <f>JulReport[[#This Row],[Per Day Salary ]]*JulReport[[#This Row],[Absent]]</f>
        <v>0</v>
      </c>
      <c r="BE27" s="20">
        <f>JulReport[[#This Row],[Salary ]]-JulReport[[#This Row],[Deduction]]</f>
        <v>12000</v>
      </c>
      <c r="BF27" s="20"/>
      <c r="BG27" s="24"/>
      <c r="BH27" s="22"/>
      <c r="BI27" s="22"/>
      <c r="BJ27" s="22"/>
      <c r="BK27" s="22"/>
      <c r="BL27" s="22"/>
      <c r="BM27" s="22"/>
      <c r="BN27" s="22"/>
    </row>
    <row r="28" spans="6:66" x14ac:dyDescent="0.25">
      <c r="F28" s="21"/>
      <c r="G28" s="8">
        <v>19</v>
      </c>
      <c r="H28" s="10" t="s">
        <v>19</v>
      </c>
      <c r="I28" s="10">
        <v>1019</v>
      </c>
      <c r="J28" s="47">
        <f t="shared" si="10"/>
        <v>4</v>
      </c>
      <c r="K28" s="16" t="s">
        <v>39</v>
      </c>
      <c r="L28" s="16" t="s">
        <v>38</v>
      </c>
      <c r="M28" s="16" t="s">
        <v>38</v>
      </c>
      <c r="N28" s="16" t="s">
        <v>38</v>
      </c>
      <c r="O28" s="16" t="s">
        <v>38</v>
      </c>
      <c r="P28" s="44" t="str">
        <f t="shared" si="3"/>
        <v>WO</v>
      </c>
      <c r="Q28" s="16" t="s">
        <v>38</v>
      </c>
      <c r="R28" s="10" t="s">
        <v>38</v>
      </c>
      <c r="S28" s="10" t="s">
        <v>38</v>
      </c>
      <c r="T28" s="10" t="s">
        <v>38</v>
      </c>
      <c r="U28" s="10" t="s">
        <v>38</v>
      </c>
      <c r="V28" s="16" t="s">
        <v>38</v>
      </c>
      <c r="W28" s="44" t="str">
        <f t="shared" si="3"/>
        <v>WO</v>
      </c>
      <c r="X28" s="16" t="s">
        <v>38</v>
      </c>
      <c r="Y28" s="10" t="s">
        <v>38</v>
      </c>
      <c r="Z28" s="10" t="s">
        <v>38</v>
      </c>
      <c r="AA28" s="10" t="s">
        <v>38</v>
      </c>
      <c r="AB28" s="10" t="s">
        <v>38</v>
      </c>
      <c r="AC28" s="16" t="s">
        <v>38</v>
      </c>
      <c r="AD28" s="44" t="str">
        <f t="shared" si="12"/>
        <v>WO</v>
      </c>
      <c r="AE28" s="10" t="s">
        <v>38</v>
      </c>
      <c r="AF28" s="10" t="s">
        <v>38</v>
      </c>
      <c r="AG28" s="10" t="s">
        <v>38</v>
      </c>
      <c r="AH28" s="10" t="s">
        <v>38</v>
      </c>
      <c r="AI28" s="10" t="s">
        <v>40</v>
      </c>
      <c r="AJ28" s="10" t="s">
        <v>38</v>
      </c>
      <c r="AK28" s="44" t="str">
        <f t="shared" si="12"/>
        <v>WO</v>
      </c>
      <c r="AL28" s="16" t="s">
        <v>39</v>
      </c>
      <c r="AM28" s="16" t="s">
        <v>38</v>
      </c>
      <c r="AN28" s="16" t="s">
        <v>38</v>
      </c>
      <c r="AO28" s="17" t="s">
        <v>38</v>
      </c>
      <c r="AP28" s="21"/>
      <c r="AQ28" s="24"/>
      <c r="AR28" s="10">
        <v>19</v>
      </c>
      <c r="AS28" s="10" t="s">
        <v>19</v>
      </c>
      <c r="AT28" s="10" t="str">
        <f t="shared" si="4"/>
        <v>July</v>
      </c>
      <c r="AU28" s="10">
        <v>1019</v>
      </c>
      <c r="AV28" s="9">
        <f t="shared" si="5"/>
        <v>24</v>
      </c>
      <c r="AW28" s="16">
        <f t="shared" si="6"/>
        <v>2</v>
      </c>
      <c r="AX28" s="16">
        <f t="shared" si="7"/>
        <v>1</v>
      </c>
      <c r="AY28" s="16">
        <f t="shared" si="8"/>
        <v>4</v>
      </c>
      <c r="AZ28" s="16">
        <f t="shared" si="9"/>
        <v>31</v>
      </c>
      <c r="BA28" s="16">
        <f>JulReport[[#This Row],[Days]]-JulReport[[#This Row],[Absent]]</f>
        <v>29</v>
      </c>
      <c r="BB28" s="19">
        <v>19000</v>
      </c>
      <c r="BC28" s="20">
        <f>JulReport[[#This Row],[Salary ]]/JulReport[[#This Row],[Days]]</f>
        <v>612.90322580645159</v>
      </c>
      <c r="BD28" s="20">
        <f>JulReport[[#This Row],[Per Day Salary ]]*JulReport[[#This Row],[Absent]]</f>
        <v>1225.8064516129032</v>
      </c>
      <c r="BE28" s="20">
        <f>JulReport[[#This Row],[Salary ]]-JulReport[[#This Row],[Deduction]]</f>
        <v>17774.193548387098</v>
      </c>
      <c r="BF28" s="20"/>
      <c r="BG28" s="24"/>
      <c r="BH28" s="22"/>
      <c r="BI28" s="22"/>
      <c r="BJ28" s="22"/>
      <c r="BK28" s="22"/>
      <c r="BL28" s="22"/>
      <c r="BM28" s="22"/>
      <c r="BN28" s="22"/>
    </row>
    <row r="29" spans="6:66" ht="16.5" thickBot="1" x14ac:dyDescent="0.3">
      <c r="F29" s="21"/>
      <c r="G29" s="11">
        <v>20</v>
      </c>
      <c r="H29" s="12" t="s">
        <v>24</v>
      </c>
      <c r="I29" s="12">
        <v>1020</v>
      </c>
      <c r="J29" s="48">
        <f t="shared" si="10"/>
        <v>4</v>
      </c>
      <c r="K29" s="34" t="s">
        <v>38</v>
      </c>
      <c r="L29" s="34" t="s">
        <v>38</v>
      </c>
      <c r="M29" s="34" t="s">
        <v>38</v>
      </c>
      <c r="N29" s="34" t="s">
        <v>38</v>
      </c>
      <c r="O29" s="34" t="s">
        <v>39</v>
      </c>
      <c r="P29" s="45" t="str">
        <f t="shared" si="3"/>
        <v>WO</v>
      </c>
      <c r="Q29" s="34" t="s">
        <v>38</v>
      </c>
      <c r="R29" s="39" t="s">
        <v>38</v>
      </c>
      <c r="S29" s="39" t="s">
        <v>38</v>
      </c>
      <c r="T29" s="39" t="s">
        <v>39</v>
      </c>
      <c r="U29" s="39" t="s">
        <v>38</v>
      </c>
      <c r="V29" s="34" t="s">
        <v>38</v>
      </c>
      <c r="W29" s="45" t="str">
        <f t="shared" si="3"/>
        <v>WO</v>
      </c>
      <c r="X29" s="34" t="s">
        <v>38</v>
      </c>
      <c r="Y29" s="39" t="s">
        <v>38</v>
      </c>
      <c r="Z29" s="39" t="s">
        <v>38</v>
      </c>
      <c r="AA29" s="39" t="s">
        <v>39</v>
      </c>
      <c r="AB29" s="39" t="s">
        <v>38</v>
      </c>
      <c r="AC29" s="34" t="s">
        <v>38</v>
      </c>
      <c r="AD29" s="45" t="str">
        <f t="shared" si="12"/>
        <v>WO</v>
      </c>
      <c r="AE29" s="39" t="s">
        <v>39</v>
      </c>
      <c r="AF29" s="39" t="s">
        <v>38</v>
      </c>
      <c r="AG29" s="39" t="s">
        <v>38</v>
      </c>
      <c r="AH29" s="39" t="s">
        <v>38</v>
      </c>
      <c r="AI29" s="39" t="s">
        <v>38</v>
      </c>
      <c r="AJ29" s="39" t="s">
        <v>38</v>
      </c>
      <c r="AK29" s="45" t="str">
        <f t="shared" si="12"/>
        <v>WO</v>
      </c>
      <c r="AL29" s="34" t="s">
        <v>38</v>
      </c>
      <c r="AM29" s="34" t="s">
        <v>38</v>
      </c>
      <c r="AN29" s="34" t="s">
        <v>38</v>
      </c>
      <c r="AO29" s="40" t="s">
        <v>38</v>
      </c>
      <c r="AP29" s="21"/>
      <c r="AQ29" s="24"/>
      <c r="AR29" s="10">
        <v>20</v>
      </c>
      <c r="AS29" s="10" t="s">
        <v>24</v>
      </c>
      <c r="AT29" s="10" t="str">
        <f t="shared" si="4"/>
        <v>July</v>
      </c>
      <c r="AU29" s="10">
        <v>1020</v>
      </c>
      <c r="AV29" s="9">
        <f t="shared" si="5"/>
        <v>23</v>
      </c>
      <c r="AW29" s="16">
        <f t="shared" si="6"/>
        <v>4</v>
      </c>
      <c r="AX29" s="16">
        <f t="shared" si="7"/>
        <v>0</v>
      </c>
      <c r="AY29" s="16">
        <f t="shared" si="8"/>
        <v>4</v>
      </c>
      <c r="AZ29" s="16">
        <f t="shared" si="9"/>
        <v>31</v>
      </c>
      <c r="BA29" s="16">
        <f>JulReport[[#This Row],[Days]]-JulReport[[#This Row],[Absent]]</f>
        <v>27</v>
      </c>
      <c r="BB29" s="19">
        <v>17000</v>
      </c>
      <c r="BC29" s="20">
        <f>JulReport[[#This Row],[Salary ]]/JulReport[[#This Row],[Days]]</f>
        <v>548.38709677419354</v>
      </c>
      <c r="BD29" s="20">
        <f>JulReport[[#This Row],[Per Day Salary ]]*JulReport[[#This Row],[Absent]]</f>
        <v>2193.5483870967741</v>
      </c>
      <c r="BE29" s="20">
        <f>JulReport[[#This Row],[Salary ]]-JulReport[[#This Row],[Deduction]]</f>
        <v>14806.451612903225</v>
      </c>
      <c r="BF29" s="20"/>
      <c r="BG29" s="24"/>
      <c r="BH29" s="22"/>
      <c r="BI29" s="22"/>
      <c r="BJ29" s="22"/>
      <c r="BK29" s="22"/>
      <c r="BL29" s="22"/>
      <c r="BM29" s="22"/>
      <c r="BN29" s="22"/>
    </row>
    <row r="30" spans="6:66" x14ac:dyDescent="0.25"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2"/>
      <c r="BI30" s="22"/>
      <c r="BJ30" s="22"/>
      <c r="BK30" s="22"/>
      <c r="BL30" s="22"/>
      <c r="BM30" s="22"/>
      <c r="BN30" s="22"/>
    </row>
    <row r="31" spans="6:66" s="22" customFormat="1" x14ac:dyDescent="0.25"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</row>
    <row r="32" spans="6:66" s="22" customFormat="1" x14ac:dyDescent="0.25"/>
    <row r="33" spans="6:66" x14ac:dyDescent="0.25"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H33" s="22"/>
      <c r="BI33" s="22"/>
      <c r="BJ33" s="22"/>
      <c r="BK33" s="22"/>
      <c r="BL33" s="22"/>
      <c r="BM33" s="22"/>
      <c r="BN33" s="22"/>
    </row>
    <row r="34" spans="6:66" x14ac:dyDescent="0.25"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H34" s="22"/>
      <c r="BI34" s="22"/>
      <c r="BJ34" s="22"/>
      <c r="BK34" s="22"/>
      <c r="BL34" s="22"/>
      <c r="BM34" s="22"/>
      <c r="BN34" s="22"/>
    </row>
    <row r="35" spans="6:66" x14ac:dyDescent="0.25"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H35" s="22"/>
      <c r="BI35" s="22"/>
      <c r="BJ35" s="22"/>
      <c r="BK35" s="22"/>
      <c r="BL35" s="22"/>
      <c r="BM35" s="22"/>
      <c r="BN35" s="22"/>
    </row>
    <row r="36" spans="6:66" x14ac:dyDescent="0.25"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H36" s="22"/>
      <c r="BI36" s="22"/>
      <c r="BJ36" s="22"/>
      <c r="BK36" s="22"/>
      <c r="BL36" s="22"/>
      <c r="BM36" s="22"/>
      <c r="BN36" s="22"/>
    </row>
    <row r="37" spans="6:66" x14ac:dyDescent="0.25"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H37" s="22"/>
      <c r="BI37" s="22"/>
      <c r="BJ37" s="22"/>
      <c r="BK37" s="22"/>
      <c r="BL37" s="22"/>
      <c r="BM37" s="22"/>
      <c r="BN37" s="22"/>
    </row>
    <row r="38" spans="6:66" x14ac:dyDescent="0.25"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H38" s="22"/>
      <c r="BI38" s="22"/>
      <c r="BJ38" s="22"/>
      <c r="BK38" s="22"/>
      <c r="BL38" s="22"/>
      <c r="BM38" s="22"/>
      <c r="BN38" s="22"/>
    </row>
    <row r="39" spans="6:66" x14ac:dyDescent="0.25"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H39" s="22"/>
      <c r="BI39" s="22"/>
      <c r="BJ39" s="22"/>
      <c r="BK39" s="22"/>
      <c r="BL39" s="22"/>
      <c r="BM39" s="22"/>
      <c r="BN39" s="22"/>
    </row>
    <row r="40" spans="6:66" x14ac:dyDescent="0.25"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H40" s="22"/>
      <c r="BI40" s="22"/>
      <c r="BJ40" s="22"/>
      <c r="BK40" s="22"/>
      <c r="BL40" s="22"/>
      <c r="BM40" s="22"/>
      <c r="BN40" s="22"/>
    </row>
    <row r="41" spans="6:66" x14ac:dyDescent="0.25"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H41" s="22"/>
      <c r="BI41" s="22"/>
      <c r="BJ41" s="22"/>
      <c r="BK41" s="22"/>
      <c r="BL41" s="22"/>
      <c r="BM41" s="22"/>
      <c r="BN41" s="22"/>
    </row>
    <row r="42" spans="6:66" x14ac:dyDescent="0.25"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H42" s="22"/>
      <c r="BI42" s="22"/>
      <c r="BJ42" s="22"/>
      <c r="BK42" s="22"/>
      <c r="BL42" s="22"/>
      <c r="BM42" s="22"/>
      <c r="BN42" s="22"/>
    </row>
    <row r="43" spans="6:66" x14ac:dyDescent="0.25"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H43" s="22"/>
      <c r="BI43" s="22"/>
      <c r="BJ43" s="22"/>
      <c r="BK43" s="22"/>
      <c r="BL43" s="22"/>
      <c r="BM43" s="22"/>
      <c r="BN43" s="22"/>
    </row>
    <row r="44" spans="6:66" x14ac:dyDescent="0.25"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H44" s="22"/>
      <c r="BI44" s="22"/>
      <c r="BJ44" s="22"/>
      <c r="BK44" s="22"/>
      <c r="BL44" s="22"/>
      <c r="BM44" s="22"/>
      <c r="BN44" s="22"/>
    </row>
    <row r="45" spans="6:66" x14ac:dyDescent="0.25"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H45" s="22"/>
      <c r="BI45" s="22"/>
      <c r="BJ45" s="22"/>
      <c r="BK45" s="22"/>
      <c r="BL45" s="22"/>
      <c r="BM45" s="22"/>
      <c r="BN45" s="22"/>
    </row>
    <row r="46" spans="6:66" x14ac:dyDescent="0.25"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H46" s="22"/>
      <c r="BI46" s="22"/>
      <c r="BJ46" s="22"/>
      <c r="BK46" s="22"/>
      <c r="BL46" s="22"/>
      <c r="BM46" s="22"/>
      <c r="BN46" s="22"/>
    </row>
    <row r="47" spans="6:66" x14ac:dyDescent="0.25"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H47" s="22"/>
      <c r="BI47" s="22"/>
      <c r="BJ47" s="22"/>
      <c r="BK47" s="22"/>
      <c r="BL47" s="22"/>
      <c r="BM47" s="22"/>
      <c r="BN47" s="22"/>
    </row>
    <row r="48" spans="6:66" x14ac:dyDescent="0.25"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H48" s="22"/>
      <c r="BI48" s="22"/>
      <c r="BJ48" s="22"/>
      <c r="BK48" s="22"/>
      <c r="BL48" s="22"/>
      <c r="BM48" s="22"/>
      <c r="BN48" s="22"/>
    </row>
    <row r="49" spans="6:66" x14ac:dyDescent="0.25"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H49" s="22"/>
      <c r="BI49" s="22"/>
      <c r="BJ49" s="22"/>
      <c r="BK49" s="22"/>
      <c r="BL49" s="22"/>
      <c r="BM49" s="22"/>
      <c r="BN49" s="22"/>
    </row>
    <row r="50" spans="6:66" x14ac:dyDescent="0.25"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H50" s="22"/>
      <c r="BI50" s="22"/>
      <c r="BJ50" s="22"/>
      <c r="BK50" s="22"/>
      <c r="BL50" s="22"/>
      <c r="BM50" s="22"/>
      <c r="BN50" s="22"/>
    </row>
    <row r="51" spans="6:66" x14ac:dyDescent="0.25"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H51" s="22"/>
      <c r="BI51" s="22"/>
      <c r="BJ51" s="22"/>
      <c r="BK51" s="22"/>
      <c r="BL51" s="22"/>
      <c r="BM51" s="22"/>
      <c r="BN51" s="22"/>
    </row>
    <row r="52" spans="6:66" x14ac:dyDescent="0.25"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H52" s="22"/>
      <c r="BI52" s="22"/>
      <c r="BJ52" s="22"/>
      <c r="BK52" s="22"/>
      <c r="BL52" s="22"/>
      <c r="BM52" s="22"/>
      <c r="BN52" s="22"/>
    </row>
    <row r="53" spans="6:66" x14ac:dyDescent="0.25"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H53" s="22"/>
      <c r="BI53" s="22"/>
      <c r="BJ53" s="22"/>
      <c r="BK53" s="22"/>
      <c r="BL53" s="22"/>
      <c r="BM53" s="22"/>
      <c r="BN53" s="22"/>
    </row>
    <row r="54" spans="6:66" x14ac:dyDescent="0.25"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H54" s="22"/>
      <c r="BI54" s="22"/>
      <c r="BJ54" s="22"/>
      <c r="BK54" s="22"/>
      <c r="BL54" s="22"/>
      <c r="BM54" s="22"/>
      <c r="BN54" s="22"/>
    </row>
    <row r="55" spans="6:66" x14ac:dyDescent="0.25"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H55" s="22"/>
      <c r="BI55" s="22"/>
      <c r="BJ55" s="22"/>
      <c r="BK55" s="22"/>
      <c r="BL55" s="22"/>
      <c r="BM55" s="22"/>
      <c r="BN55" s="22"/>
    </row>
    <row r="56" spans="6:66" x14ac:dyDescent="0.25"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H56" s="22"/>
      <c r="BI56" s="22"/>
      <c r="BJ56" s="22"/>
      <c r="BK56" s="22"/>
      <c r="BL56" s="22"/>
      <c r="BM56" s="22"/>
      <c r="BN56" s="22"/>
    </row>
    <row r="57" spans="6:66" x14ac:dyDescent="0.25"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H57" s="22"/>
      <c r="BI57" s="22"/>
      <c r="BJ57" s="22"/>
      <c r="BK57" s="22"/>
      <c r="BL57" s="22"/>
      <c r="BM57" s="22"/>
      <c r="BN57" s="22"/>
    </row>
    <row r="58" spans="6:66" x14ac:dyDescent="0.25"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H58" s="22"/>
      <c r="BI58" s="22"/>
      <c r="BJ58" s="22"/>
      <c r="BK58" s="22"/>
      <c r="BL58" s="22"/>
      <c r="BM58" s="22"/>
      <c r="BN58" s="22"/>
    </row>
    <row r="59" spans="6:66" x14ac:dyDescent="0.25"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H59" s="22"/>
      <c r="BI59" s="22"/>
      <c r="BJ59" s="22"/>
      <c r="BK59" s="22"/>
      <c r="BL59" s="22"/>
      <c r="BM59" s="22"/>
      <c r="BN59" s="22"/>
    </row>
    <row r="60" spans="6:66" x14ac:dyDescent="0.25"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H60" s="22"/>
      <c r="BI60" s="22"/>
      <c r="BJ60" s="22"/>
      <c r="BK60" s="22"/>
      <c r="BL60" s="22"/>
      <c r="BM60" s="22"/>
      <c r="BN60" s="22"/>
    </row>
    <row r="61" spans="6:66" x14ac:dyDescent="0.25"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H61" s="22"/>
      <c r="BI61" s="22"/>
      <c r="BJ61" s="22"/>
      <c r="BK61" s="22"/>
      <c r="BL61" s="22"/>
      <c r="BM61" s="22"/>
      <c r="BN61" s="22"/>
    </row>
    <row r="62" spans="6:66" x14ac:dyDescent="0.25"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H62" s="22"/>
      <c r="BI62" s="22"/>
      <c r="BJ62" s="22"/>
      <c r="BK62" s="22"/>
      <c r="BL62" s="22"/>
      <c r="BM62" s="22"/>
      <c r="BN62" s="22"/>
    </row>
    <row r="63" spans="6:66" x14ac:dyDescent="0.25"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H63" s="22"/>
      <c r="BI63" s="22"/>
      <c r="BJ63" s="22"/>
      <c r="BK63" s="22"/>
      <c r="BL63" s="22"/>
      <c r="BM63" s="22"/>
      <c r="BN63" s="22"/>
    </row>
    <row r="64" spans="6:66" x14ac:dyDescent="0.25"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H64" s="22"/>
      <c r="BI64" s="22"/>
      <c r="BJ64" s="22"/>
      <c r="BK64" s="22"/>
      <c r="BL64" s="22"/>
      <c r="BM64" s="22"/>
      <c r="BN64" s="22"/>
    </row>
    <row r="65" spans="6:66" x14ac:dyDescent="0.25"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H65" s="22"/>
      <c r="BI65" s="22"/>
      <c r="BJ65" s="22"/>
      <c r="BK65" s="22"/>
      <c r="BL65" s="22"/>
      <c r="BM65" s="22"/>
      <c r="BN65" s="22"/>
    </row>
    <row r="66" spans="6:66" x14ac:dyDescent="0.25"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H66" s="22"/>
      <c r="BI66" s="22"/>
      <c r="BJ66" s="22"/>
      <c r="BK66" s="22"/>
      <c r="BL66" s="22"/>
      <c r="BM66" s="22"/>
      <c r="BN66" s="22"/>
    </row>
    <row r="67" spans="6:66" x14ac:dyDescent="0.25"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H67" s="22"/>
      <c r="BI67" s="22"/>
      <c r="BJ67" s="22"/>
      <c r="BK67" s="22"/>
      <c r="BL67" s="22"/>
      <c r="BM67" s="22"/>
      <c r="BN67" s="22"/>
    </row>
    <row r="68" spans="6:66" x14ac:dyDescent="0.25"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H68" s="22"/>
      <c r="BI68" s="22"/>
      <c r="BJ68" s="22"/>
      <c r="BK68" s="22"/>
      <c r="BL68" s="22"/>
      <c r="BM68" s="22"/>
      <c r="BN68" s="22"/>
    </row>
    <row r="69" spans="6:66" x14ac:dyDescent="0.25"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H69" s="22"/>
      <c r="BI69" s="22"/>
      <c r="BJ69" s="22"/>
      <c r="BK69" s="22"/>
      <c r="BL69" s="22"/>
      <c r="BM69" s="22"/>
      <c r="BN69" s="22"/>
    </row>
    <row r="70" spans="6:66" x14ac:dyDescent="0.25"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H70" s="22"/>
      <c r="BI70" s="22"/>
      <c r="BJ70" s="22"/>
      <c r="BK70" s="22"/>
      <c r="BL70" s="22"/>
      <c r="BM70" s="22"/>
      <c r="BN70" s="22"/>
    </row>
    <row r="71" spans="6:66" x14ac:dyDescent="0.25"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H71" s="22"/>
      <c r="BI71" s="22"/>
      <c r="BJ71" s="22"/>
      <c r="BK71" s="22"/>
      <c r="BL71" s="22"/>
      <c r="BM71" s="22"/>
      <c r="BN71" s="22"/>
    </row>
    <row r="72" spans="6:66" x14ac:dyDescent="0.25"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H72" s="22"/>
      <c r="BI72" s="22"/>
      <c r="BJ72" s="22"/>
      <c r="BK72" s="22"/>
      <c r="BL72" s="22"/>
      <c r="BM72" s="22"/>
      <c r="BN72" s="22"/>
    </row>
    <row r="73" spans="6:66" x14ac:dyDescent="0.25"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H73" s="22"/>
      <c r="BI73" s="22"/>
      <c r="BJ73" s="22"/>
      <c r="BK73" s="22"/>
      <c r="BL73" s="22"/>
      <c r="BM73" s="22"/>
      <c r="BN73" s="22"/>
    </row>
    <row r="74" spans="6:66" x14ac:dyDescent="0.25"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H74" s="22"/>
      <c r="BI74" s="22"/>
      <c r="BJ74" s="22"/>
      <c r="BK74" s="22"/>
      <c r="BL74" s="22"/>
      <c r="BM74" s="22"/>
      <c r="BN74" s="22"/>
    </row>
    <row r="75" spans="6:66" x14ac:dyDescent="0.25"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H75" s="22"/>
      <c r="BI75" s="22"/>
      <c r="BJ75" s="22"/>
      <c r="BK75" s="22"/>
      <c r="BL75" s="22"/>
      <c r="BM75" s="22"/>
      <c r="BN75" s="22"/>
    </row>
    <row r="76" spans="6:66" x14ac:dyDescent="0.25"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H76" s="22"/>
      <c r="BI76" s="22"/>
      <c r="BJ76" s="22"/>
      <c r="BK76" s="22"/>
      <c r="BL76" s="22"/>
      <c r="BM76" s="22"/>
      <c r="BN76" s="22"/>
    </row>
    <row r="77" spans="6:66" x14ac:dyDescent="0.25"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H77" s="22"/>
      <c r="BI77" s="22"/>
      <c r="BJ77" s="22"/>
      <c r="BK77" s="22"/>
      <c r="BL77" s="22"/>
      <c r="BM77" s="22"/>
      <c r="BN77" s="22"/>
    </row>
    <row r="78" spans="6:66" x14ac:dyDescent="0.25"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H78" s="22"/>
      <c r="BI78" s="22"/>
      <c r="BJ78" s="22"/>
      <c r="BK78" s="22"/>
      <c r="BL78" s="22"/>
      <c r="BM78" s="22"/>
      <c r="BN78" s="22"/>
    </row>
    <row r="79" spans="6:66" x14ac:dyDescent="0.25"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H79" s="22"/>
      <c r="BI79" s="22"/>
      <c r="BJ79" s="22"/>
      <c r="BK79" s="22"/>
      <c r="BL79" s="22"/>
      <c r="BM79" s="22"/>
      <c r="BN79" s="22"/>
    </row>
    <row r="80" spans="6:66" x14ac:dyDescent="0.25"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H80" s="22"/>
      <c r="BI80" s="22"/>
      <c r="BJ80" s="22"/>
      <c r="BK80" s="22"/>
      <c r="BL80" s="22"/>
      <c r="BM80" s="22"/>
      <c r="BN80" s="22"/>
    </row>
    <row r="81" spans="6:66" x14ac:dyDescent="0.25"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H81" s="22"/>
      <c r="BI81" s="22"/>
      <c r="BJ81" s="22"/>
      <c r="BK81" s="22"/>
      <c r="BL81" s="22"/>
      <c r="BM81" s="22"/>
      <c r="BN81" s="22"/>
    </row>
    <row r="82" spans="6:66" x14ac:dyDescent="0.25"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H82" s="22"/>
      <c r="BI82" s="22"/>
      <c r="BJ82" s="22"/>
      <c r="BK82" s="22"/>
      <c r="BL82" s="22"/>
      <c r="BM82" s="22"/>
      <c r="BN82" s="22"/>
    </row>
    <row r="83" spans="6:66" x14ac:dyDescent="0.25"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H83" s="22"/>
      <c r="BI83" s="22"/>
      <c r="BJ83" s="22"/>
      <c r="BK83" s="22"/>
      <c r="BL83" s="22"/>
      <c r="BM83" s="22"/>
      <c r="BN83" s="22"/>
    </row>
    <row r="84" spans="6:66" x14ac:dyDescent="0.25"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H84" s="22"/>
      <c r="BI84" s="22"/>
      <c r="BJ84" s="22"/>
      <c r="BK84" s="22"/>
      <c r="BL84" s="22"/>
      <c r="BM84" s="22"/>
      <c r="BN84" s="22"/>
    </row>
    <row r="85" spans="6:66" x14ac:dyDescent="0.25"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H85" s="22"/>
      <c r="BI85" s="22"/>
      <c r="BJ85" s="22"/>
      <c r="BK85" s="22"/>
      <c r="BL85" s="22"/>
      <c r="BM85" s="22"/>
      <c r="BN85" s="22"/>
    </row>
    <row r="86" spans="6:66" x14ac:dyDescent="0.25"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H86" s="22"/>
      <c r="BI86" s="22"/>
      <c r="BJ86" s="22"/>
      <c r="BK86" s="22"/>
      <c r="BL86" s="22"/>
      <c r="BM86" s="22"/>
      <c r="BN86" s="22"/>
    </row>
    <row r="87" spans="6:66" x14ac:dyDescent="0.25"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H87" s="22"/>
      <c r="BI87" s="22"/>
      <c r="BJ87" s="22"/>
      <c r="BK87" s="22"/>
      <c r="BL87" s="22"/>
      <c r="BM87" s="22"/>
      <c r="BN87" s="22"/>
    </row>
    <row r="88" spans="6:66" x14ac:dyDescent="0.25"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H88" s="22"/>
      <c r="BI88" s="22"/>
      <c r="BJ88" s="22"/>
      <c r="BK88" s="22"/>
      <c r="BL88" s="22"/>
      <c r="BM88" s="22"/>
      <c r="BN88" s="22"/>
    </row>
    <row r="89" spans="6:66" x14ac:dyDescent="0.25"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H89" s="22"/>
      <c r="BI89" s="22"/>
      <c r="BJ89" s="22"/>
      <c r="BK89" s="22"/>
      <c r="BL89" s="22"/>
      <c r="BM89" s="22"/>
      <c r="BN89" s="22"/>
    </row>
    <row r="90" spans="6:66" x14ac:dyDescent="0.25"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H90" s="22"/>
      <c r="BI90" s="22"/>
      <c r="BJ90" s="22"/>
      <c r="BK90" s="22"/>
      <c r="BL90" s="22"/>
      <c r="BM90" s="22"/>
      <c r="BN90" s="22"/>
    </row>
    <row r="91" spans="6:66" x14ac:dyDescent="0.25"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H91" s="22"/>
      <c r="BI91" s="22"/>
      <c r="BJ91" s="22"/>
      <c r="BK91" s="22"/>
      <c r="BL91" s="22"/>
      <c r="BM91" s="22"/>
      <c r="BN91" s="22"/>
    </row>
    <row r="92" spans="6:66" x14ac:dyDescent="0.25"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H92" s="22"/>
      <c r="BI92" s="22"/>
      <c r="BJ92" s="22"/>
      <c r="BK92" s="22"/>
      <c r="BL92" s="22"/>
      <c r="BM92" s="22"/>
      <c r="BN92" s="22"/>
    </row>
    <row r="93" spans="6:66" x14ac:dyDescent="0.25"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H93" s="22"/>
      <c r="BI93" s="22"/>
      <c r="BJ93" s="22"/>
      <c r="BK93" s="22"/>
      <c r="BL93" s="22"/>
      <c r="BM93" s="22"/>
      <c r="BN93" s="22"/>
    </row>
    <row r="94" spans="6:66" x14ac:dyDescent="0.25"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H94" s="22"/>
      <c r="BI94" s="22"/>
      <c r="BJ94" s="22"/>
      <c r="BK94" s="22"/>
      <c r="BL94" s="22"/>
      <c r="BM94" s="22"/>
      <c r="BN94" s="22"/>
    </row>
    <row r="95" spans="6:66" x14ac:dyDescent="0.25"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H95" s="22"/>
      <c r="BI95" s="22"/>
      <c r="BJ95" s="22"/>
      <c r="BK95" s="22"/>
      <c r="BL95" s="22"/>
      <c r="BM95" s="22"/>
      <c r="BN95" s="22"/>
    </row>
    <row r="96" spans="6:66" x14ac:dyDescent="0.25"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H96" s="22"/>
      <c r="BI96" s="22"/>
      <c r="BJ96" s="22"/>
      <c r="BK96" s="22"/>
      <c r="BL96" s="22"/>
      <c r="BM96" s="22"/>
      <c r="BN96" s="22"/>
    </row>
    <row r="97" spans="6:66" x14ac:dyDescent="0.25"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H97" s="22"/>
      <c r="BI97" s="22"/>
      <c r="BJ97" s="22"/>
      <c r="BK97" s="22"/>
      <c r="BL97" s="22"/>
      <c r="BM97" s="22"/>
      <c r="BN97" s="22"/>
    </row>
    <row r="98" spans="6:66" x14ac:dyDescent="0.25"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H98" s="22"/>
      <c r="BI98" s="22"/>
      <c r="BJ98" s="22"/>
      <c r="BK98" s="22"/>
      <c r="BL98" s="22"/>
      <c r="BM98" s="22"/>
      <c r="BN98" s="22"/>
    </row>
    <row r="99" spans="6:66" x14ac:dyDescent="0.25"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H99" s="22"/>
      <c r="BI99" s="22"/>
      <c r="BJ99" s="22"/>
      <c r="BK99" s="22"/>
      <c r="BL99" s="22"/>
      <c r="BM99" s="22"/>
      <c r="BN99" s="22"/>
    </row>
    <row r="100" spans="6:66" x14ac:dyDescent="0.25"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H100" s="22"/>
      <c r="BI100" s="22"/>
      <c r="BJ100" s="22"/>
      <c r="BK100" s="22"/>
      <c r="BL100" s="22"/>
      <c r="BM100" s="22"/>
      <c r="BN100" s="22"/>
    </row>
    <row r="101" spans="6:66" x14ac:dyDescent="0.25"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H101" s="22"/>
      <c r="BI101" s="22"/>
      <c r="BJ101" s="22"/>
      <c r="BK101" s="22"/>
      <c r="BL101" s="22"/>
      <c r="BM101" s="22"/>
      <c r="BN101" s="22"/>
    </row>
    <row r="102" spans="6:66" x14ac:dyDescent="0.25"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H102" s="22"/>
      <c r="BI102" s="22"/>
      <c r="BJ102" s="22"/>
      <c r="BK102" s="22"/>
      <c r="BL102" s="22"/>
      <c r="BM102" s="22"/>
      <c r="BN102" s="22"/>
    </row>
    <row r="103" spans="6:66" x14ac:dyDescent="0.25"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H103" s="22"/>
      <c r="BI103" s="22"/>
      <c r="BJ103" s="22"/>
      <c r="BK103" s="22"/>
      <c r="BL103" s="22"/>
      <c r="BM103" s="22"/>
      <c r="BN103" s="22"/>
    </row>
    <row r="104" spans="6:66" x14ac:dyDescent="0.25"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H104" s="22"/>
      <c r="BI104" s="22"/>
      <c r="BJ104" s="22"/>
      <c r="BK104" s="22"/>
      <c r="BL104" s="22"/>
      <c r="BM104" s="22"/>
      <c r="BN104" s="22"/>
    </row>
    <row r="105" spans="6:66" x14ac:dyDescent="0.25"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H105" s="22"/>
      <c r="BI105" s="22"/>
      <c r="BJ105" s="22"/>
      <c r="BK105" s="22"/>
      <c r="BL105" s="22"/>
      <c r="BM105" s="22"/>
      <c r="BN105" s="22"/>
    </row>
    <row r="106" spans="6:66" x14ac:dyDescent="0.25"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H106" s="22"/>
      <c r="BI106" s="22"/>
      <c r="BJ106" s="22"/>
      <c r="BK106" s="22"/>
      <c r="BL106" s="22"/>
      <c r="BM106" s="22"/>
      <c r="BN106" s="22"/>
    </row>
    <row r="107" spans="6:66" x14ac:dyDescent="0.25"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H107" s="22"/>
      <c r="BI107" s="22"/>
      <c r="BJ107" s="22"/>
      <c r="BK107" s="22"/>
      <c r="BL107" s="22"/>
      <c r="BM107" s="22"/>
      <c r="BN107" s="22"/>
    </row>
    <row r="108" spans="6:66" x14ac:dyDescent="0.25"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H108" s="22"/>
      <c r="BI108" s="22"/>
      <c r="BJ108" s="22"/>
      <c r="BK108" s="22"/>
      <c r="BL108" s="22"/>
      <c r="BM108" s="22"/>
      <c r="BN108" s="22"/>
    </row>
    <row r="109" spans="6:66" x14ac:dyDescent="0.25"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H109" s="22"/>
      <c r="BI109" s="22"/>
      <c r="BJ109" s="22"/>
      <c r="BK109" s="22"/>
      <c r="BL109" s="22"/>
      <c r="BM109" s="22"/>
      <c r="BN109" s="22"/>
    </row>
    <row r="110" spans="6:66" x14ac:dyDescent="0.25"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H110" s="22"/>
      <c r="BI110" s="22"/>
      <c r="BJ110" s="22"/>
      <c r="BK110" s="22"/>
      <c r="BL110" s="22"/>
      <c r="BM110" s="22"/>
      <c r="BN110" s="22"/>
    </row>
    <row r="111" spans="6:66" x14ac:dyDescent="0.25"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H111" s="22"/>
      <c r="BI111" s="22"/>
      <c r="BJ111" s="22"/>
      <c r="BK111" s="22"/>
      <c r="BL111" s="22"/>
      <c r="BM111" s="22"/>
      <c r="BN111" s="22"/>
    </row>
    <row r="112" spans="6:66" x14ac:dyDescent="0.25"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H112" s="22"/>
      <c r="BI112" s="22"/>
      <c r="BJ112" s="22"/>
      <c r="BK112" s="22"/>
      <c r="BL112" s="22"/>
      <c r="BM112" s="22"/>
      <c r="BN112" s="22"/>
    </row>
    <row r="113" spans="6:66" x14ac:dyDescent="0.25"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H113" s="22"/>
      <c r="BI113" s="22"/>
      <c r="BJ113" s="22"/>
      <c r="BK113" s="22"/>
      <c r="BL113" s="22"/>
      <c r="BM113" s="22"/>
      <c r="BN113" s="22"/>
    </row>
    <row r="114" spans="6:66" x14ac:dyDescent="0.25"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H114" s="22"/>
      <c r="BI114" s="22"/>
      <c r="BJ114" s="22"/>
      <c r="BK114" s="22"/>
      <c r="BL114" s="22"/>
      <c r="BM114" s="22"/>
      <c r="BN114" s="22"/>
    </row>
    <row r="115" spans="6:66" x14ac:dyDescent="0.25"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H115" s="22"/>
      <c r="BI115" s="22"/>
      <c r="BJ115" s="22"/>
      <c r="BK115" s="22"/>
      <c r="BL115" s="22"/>
      <c r="BM115" s="22"/>
      <c r="BN115" s="22"/>
    </row>
    <row r="116" spans="6:66" x14ac:dyDescent="0.25"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H116" s="22"/>
      <c r="BI116" s="22"/>
      <c r="BJ116" s="22"/>
      <c r="BK116" s="22"/>
      <c r="BL116" s="22"/>
      <c r="BM116" s="22"/>
      <c r="BN116" s="22"/>
    </row>
    <row r="117" spans="6:66" x14ac:dyDescent="0.25"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H117" s="22"/>
      <c r="BI117" s="22"/>
      <c r="BJ117" s="22"/>
      <c r="BK117" s="22"/>
      <c r="BL117" s="22"/>
      <c r="BM117" s="22"/>
      <c r="BN117" s="22"/>
    </row>
    <row r="118" spans="6:66" x14ac:dyDescent="0.25"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H118" s="22"/>
      <c r="BI118" s="22"/>
      <c r="BJ118" s="22"/>
      <c r="BK118" s="22"/>
      <c r="BL118" s="22"/>
      <c r="BM118" s="22"/>
      <c r="BN118" s="22"/>
    </row>
    <row r="119" spans="6:66" x14ac:dyDescent="0.25"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H119" s="22"/>
      <c r="BI119" s="22"/>
      <c r="BJ119" s="22"/>
      <c r="BK119" s="22"/>
      <c r="BL119" s="22"/>
      <c r="BM119" s="22"/>
      <c r="BN119" s="22"/>
    </row>
    <row r="120" spans="6:66" x14ac:dyDescent="0.25"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H120" s="22"/>
      <c r="BI120" s="22"/>
      <c r="BJ120" s="22"/>
      <c r="BK120" s="22"/>
      <c r="BL120" s="22"/>
      <c r="BM120" s="22"/>
      <c r="BN120" s="22"/>
    </row>
    <row r="121" spans="6:66" x14ac:dyDescent="0.25"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H121" s="22"/>
      <c r="BI121" s="22"/>
      <c r="BJ121" s="22"/>
      <c r="BK121" s="22"/>
      <c r="BL121" s="22"/>
      <c r="BM121" s="22"/>
      <c r="BN121" s="22"/>
    </row>
    <row r="122" spans="6:66" x14ac:dyDescent="0.25"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H122" s="22"/>
      <c r="BI122" s="22"/>
      <c r="BJ122" s="22"/>
      <c r="BK122" s="22"/>
      <c r="BL122" s="22"/>
      <c r="BM122" s="22"/>
      <c r="BN122" s="22"/>
    </row>
    <row r="123" spans="6:66" x14ac:dyDescent="0.25"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H123" s="22"/>
      <c r="BI123" s="22"/>
      <c r="BJ123" s="22"/>
      <c r="BK123" s="22"/>
      <c r="BL123" s="22"/>
      <c r="BM123" s="22"/>
      <c r="BN123" s="22"/>
    </row>
    <row r="124" spans="6:66" x14ac:dyDescent="0.25"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H124" s="22"/>
      <c r="BI124" s="22"/>
      <c r="BJ124" s="22"/>
      <c r="BK124" s="22"/>
      <c r="BL124" s="22"/>
      <c r="BM124" s="22"/>
      <c r="BN124" s="22"/>
    </row>
    <row r="125" spans="6:66" x14ac:dyDescent="0.25"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H125" s="22"/>
      <c r="BI125" s="22"/>
      <c r="BJ125" s="22"/>
      <c r="BK125" s="22"/>
      <c r="BL125" s="22"/>
      <c r="BM125" s="22"/>
      <c r="BN125" s="22"/>
    </row>
    <row r="126" spans="6:66" x14ac:dyDescent="0.25"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H126" s="22"/>
      <c r="BI126" s="22"/>
      <c r="BJ126" s="22"/>
      <c r="BK126" s="22"/>
      <c r="BL126" s="22"/>
      <c r="BM126" s="22"/>
      <c r="BN126" s="22"/>
    </row>
    <row r="127" spans="6:66" x14ac:dyDescent="0.25"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H127" s="22"/>
      <c r="BI127" s="22"/>
      <c r="BJ127" s="22"/>
      <c r="BK127" s="22"/>
      <c r="BL127" s="22"/>
      <c r="BM127" s="22"/>
      <c r="BN127" s="22"/>
    </row>
    <row r="128" spans="6:66" x14ac:dyDescent="0.25"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H128" s="22"/>
      <c r="BI128" s="22"/>
      <c r="BJ128" s="22"/>
      <c r="BK128" s="22"/>
      <c r="BL128" s="22"/>
      <c r="BM128" s="22"/>
      <c r="BN128" s="22"/>
    </row>
    <row r="129" spans="6:66" x14ac:dyDescent="0.25"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H129" s="22"/>
      <c r="BI129" s="22"/>
      <c r="BJ129" s="22"/>
      <c r="BK129" s="22"/>
      <c r="BL129" s="22"/>
      <c r="BM129" s="22"/>
      <c r="BN129" s="22"/>
    </row>
    <row r="130" spans="6:66" x14ac:dyDescent="0.25"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H130" s="22"/>
      <c r="BI130" s="22"/>
      <c r="BJ130" s="22"/>
      <c r="BK130" s="22"/>
      <c r="BL130" s="22"/>
      <c r="BM130" s="22"/>
      <c r="BN130" s="22"/>
    </row>
    <row r="131" spans="6:66" x14ac:dyDescent="0.25"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H131" s="22"/>
      <c r="BI131" s="22"/>
      <c r="BJ131" s="22"/>
      <c r="BK131" s="22"/>
      <c r="BL131" s="22"/>
      <c r="BM131" s="22"/>
      <c r="BN131" s="22"/>
    </row>
    <row r="132" spans="6:66" x14ac:dyDescent="0.25"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H132" s="22"/>
      <c r="BI132" s="22"/>
      <c r="BJ132" s="22"/>
      <c r="BK132" s="22"/>
      <c r="BL132" s="22"/>
      <c r="BM132" s="22"/>
      <c r="BN132" s="22"/>
    </row>
    <row r="133" spans="6:66" x14ac:dyDescent="0.25"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H133" s="22"/>
      <c r="BI133" s="22"/>
      <c r="BJ133" s="22"/>
      <c r="BK133" s="22"/>
      <c r="BL133" s="22"/>
      <c r="BM133" s="22"/>
      <c r="BN133" s="22"/>
    </row>
    <row r="134" spans="6:66" x14ac:dyDescent="0.25"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H134" s="22"/>
      <c r="BI134" s="22"/>
      <c r="BJ134" s="22"/>
      <c r="BK134" s="22"/>
      <c r="BL134" s="22"/>
      <c r="BM134" s="22"/>
      <c r="BN134" s="22"/>
    </row>
    <row r="135" spans="6:66" x14ac:dyDescent="0.25"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H135" s="22"/>
      <c r="BI135" s="22"/>
      <c r="BJ135" s="22"/>
      <c r="BK135" s="22"/>
      <c r="BL135" s="22"/>
      <c r="BM135" s="22"/>
      <c r="BN135" s="22"/>
    </row>
    <row r="136" spans="6:66" x14ac:dyDescent="0.25"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H136" s="22"/>
      <c r="BI136" s="22"/>
      <c r="BJ136" s="22"/>
      <c r="BK136" s="22"/>
      <c r="BL136" s="22"/>
      <c r="BM136" s="22"/>
      <c r="BN136" s="22"/>
    </row>
    <row r="137" spans="6:66" x14ac:dyDescent="0.25"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H137" s="22"/>
      <c r="BI137" s="22"/>
      <c r="BJ137" s="22"/>
      <c r="BK137" s="22"/>
      <c r="BL137" s="22"/>
      <c r="BM137" s="22"/>
      <c r="BN137" s="22"/>
    </row>
    <row r="138" spans="6:66" x14ac:dyDescent="0.25"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H138" s="22"/>
      <c r="BI138" s="22"/>
      <c r="BJ138" s="22"/>
      <c r="BK138" s="22"/>
      <c r="BL138" s="22"/>
      <c r="BM138" s="22"/>
      <c r="BN138" s="22"/>
    </row>
    <row r="139" spans="6:66" x14ac:dyDescent="0.25"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H139" s="22"/>
      <c r="BI139" s="22"/>
      <c r="BJ139" s="22"/>
      <c r="BK139" s="22"/>
      <c r="BL139" s="22"/>
      <c r="BM139" s="22"/>
      <c r="BN139" s="22"/>
    </row>
    <row r="140" spans="6:66" x14ac:dyDescent="0.25"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H140" s="22"/>
      <c r="BI140" s="22"/>
      <c r="BJ140" s="22"/>
      <c r="BK140" s="22"/>
      <c r="BL140" s="22"/>
      <c r="BM140" s="22"/>
      <c r="BN140" s="22"/>
    </row>
    <row r="141" spans="6:66" x14ac:dyDescent="0.25"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H141" s="22"/>
      <c r="BI141" s="22"/>
      <c r="BJ141" s="22"/>
      <c r="BK141" s="22"/>
      <c r="BL141" s="22"/>
      <c r="BM141" s="22"/>
      <c r="BN141" s="22"/>
    </row>
    <row r="142" spans="6:66" x14ac:dyDescent="0.25"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H142" s="22"/>
      <c r="BI142" s="22"/>
      <c r="BJ142" s="22"/>
      <c r="BK142" s="22"/>
      <c r="BL142" s="22"/>
      <c r="BM142" s="22"/>
      <c r="BN142" s="22"/>
    </row>
    <row r="143" spans="6:66" x14ac:dyDescent="0.25"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H143" s="22"/>
      <c r="BI143" s="22"/>
      <c r="BJ143" s="22"/>
      <c r="BK143" s="22"/>
      <c r="BL143" s="22"/>
      <c r="BM143" s="22"/>
      <c r="BN143" s="22"/>
    </row>
    <row r="144" spans="6:66" x14ac:dyDescent="0.25"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H144" s="22"/>
      <c r="BI144" s="22"/>
      <c r="BJ144" s="22"/>
      <c r="BK144" s="22"/>
      <c r="BL144" s="22"/>
      <c r="BM144" s="22"/>
      <c r="BN144" s="22"/>
    </row>
    <row r="145" spans="6:66" x14ac:dyDescent="0.25"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H145" s="22"/>
      <c r="BI145" s="22"/>
      <c r="BJ145" s="22"/>
      <c r="BK145" s="22"/>
      <c r="BL145" s="22"/>
      <c r="BM145" s="22"/>
      <c r="BN145" s="22"/>
    </row>
    <row r="146" spans="6:66" x14ac:dyDescent="0.25"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H146" s="22"/>
      <c r="BI146" s="22"/>
      <c r="BJ146" s="22"/>
      <c r="BK146" s="22"/>
      <c r="BL146" s="22"/>
      <c r="BM146" s="22"/>
      <c r="BN146" s="22"/>
    </row>
    <row r="147" spans="6:66" x14ac:dyDescent="0.25"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H147" s="22"/>
      <c r="BI147" s="22"/>
      <c r="BJ147" s="22"/>
      <c r="BK147" s="22"/>
      <c r="BL147" s="22"/>
      <c r="BM147" s="22"/>
      <c r="BN147" s="22"/>
    </row>
    <row r="148" spans="6:66" x14ac:dyDescent="0.25"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H148" s="22"/>
      <c r="BI148" s="22"/>
      <c r="BJ148" s="22"/>
      <c r="BK148" s="22"/>
      <c r="BL148" s="22"/>
      <c r="BM148" s="22"/>
      <c r="BN148" s="22"/>
    </row>
    <row r="149" spans="6:66" x14ac:dyDescent="0.25"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H149" s="22"/>
      <c r="BI149" s="22"/>
      <c r="BJ149" s="22"/>
      <c r="BK149" s="22"/>
      <c r="BL149" s="22"/>
      <c r="BM149" s="22"/>
      <c r="BN149" s="22"/>
    </row>
    <row r="150" spans="6:66" x14ac:dyDescent="0.25"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H150" s="22"/>
      <c r="BI150" s="22"/>
      <c r="BJ150" s="22"/>
      <c r="BK150" s="22"/>
      <c r="BL150" s="22"/>
      <c r="BM150" s="22"/>
      <c r="BN150" s="22"/>
    </row>
    <row r="151" spans="6:66" x14ac:dyDescent="0.25"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H151" s="22"/>
      <c r="BI151" s="22"/>
      <c r="BJ151" s="22"/>
      <c r="BK151" s="22"/>
      <c r="BL151" s="22"/>
      <c r="BM151" s="22"/>
      <c r="BN151" s="22"/>
    </row>
    <row r="152" spans="6:66" x14ac:dyDescent="0.25"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H152" s="22"/>
      <c r="BI152" s="22"/>
      <c r="BJ152" s="22"/>
      <c r="BK152" s="22"/>
      <c r="BL152" s="22"/>
      <c r="BM152" s="22"/>
      <c r="BN152" s="22"/>
    </row>
    <row r="153" spans="6:66" x14ac:dyDescent="0.25"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H153" s="22"/>
      <c r="BI153" s="22"/>
      <c r="BJ153" s="22"/>
      <c r="BK153" s="22"/>
      <c r="BL153" s="22"/>
      <c r="BM153" s="22"/>
      <c r="BN153" s="22"/>
    </row>
    <row r="154" spans="6:66" x14ac:dyDescent="0.25"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H154" s="22"/>
      <c r="BI154" s="22"/>
      <c r="BJ154" s="22"/>
      <c r="BK154" s="22"/>
      <c r="BL154" s="22"/>
      <c r="BM154" s="22"/>
      <c r="BN154" s="22"/>
    </row>
    <row r="155" spans="6:66" x14ac:dyDescent="0.25"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H155" s="22"/>
      <c r="BI155" s="22"/>
      <c r="BJ155" s="22"/>
      <c r="BK155" s="22"/>
      <c r="BL155" s="22"/>
      <c r="BM155" s="22"/>
      <c r="BN155" s="22"/>
    </row>
    <row r="156" spans="6:66" x14ac:dyDescent="0.25"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H156" s="22"/>
      <c r="BI156" s="22"/>
      <c r="BJ156" s="22"/>
      <c r="BK156" s="22"/>
      <c r="BL156" s="22"/>
      <c r="BM156" s="22"/>
      <c r="BN156" s="22"/>
    </row>
    <row r="157" spans="6:66" x14ac:dyDescent="0.25"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H157" s="22"/>
      <c r="BI157" s="22"/>
      <c r="BJ157" s="22"/>
      <c r="BK157" s="22"/>
      <c r="BL157" s="22"/>
      <c r="BM157" s="22"/>
      <c r="BN157" s="22"/>
    </row>
    <row r="158" spans="6:66" x14ac:dyDescent="0.25"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H158" s="22"/>
      <c r="BI158" s="22"/>
      <c r="BJ158" s="22"/>
      <c r="BK158" s="22"/>
      <c r="BL158" s="22"/>
      <c r="BM158" s="22"/>
      <c r="BN158" s="22"/>
    </row>
    <row r="159" spans="6:66" x14ac:dyDescent="0.25"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H159" s="22"/>
      <c r="BI159" s="22"/>
      <c r="BJ159" s="22"/>
      <c r="BK159" s="22"/>
      <c r="BL159" s="22"/>
      <c r="BM159" s="22"/>
      <c r="BN159" s="22"/>
    </row>
    <row r="160" spans="6:66" x14ac:dyDescent="0.25"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H160" s="22"/>
      <c r="BI160" s="22"/>
      <c r="BJ160" s="22"/>
      <c r="BK160" s="22"/>
      <c r="BL160" s="22"/>
      <c r="BM160" s="22"/>
      <c r="BN160" s="22"/>
    </row>
    <row r="161" spans="6:66" x14ac:dyDescent="0.25"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H161" s="22"/>
      <c r="BI161" s="22"/>
      <c r="BJ161" s="22"/>
      <c r="BK161" s="22"/>
      <c r="BL161" s="22"/>
      <c r="BM161" s="22"/>
      <c r="BN161" s="22"/>
    </row>
    <row r="162" spans="6:66" x14ac:dyDescent="0.25"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H162" s="22"/>
      <c r="BI162" s="22"/>
      <c r="BJ162" s="22"/>
      <c r="BK162" s="22"/>
      <c r="BL162" s="22"/>
      <c r="BM162" s="22"/>
      <c r="BN162" s="22"/>
    </row>
    <row r="163" spans="6:66" x14ac:dyDescent="0.25"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H163" s="22"/>
      <c r="BI163" s="22"/>
      <c r="BJ163" s="22"/>
      <c r="BK163" s="22"/>
      <c r="BL163" s="22"/>
      <c r="BM163" s="22"/>
      <c r="BN163" s="22"/>
    </row>
    <row r="164" spans="6:66" x14ac:dyDescent="0.25"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H164" s="22"/>
      <c r="BI164" s="22"/>
      <c r="BJ164" s="22"/>
      <c r="BK164" s="22"/>
      <c r="BL164" s="22"/>
      <c r="BM164" s="22"/>
      <c r="BN164" s="22"/>
    </row>
    <row r="165" spans="6:66" x14ac:dyDescent="0.25"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H165" s="22"/>
      <c r="BI165" s="22"/>
      <c r="BJ165" s="22"/>
      <c r="BK165" s="22"/>
      <c r="BL165" s="22"/>
      <c r="BM165" s="22"/>
      <c r="BN165" s="22"/>
    </row>
    <row r="166" spans="6:66" x14ac:dyDescent="0.25"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H166" s="22"/>
      <c r="BI166" s="22"/>
      <c r="BJ166" s="22"/>
      <c r="BK166" s="22"/>
      <c r="BL166" s="22"/>
      <c r="BM166" s="22"/>
      <c r="BN166" s="22"/>
    </row>
    <row r="167" spans="6:66" x14ac:dyDescent="0.25"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H167" s="22"/>
      <c r="BI167" s="22"/>
      <c r="BJ167" s="22"/>
      <c r="BK167" s="22"/>
      <c r="BL167" s="22"/>
      <c r="BM167" s="22"/>
      <c r="BN167" s="22"/>
    </row>
    <row r="168" spans="6:66" x14ac:dyDescent="0.25"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H168" s="22"/>
      <c r="BI168" s="22"/>
      <c r="BJ168" s="22"/>
      <c r="BK168" s="22"/>
      <c r="BL168" s="22"/>
      <c r="BM168" s="22"/>
      <c r="BN168" s="22"/>
    </row>
    <row r="169" spans="6:66" x14ac:dyDescent="0.25"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H169" s="22"/>
      <c r="BI169" s="22"/>
      <c r="BJ169" s="22"/>
      <c r="BK169" s="22"/>
      <c r="BL169" s="22"/>
      <c r="BM169" s="22"/>
      <c r="BN169" s="22"/>
    </row>
    <row r="170" spans="6:66" x14ac:dyDescent="0.25"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H170" s="22"/>
      <c r="BI170" s="22"/>
      <c r="BJ170" s="22"/>
      <c r="BK170" s="22"/>
      <c r="BL170" s="22"/>
      <c r="BM170" s="22"/>
      <c r="BN170" s="22"/>
    </row>
    <row r="171" spans="6:66" x14ac:dyDescent="0.25"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H171" s="22"/>
      <c r="BI171" s="22"/>
      <c r="BJ171" s="22"/>
      <c r="BK171" s="22"/>
      <c r="BL171" s="22"/>
      <c r="BM171" s="22"/>
      <c r="BN171" s="22"/>
    </row>
    <row r="172" spans="6:66" x14ac:dyDescent="0.25"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H172" s="22"/>
      <c r="BI172" s="22"/>
      <c r="BJ172" s="22"/>
      <c r="BK172" s="22"/>
      <c r="BL172" s="22"/>
      <c r="BM172" s="22"/>
      <c r="BN172" s="22"/>
    </row>
    <row r="173" spans="6:66" x14ac:dyDescent="0.25"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H173" s="22"/>
      <c r="BI173" s="22"/>
      <c r="BJ173" s="22"/>
      <c r="BK173" s="22"/>
      <c r="BL173" s="22"/>
      <c r="BM173" s="22"/>
      <c r="BN173" s="22"/>
    </row>
    <row r="174" spans="6:66" x14ac:dyDescent="0.25"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H174" s="22"/>
      <c r="BI174" s="22"/>
      <c r="BJ174" s="22"/>
      <c r="BK174" s="22"/>
      <c r="BL174" s="22"/>
      <c r="BM174" s="22"/>
      <c r="BN174" s="22"/>
    </row>
    <row r="175" spans="6:66" x14ac:dyDescent="0.25"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H175" s="22"/>
      <c r="BI175" s="22"/>
      <c r="BJ175" s="22"/>
      <c r="BK175" s="22"/>
      <c r="BL175" s="22"/>
      <c r="BM175" s="22"/>
      <c r="BN175" s="22"/>
    </row>
    <row r="176" spans="6:66" x14ac:dyDescent="0.25"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H176" s="22"/>
      <c r="BI176" s="22"/>
      <c r="BJ176" s="22"/>
      <c r="BK176" s="22"/>
      <c r="BL176" s="22"/>
      <c r="BM176" s="22"/>
      <c r="BN176" s="22"/>
    </row>
    <row r="177" spans="6:66" x14ac:dyDescent="0.25"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H177" s="22"/>
      <c r="BI177" s="22"/>
      <c r="BJ177" s="22"/>
      <c r="BK177" s="22"/>
      <c r="BL177" s="22"/>
      <c r="BM177" s="22"/>
      <c r="BN177" s="22"/>
    </row>
    <row r="178" spans="6:66" x14ac:dyDescent="0.25"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H178" s="22"/>
      <c r="BI178" s="22"/>
      <c r="BJ178" s="22"/>
      <c r="BK178" s="22"/>
      <c r="BL178" s="22"/>
      <c r="BM178" s="22"/>
      <c r="BN178" s="22"/>
    </row>
    <row r="179" spans="6:66" x14ac:dyDescent="0.25"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H179" s="22"/>
      <c r="BI179" s="22"/>
      <c r="BJ179" s="22"/>
      <c r="BK179" s="22"/>
      <c r="BL179" s="22"/>
      <c r="BM179" s="22"/>
      <c r="BN179" s="22"/>
    </row>
    <row r="180" spans="6:66" x14ac:dyDescent="0.25"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H180" s="22"/>
      <c r="BI180" s="22"/>
      <c r="BJ180" s="22"/>
      <c r="BK180" s="22"/>
      <c r="BL180" s="22"/>
      <c r="BM180" s="22"/>
      <c r="BN180" s="22"/>
    </row>
    <row r="181" spans="6:66" x14ac:dyDescent="0.25"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H181" s="22"/>
      <c r="BI181" s="22"/>
      <c r="BJ181" s="22"/>
      <c r="BK181" s="22"/>
      <c r="BL181" s="22"/>
      <c r="BM181" s="22"/>
      <c r="BN181" s="22"/>
    </row>
    <row r="182" spans="6:66" x14ac:dyDescent="0.25"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H182" s="22"/>
      <c r="BI182" s="22"/>
      <c r="BJ182" s="22"/>
      <c r="BK182" s="22"/>
      <c r="BL182" s="22"/>
      <c r="BM182" s="22"/>
      <c r="BN182" s="22"/>
    </row>
    <row r="183" spans="6:66" x14ac:dyDescent="0.25"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H183" s="22"/>
      <c r="BI183" s="22"/>
      <c r="BJ183" s="22"/>
      <c r="BK183" s="22"/>
      <c r="BL183" s="22"/>
      <c r="BM183" s="22"/>
      <c r="BN183" s="22"/>
    </row>
    <row r="184" spans="6:66" x14ac:dyDescent="0.25"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H184" s="22"/>
      <c r="BI184" s="22"/>
      <c r="BJ184" s="22"/>
      <c r="BK184" s="22"/>
      <c r="BL184" s="22"/>
      <c r="BM184" s="22"/>
      <c r="BN184" s="22"/>
    </row>
    <row r="185" spans="6:66" x14ac:dyDescent="0.25"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H185" s="22"/>
      <c r="BI185" s="22"/>
      <c r="BJ185" s="22"/>
      <c r="BK185" s="22"/>
      <c r="BL185" s="22"/>
      <c r="BM185" s="22"/>
      <c r="BN185" s="22"/>
    </row>
    <row r="186" spans="6:66" x14ac:dyDescent="0.25"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H186" s="22"/>
      <c r="BI186" s="22"/>
      <c r="BJ186" s="22"/>
      <c r="BK186" s="22"/>
      <c r="BL186" s="22"/>
      <c r="BM186" s="22"/>
      <c r="BN186" s="22"/>
    </row>
    <row r="187" spans="6:66" x14ac:dyDescent="0.25"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H187" s="22"/>
      <c r="BI187" s="22"/>
      <c r="BJ187" s="22"/>
      <c r="BK187" s="22"/>
      <c r="BL187" s="22"/>
      <c r="BM187" s="22"/>
      <c r="BN187" s="22"/>
    </row>
    <row r="188" spans="6:66" x14ac:dyDescent="0.25"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H188" s="22"/>
      <c r="BI188" s="22"/>
      <c r="BJ188" s="22"/>
      <c r="BK188" s="22"/>
      <c r="BL188" s="22"/>
      <c r="BM188" s="22"/>
      <c r="BN188" s="22"/>
    </row>
    <row r="189" spans="6:66" x14ac:dyDescent="0.25"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H189" s="22"/>
      <c r="BI189" s="22"/>
      <c r="BJ189" s="22"/>
      <c r="BK189" s="22"/>
      <c r="BL189" s="22"/>
      <c r="BM189" s="22"/>
      <c r="BN189" s="22"/>
    </row>
    <row r="190" spans="6:66" x14ac:dyDescent="0.25"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H190" s="22"/>
      <c r="BI190" s="22"/>
      <c r="BJ190" s="22"/>
      <c r="BK190" s="22"/>
      <c r="BL190" s="22"/>
      <c r="BM190" s="22"/>
      <c r="BN190" s="22"/>
    </row>
    <row r="191" spans="6:66" x14ac:dyDescent="0.25"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H191" s="22"/>
      <c r="BI191" s="22"/>
      <c r="BJ191" s="22"/>
      <c r="BK191" s="22"/>
      <c r="BL191" s="22"/>
      <c r="BM191" s="22"/>
      <c r="BN191" s="22"/>
    </row>
    <row r="192" spans="6:66" x14ac:dyDescent="0.25"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H192" s="22"/>
      <c r="BI192" s="22"/>
      <c r="BJ192" s="22"/>
      <c r="BK192" s="22"/>
      <c r="BL192" s="22"/>
      <c r="BM192" s="22"/>
      <c r="BN192" s="22"/>
    </row>
    <row r="193" spans="6:66" x14ac:dyDescent="0.25"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H193" s="22"/>
      <c r="BI193" s="22"/>
      <c r="BJ193" s="22"/>
      <c r="BK193" s="22"/>
      <c r="BL193" s="22"/>
      <c r="BM193" s="22"/>
      <c r="BN193" s="22"/>
    </row>
    <row r="194" spans="6:66" x14ac:dyDescent="0.25"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H194" s="22"/>
      <c r="BI194" s="22"/>
      <c r="BJ194" s="22"/>
      <c r="BK194" s="22"/>
      <c r="BL194" s="22"/>
      <c r="BM194" s="22"/>
      <c r="BN194" s="22"/>
    </row>
    <row r="195" spans="6:66" x14ac:dyDescent="0.25">
      <c r="BH195" s="22"/>
      <c r="BI195" s="22"/>
      <c r="BJ195" s="22"/>
      <c r="BK195" s="22"/>
      <c r="BL195" s="22"/>
      <c r="BM195" s="22"/>
      <c r="BN195" s="22"/>
    </row>
    <row r="196" spans="6:66" x14ac:dyDescent="0.25">
      <c r="BH196" s="22"/>
      <c r="BI196" s="22"/>
      <c r="BJ196" s="22"/>
      <c r="BK196" s="22"/>
      <c r="BL196" s="22"/>
      <c r="BM196" s="22"/>
      <c r="BN196" s="22"/>
    </row>
    <row r="197" spans="6:66" x14ac:dyDescent="0.25">
      <c r="BH197" s="22"/>
      <c r="BI197" s="22"/>
      <c r="BJ197" s="22"/>
      <c r="BK197" s="22"/>
      <c r="BL197" s="22"/>
      <c r="BM197" s="22"/>
      <c r="BN197" s="22"/>
    </row>
    <row r="198" spans="6:66" x14ac:dyDescent="0.25">
      <c r="BH198" s="22"/>
      <c r="BI198" s="22"/>
      <c r="BJ198" s="22"/>
      <c r="BK198" s="22"/>
      <c r="BL198" s="22"/>
      <c r="BM198" s="22"/>
      <c r="BN198" s="22"/>
    </row>
    <row r="199" spans="6:66" x14ac:dyDescent="0.25">
      <c r="BH199" s="22"/>
      <c r="BI199" s="22"/>
      <c r="BJ199" s="22"/>
      <c r="BK199" s="22"/>
      <c r="BL199" s="22"/>
      <c r="BM199" s="22"/>
      <c r="BN199" s="22"/>
    </row>
    <row r="200" spans="6:66" x14ac:dyDescent="0.25">
      <c r="BH200" s="22"/>
      <c r="BI200" s="22"/>
      <c r="BJ200" s="22"/>
      <c r="BK200" s="22"/>
      <c r="BL200" s="22"/>
      <c r="BM200" s="22"/>
      <c r="BN200" s="22"/>
    </row>
    <row r="201" spans="6:66" x14ac:dyDescent="0.25">
      <c r="BH201" s="22"/>
      <c r="BI201" s="22"/>
      <c r="BJ201" s="22"/>
      <c r="BK201" s="22"/>
      <c r="BL201" s="22"/>
      <c r="BM201" s="22"/>
      <c r="BN201" s="22"/>
    </row>
    <row r="202" spans="6:66" x14ac:dyDescent="0.25">
      <c r="BH202" s="22"/>
      <c r="BI202" s="22"/>
      <c r="BJ202" s="22"/>
      <c r="BK202" s="22"/>
      <c r="BL202" s="22"/>
      <c r="BM202" s="22"/>
      <c r="BN202" s="22"/>
    </row>
    <row r="203" spans="6:66" x14ac:dyDescent="0.25">
      <c r="BH203" s="22"/>
      <c r="BI203" s="22"/>
      <c r="BJ203" s="22"/>
      <c r="BK203" s="22"/>
      <c r="BL203" s="22"/>
      <c r="BM203" s="22"/>
      <c r="BN203" s="22"/>
    </row>
    <row r="204" spans="6:66" x14ac:dyDescent="0.25">
      <c r="BH204" s="22"/>
      <c r="BI204" s="22"/>
      <c r="BJ204" s="22"/>
      <c r="BK204" s="22"/>
      <c r="BL204" s="22"/>
      <c r="BM204" s="22"/>
      <c r="BN204" s="22"/>
    </row>
    <row r="205" spans="6:66" x14ac:dyDescent="0.25">
      <c r="BH205" s="22"/>
      <c r="BI205" s="22"/>
      <c r="BJ205" s="22"/>
      <c r="BK205" s="22"/>
      <c r="BL205" s="22"/>
      <c r="BM205" s="22"/>
      <c r="BN205" s="22"/>
    </row>
    <row r="206" spans="6:66" x14ac:dyDescent="0.25">
      <c r="BH206" s="22"/>
      <c r="BI206" s="22"/>
      <c r="BJ206" s="22"/>
      <c r="BK206" s="22"/>
      <c r="BL206" s="22"/>
      <c r="BM206" s="22"/>
      <c r="BN206" s="22"/>
    </row>
    <row r="207" spans="6:66" x14ac:dyDescent="0.25">
      <c r="BH207" s="22"/>
      <c r="BI207" s="22"/>
      <c r="BJ207" s="22"/>
      <c r="BK207" s="22"/>
      <c r="BL207" s="22"/>
      <c r="BM207" s="22"/>
      <c r="BN207" s="22"/>
    </row>
    <row r="208" spans="6:66" x14ac:dyDescent="0.25">
      <c r="BH208" s="22"/>
      <c r="BI208" s="22"/>
      <c r="BJ208" s="22"/>
      <c r="BK208" s="22"/>
      <c r="BL208" s="22"/>
      <c r="BM208" s="22"/>
      <c r="BN208" s="22"/>
    </row>
    <row r="209" spans="60:66" x14ac:dyDescent="0.25">
      <c r="BH209" s="22"/>
      <c r="BI209" s="22"/>
      <c r="BJ209" s="22"/>
      <c r="BK209" s="22"/>
      <c r="BL209" s="22"/>
      <c r="BM209" s="22"/>
      <c r="BN209" s="22"/>
    </row>
    <row r="210" spans="60:66" x14ac:dyDescent="0.25">
      <c r="BH210" s="22"/>
      <c r="BI210" s="22"/>
      <c r="BJ210" s="22"/>
      <c r="BK210" s="22"/>
      <c r="BL210" s="22"/>
      <c r="BM210" s="22"/>
      <c r="BN210" s="22"/>
    </row>
    <row r="211" spans="60:66" x14ac:dyDescent="0.25">
      <c r="BH211" s="22"/>
      <c r="BI211" s="22"/>
      <c r="BJ211" s="22"/>
      <c r="BK211" s="22"/>
      <c r="BL211" s="22"/>
      <c r="BM211" s="22"/>
      <c r="BN211" s="22"/>
    </row>
    <row r="212" spans="60:66" x14ac:dyDescent="0.25">
      <c r="BH212" s="22"/>
      <c r="BI212" s="22"/>
      <c r="BJ212" s="22"/>
      <c r="BK212" s="22"/>
      <c r="BL212" s="22"/>
      <c r="BM212" s="22"/>
      <c r="BN212" s="22"/>
    </row>
    <row r="213" spans="60:66" x14ac:dyDescent="0.25">
      <c r="BH213" s="22"/>
      <c r="BI213" s="22"/>
      <c r="BJ213" s="22"/>
      <c r="BK213" s="22"/>
      <c r="BL213" s="22"/>
      <c r="BM213" s="22"/>
      <c r="BN213" s="22"/>
    </row>
    <row r="214" spans="60:66" x14ac:dyDescent="0.25">
      <c r="BH214" s="22"/>
      <c r="BI214" s="22"/>
      <c r="BJ214" s="22"/>
      <c r="BK214" s="22"/>
      <c r="BL214" s="22"/>
      <c r="BM214" s="22"/>
      <c r="BN214" s="22"/>
    </row>
    <row r="215" spans="60:66" x14ac:dyDescent="0.25">
      <c r="BH215" s="22"/>
      <c r="BI215" s="22"/>
      <c r="BJ215" s="22"/>
      <c r="BK215" s="22"/>
      <c r="BL215" s="22"/>
      <c r="BM215" s="22"/>
      <c r="BN215" s="22"/>
    </row>
    <row r="216" spans="60:66" x14ac:dyDescent="0.25">
      <c r="BH216" s="22"/>
      <c r="BI216" s="22"/>
      <c r="BJ216" s="22"/>
      <c r="BK216" s="22"/>
      <c r="BL216" s="22"/>
      <c r="BM216" s="22"/>
      <c r="BN216" s="22"/>
    </row>
    <row r="217" spans="60:66" x14ac:dyDescent="0.25">
      <c r="BH217" s="22"/>
      <c r="BI217" s="22"/>
      <c r="BJ217" s="22"/>
      <c r="BK217" s="22"/>
      <c r="BL217" s="22"/>
      <c r="BM217" s="22"/>
      <c r="BN217" s="22"/>
    </row>
    <row r="218" spans="60:66" x14ac:dyDescent="0.25">
      <c r="BH218" s="22"/>
      <c r="BI218" s="22"/>
      <c r="BJ218" s="22"/>
      <c r="BK218" s="22"/>
      <c r="BL218" s="22"/>
      <c r="BM218" s="22"/>
      <c r="BN218" s="22"/>
    </row>
    <row r="219" spans="60:66" x14ac:dyDescent="0.25">
      <c r="BH219" s="22"/>
      <c r="BI219" s="22"/>
      <c r="BJ219" s="22"/>
      <c r="BK219" s="22"/>
      <c r="BL219" s="22"/>
      <c r="BM219" s="22"/>
      <c r="BN219" s="22"/>
    </row>
    <row r="220" spans="60:66" x14ac:dyDescent="0.25">
      <c r="BH220" s="22"/>
      <c r="BI220" s="22"/>
      <c r="BJ220" s="22"/>
      <c r="BK220" s="22"/>
      <c r="BL220" s="22"/>
      <c r="BM220" s="22"/>
      <c r="BN220" s="22"/>
    </row>
    <row r="221" spans="60:66" x14ac:dyDescent="0.25">
      <c r="BH221" s="22"/>
      <c r="BI221" s="22"/>
      <c r="BJ221" s="22"/>
      <c r="BK221" s="22"/>
      <c r="BL221" s="22"/>
      <c r="BM221" s="22"/>
      <c r="BN221" s="22"/>
    </row>
    <row r="222" spans="60:66" x14ac:dyDescent="0.25">
      <c r="BH222" s="22"/>
      <c r="BI222" s="22"/>
      <c r="BJ222" s="22"/>
      <c r="BK222" s="22"/>
      <c r="BL222" s="22"/>
      <c r="BM222" s="22"/>
      <c r="BN222" s="22"/>
    </row>
    <row r="223" spans="60:66" x14ac:dyDescent="0.25">
      <c r="BH223" s="22"/>
      <c r="BI223" s="22"/>
      <c r="BJ223" s="22"/>
      <c r="BK223" s="22"/>
      <c r="BL223" s="22"/>
      <c r="BM223" s="22"/>
      <c r="BN223" s="22"/>
    </row>
    <row r="224" spans="60:66" x14ac:dyDescent="0.25">
      <c r="BH224" s="22"/>
      <c r="BI224" s="22"/>
      <c r="BJ224" s="22"/>
      <c r="BK224" s="22"/>
      <c r="BL224" s="22"/>
      <c r="BM224" s="22"/>
      <c r="BN224" s="22"/>
    </row>
    <row r="225" spans="60:66" x14ac:dyDescent="0.25">
      <c r="BH225" s="22"/>
      <c r="BI225" s="22"/>
      <c r="BJ225" s="22"/>
      <c r="BK225" s="22"/>
      <c r="BL225" s="22"/>
      <c r="BM225" s="22"/>
      <c r="BN225" s="22"/>
    </row>
    <row r="226" spans="60:66" x14ac:dyDescent="0.25">
      <c r="BH226" s="22"/>
      <c r="BI226" s="22"/>
      <c r="BJ226" s="22"/>
      <c r="BK226" s="22"/>
      <c r="BL226" s="22"/>
      <c r="BM226" s="22"/>
      <c r="BN226" s="22"/>
    </row>
    <row r="227" spans="60:66" x14ac:dyDescent="0.25">
      <c r="BH227" s="22"/>
      <c r="BI227" s="22"/>
      <c r="BJ227" s="22"/>
      <c r="BK227" s="22"/>
      <c r="BL227" s="22"/>
      <c r="BM227" s="22"/>
      <c r="BN227" s="22"/>
    </row>
    <row r="228" spans="60:66" x14ac:dyDescent="0.25">
      <c r="BH228" s="22"/>
      <c r="BI228" s="22"/>
      <c r="BJ228" s="22"/>
      <c r="BK228" s="22"/>
      <c r="BL228" s="22"/>
      <c r="BM228" s="22"/>
      <c r="BN228" s="22"/>
    </row>
    <row r="229" spans="60:66" x14ac:dyDescent="0.25">
      <c r="BH229" s="22"/>
      <c r="BI229" s="22"/>
      <c r="BJ229" s="22"/>
      <c r="BK229" s="22"/>
      <c r="BL229" s="22"/>
      <c r="BM229" s="22"/>
      <c r="BN229" s="22"/>
    </row>
    <row r="230" spans="60:66" x14ac:dyDescent="0.25">
      <c r="BH230" s="22"/>
      <c r="BI230" s="22"/>
      <c r="BJ230" s="22"/>
      <c r="BK230" s="22"/>
      <c r="BL230" s="22"/>
      <c r="BM230" s="22"/>
      <c r="BN230" s="22"/>
    </row>
    <row r="231" spans="60:66" x14ac:dyDescent="0.25">
      <c r="BH231" s="22"/>
      <c r="BI231" s="22"/>
      <c r="BJ231" s="22"/>
      <c r="BK231" s="22"/>
      <c r="BL231" s="22"/>
      <c r="BM231" s="22"/>
      <c r="BN231" s="22"/>
    </row>
    <row r="232" spans="60:66" x14ac:dyDescent="0.25">
      <c r="BH232" s="22"/>
      <c r="BI232" s="22"/>
      <c r="BJ232" s="22"/>
      <c r="BK232" s="22"/>
      <c r="BL232" s="22"/>
      <c r="BM232" s="22"/>
      <c r="BN232" s="22"/>
    </row>
    <row r="233" spans="60:66" x14ac:dyDescent="0.25">
      <c r="BH233" s="22"/>
      <c r="BI233" s="22"/>
      <c r="BJ233" s="22"/>
      <c r="BK233" s="22"/>
      <c r="BL233" s="22"/>
      <c r="BM233" s="22"/>
      <c r="BN233" s="22"/>
    </row>
    <row r="234" spans="60:66" x14ac:dyDescent="0.25">
      <c r="BH234" s="22"/>
      <c r="BI234" s="22"/>
      <c r="BJ234" s="22"/>
      <c r="BK234" s="22"/>
      <c r="BL234" s="22"/>
      <c r="BM234" s="22"/>
      <c r="BN234" s="22"/>
    </row>
    <row r="235" spans="60:66" x14ac:dyDescent="0.25">
      <c r="BH235" s="22"/>
      <c r="BI235" s="22"/>
      <c r="BJ235" s="22"/>
      <c r="BK235" s="22"/>
      <c r="BL235" s="22"/>
      <c r="BM235" s="22"/>
      <c r="BN235" s="22"/>
    </row>
    <row r="236" spans="60:66" x14ac:dyDescent="0.25">
      <c r="BH236" s="22"/>
      <c r="BI236" s="22"/>
      <c r="BJ236" s="22"/>
      <c r="BK236" s="22"/>
      <c r="BL236" s="22"/>
      <c r="BM236" s="22"/>
      <c r="BN236" s="22"/>
    </row>
    <row r="237" spans="60:66" x14ac:dyDescent="0.25">
      <c r="BH237" s="22"/>
      <c r="BI237" s="22"/>
      <c r="BJ237" s="22"/>
      <c r="BK237" s="22"/>
      <c r="BL237" s="22"/>
      <c r="BM237" s="22"/>
      <c r="BN237" s="22"/>
    </row>
    <row r="238" spans="60:66" x14ac:dyDescent="0.25">
      <c r="BH238" s="22"/>
      <c r="BI238" s="22"/>
      <c r="BJ238" s="22"/>
      <c r="BK238" s="22"/>
      <c r="BL238" s="22"/>
      <c r="BM238" s="22"/>
      <c r="BN238" s="22"/>
    </row>
    <row r="239" spans="60:66" x14ac:dyDescent="0.25">
      <c r="BH239" s="22"/>
      <c r="BI239" s="22"/>
      <c r="BJ239" s="22"/>
      <c r="BK239" s="22"/>
      <c r="BL239" s="22"/>
      <c r="BM239" s="22"/>
      <c r="BN239" s="22"/>
    </row>
    <row r="240" spans="60:66" x14ac:dyDescent="0.25">
      <c r="BH240" s="22"/>
      <c r="BI240" s="22"/>
      <c r="BJ240" s="22"/>
      <c r="BK240" s="22"/>
      <c r="BL240" s="22"/>
      <c r="BM240" s="22"/>
      <c r="BN240" s="22"/>
    </row>
    <row r="241" spans="60:66" x14ac:dyDescent="0.25">
      <c r="BH241" s="22"/>
      <c r="BI241" s="22"/>
      <c r="BJ241" s="22"/>
      <c r="BK241" s="22"/>
      <c r="BL241" s="22"/>
      <c r="BM241" s="22"/>
      <c r="BN241" s="22"/>
    </row>
    <row r="242" spans="60:66" x14ac:dyDescent="0.25">
      <c r="BH242" s="22"/>
      <c r="BI242" s="22"/>
      <c r="BJ242" s="22"/>
      <c r="BK242" s="22"/>
      <c r="BL242" s="22"/>
      <c r="BM242" s="22"/>
      <c r="BN242" s="22"/>
    </row>
    <row r="243" spans="60:66" x14ac:dyDescent="0.25">
      <c r="BH243" s="22"/>
      <c r="BI243" s="22"/>
      <c r="BJ243" s="22"/>
      <c r="BK243" s="22"/>
      <c r="BL243" s="22"/>
      <c r="BM243" s="22"/>
      <c r="BN243" s="22"/>
    </row>
    <row r="244" spans="60:66" x14ac:dyDescent="0.25">
      <c r="BH244" s="22"/>
      <c r="BI244" s="22"/>
      <c r="BJ244" s="22"/>
      <c r="BK244" s="22"/>
      <c r="BL244" s="22"/>
      <c r="BM244" s="22"/>
      <c r="BN244" s="22"/>
    </row>
    <row r="245" spans="60:66" x14ac:dyDescent="0.25">
      <c r="BH245" s="22"/>
      <c r="BI245" s="22"/>
      <c r="BJ245" s="22"/>
      <c r="BK245" s="22"/>
      <c r="BL245" s="22"/>
      <c r="BM245" s="22"/>
      <c r="BN245" s="22"/>
    </row>
    <row r="246" spans="60:66" x14ac:dyDescent="0.25">
      <c r="BH246" s="22"/>
      <c r="BI246" s="22"/>
      <c r="BJ246" s="22"/>
      <c r="BK246" s="22"/>
      <c r="BL246" s="22"/>
      <c r="BM246" s="22"/>
      <c r="BN246" s="22"/>
    </row>
    <row r="247" spans="60:66" x14ac:dyDescent="0.25">
      <c r="BH247" s="22"/>
      <c r="BI247" s="22"/>
      <c r="BJ247" s="22"/>
      <c r="BK247" s="22"/>
      <c r="BL247" s="22"/>
      <c r="BM247" s="22"/>
      <c r="BN247" s="22"/>
    </row>
  </sheetData>
  <conditionalFormatting sqref="J10:Q29">
    <cfRule type="containsText" dxfId="62" priority="14" operator="containsText" text="WO">
      <formula>NOT(ISERROR(SEARCH("WO",J10)))</formula>
    </cfRule>
  </conditionalFormatting>
  <conditionalFormatting sqref="K10:AO29">
    <cfRule type="containsText" dxfId="61" priority="1" operator="containsText" text="L">
      <formula>NOT(ISERROR(SEARCH("L",K10)))</formula>
    </cfRule>
    <cfRule type="containsText" dxfId="60" priority="2" operator="containsText" text="A">
      <formula>NOT(ISERROR(SEARCH("A",K10)))</formula>
    </cfRule>
    <cfRule type="containsText" dxfId="59" priority="3" operator="containsText" text="P">
      <formula>NOT(ISERROR(SEARCH("P",K10)))</formula>
    </cfRule>
  </conditionalFormatting>
  <conditionalFormatting sqref="V11:V29">
    <cfRule type="containsText" dxfId="58" priority="13" operator="containsText" text="WO">
      <formula>NOT(ISERROR(SEARCH("WO",V11)))</formula>
    </cfRule>
  </conditionalFormatting>
  <conditionalFormatting sqref="W10:X29">
    <cfRule type="containsText" dxfId="57" priority="5" operator="containsText" text="WO">
      <formula>NOT(ISERROR(SEARCH("WO",W10)))</formula>
    </cfRule>
  </conditionalFormatting>
  <conditionalFormatting sqref="AC11:AC29">
    <cfRule type="containsText" dxfId="56" priority="4" operator="containsText" text="WO">
      <formula>NOT(ISERROR(SEARCH("WO",AC11)))</formula>
    </cfRule>
  </conditionalFormatting>
  <conditionalFormatting sqref="AD10:AD29 AK10:AO29">
    <cfRule type="containsText" dxfId="55" priority="18" operator="containsText" text="WO">
      <formula>NOT(ISERROR(SEARCH("WO",AD10)))</formula>
    </cfRule>
  </conditionalFormatting>
  <conditionalFormatting sqref="AF10:AG29 AE11:AE29">
    <cfRule type="containsText" dxfId="54" priority="9" operator="containsText" text="WO">
      <formula>NOT(ISERROR(SEARCH("WO",AE10)))</formula>
    </cfRule>
  </conditionalFormatting>
  <dataValidations count="1">
    <dataValidation type="list" allowBlank="1" showInputMessage="1" showErrorMessage="1" sqref="K10:O29 AL10:AO29 AE10:AJ29 Q10:V29 X10:AC29" xr:uid="{6AE8D009-6738-487C-B8E8-B6184FE234CF}">
      <formula1>"P, A, 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9FC8D6-8954-4164-BD29-68C839069E54}">
          <x14:formula1>
            <xm:f>Sheet2!$A$1:$A$12</xm:f>
          </x14:formula1>
          <xm:sqref>H6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1C0852F1-4279-4E4E-B906-298D836C97A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Jul!AV10:AY10</xm:f>
              <xm:sqref>BF10</xm:sqref>
            </x14:sparkline>
            <x14:sparkline>
              <xm:f>Jul!AV11:AY11</xm:f>
              <xm:sqref>BF11</xm:sqref>
            </x14:sparkline>
            <x14:sparkline>
              <xm:f>Jul!AV12:AY12</xm:f>
              <xm:sqref>BF12</xm:sqref>
            </x14:sparkline>
            <x14:sparkline>
              <xm:f>Jul!AV13:AY13</xm:f>
              <xm:sqref>BF13</xm:sqref>
            </x14:sparkline>
            <x14:sparkline>
              <xm:f>Jul!AV14:AY14</xm:f>
              <xm:sqref>BF14</xm:sqref>
            </x14:sparkline>
            <x14:sparkline>
              <xm:f>Jul!AV15:AY15</xm:f>
              <xm:sqref>BF15</xm:sqref>
            </x14:sparkline>
            <x14:sparkline>
              <xm:f>Jul!AV16:AY16</xm:f>
              <xm:sqref>BF16</xm:sqref>
            </x14:sparkline>
            <x14:sparkline>
              <xm:f>Jul!AV17:AY17</xm:f>
              <xm:sqref>BF17</xm:sqref>
            </x14:sparkline>
            <x14:sparkline>
              <xm:f>Jul!AV18:AY18</xm:f>
              <xm:sqref>BF18</xm:sqref>
            </x14:sparkline>
            <x14:sparkline>
              <xm:f>Jul!AV19:AY19</xm:f>
              <xm:sqref>BF19</xm:sqref>
            </x14:sparkline>
            <x14:sparkline>
              <xm:f>Jul!AV20:AY20</xm:f>
              <xm:sqref>BF20</xm:sqref>
            </x14:sparkline>
            <x14:sparkline>
              <xm:f>Jul!AV21:AY21</xm:f>
              <xm:sqref>BF21</xm:sqref>
            </x14:sparkline>
            <x14:sparkline>
              <xm:f>Jul!AV22:AY22</xm:f>
              <xm:sqref>BF22</xm:sqref>
            </x14:sparkline>
            <x14:sparkline>
              <xm:f>Jul!AV23:AY23</xm:f>
              <xm:sqref>BF23</xm:sqref>
            </x14:sparkline>
            <x14:sparkline>
              <xm:f>Jul!AV24:AY24</xm:f>
              <xm:sqref>BF24</xm:sqref>
            </x14:sparkline>
            <x14:sparkline>
              <xm:f>Jul!AV25:AY25</xm:f>
              <xm:sqref>BF25</xm:sqref>
            </x14:sparkline>
            <x14:sparkline>
              <xm:f>Jul!AV26:AY26</xm:f>
              <xm:sqref>BF26</xm:sqref>
            </x14:sparkline>
            <x14:sparkline>
              <xm:f>Jul!AV27:AY27</xm:f>
              <xm:sqref>BF27</xm:sqref>
            </x14:sparkline>
            <x14:sparkline>
              <xm:f>Jul!AV28:AY28</xm:f>
              <xm:sqref>BF28</xm:sqref>
            </x14:sparkline>
            <x14:sparkline>
              <xm:f>Jul!AV29:AY29</xm:f>
              <xm:sqref>BF29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00AB7-361D-4C98-B820-F88B4F574D25}">
  <dimension ref="E1:BO247"/>
  <sheetViews>
    <sheetView tabSelected="1" zoomScale="85" zoomScaleNormal="85" workbookViewId="0"/>
  </sheetViews>
  <sheetFormatPr defaultRowHeight="15.75" x14ac:dyDescent="0.25"/>
  <cols>
    <col min="1" max="4" width="9.140625" style="3"/>
    <col min="5" max="5" width="9.140625" style="22"/>
    <col min="6" max="6" width="9.140625" style="3"/>
    <col min="7" max="7" width="9.28515625" style="3" bestFit="1" customWidth="1"/>
    <col min="8" max="8" width="26.85546875" style="3" customWidth="1"/>
    <col min="9" max="9" width="15" style="3" customWidth="1"/>
    <col min="10" max="10" width="19.28515625" style="3" customWidth="1"/>
    <col min="11" max="11" width="9.140625" style="3"/>
    <col min="12" max="12" width="9.28515625" style="3" bestFit="1" customWidth="1"/>
    <col min="13" max="13" width="13.7109375" style="3" customWidth="1"/>
    <col min="14" max="41" width="9.28515625" style="3" bestFit="1" customWidth="1"/>
    <col min="42" max="42" width="9.140625" style="3"/>
    <col min="43" max="43" width="9.140625" style="22"/>
    <col min="44" max="44" width="9.140625" style="3"/>
    <col min="45" max="46" width="15.42578125" style="3" customWidth="1"/>
    <col min="47" max="47" width="15.5703125" style="3" customWidth="1"/>
    <col min="48" max="48" width="10.7109375" style="3" customWidth="1"/>
    <col min="49" max="49" width="10.28515625" style="3" customWidth="1"/>
    <col min="50" max="50" width="9.140625" style="3"/>
    <col min="51" max="51" width="11.5703125" style="3" customWidth="1"/>
    <col min="52" max="52" width="9.140625" style="3"/>
    <col min="53" max="53" width="13.7109375" style="3" customWidth="1"/>
    <col min="54" max="54" width="13.5703125" style="3" customWidth="1"/>
    <col min="55" max="55" width="17.85546875" style="3" customWidth="1"/>
    <col min="56" max="56" width="15" style="3" customWidth="1"/>
    <col min="57" max="57" width="18.140625" style="3" customWidth="1"/>
    <col min="58" max="58" width="25.140625" style="3" customWidth="1"/>
    <col min="59" max="59" width="9.140625" style="22"/>
    <col min="60" max="16384" width="9.140625" style="3"/>
  </cols>
  <sheetData>
    <row r="1" spans="6:67" x14ac:dyDescent="0.25">
      <c r="BH1" s="22"/>
      <c r="BI1" s="22"/>
      <c r="BJ1" s="22"/>
      <c r="BK1" s="22"/>
      <c r="BL1" s="22"/>
      <c r="BM1" s="22"/>
      <c r="BN1" s="22"/>
      <c r="BO1" s="22"/>
    </row>
    <row r="2" spans="6:67" x14ac:dyDescent="0.25">
      <c r="BH2" s="22"/>
      <c r="BI2" s="22"/>
      <c r="BJ2" s="22"/>
      <c r="BK2" s="22"/>
      <c r="BL2" s="22"/>
      <c r="BM2" s="22"/>
      <c r="BN2" s="22"/>
    </row>
    <row r="3" spans="6:67" x14ac:dyDescent="0.25">
      <c r="BH3" s="22"/>
      <c r="BI3" s="22"/>
      <c r="BJ3" s="22"/>
      <c r="BK3" s="22"/>
      <c r="BL3" s="22"/>
      <c r="BM3" s="22"/>
      <c r="BN3" s="22"/>
    </row>
    <row r="4" spans="6:67" s="22" customFormat="1" x14ac:dyDescent="0.25"/>
    <row r="5" spans="6:67" s="22" customFormat="1" x14ac:dyDescent="0.25"/>
    <row r="6" spans="6:67" s="22" customFormat="1" x14ac:dyDescent="0.25">
      <c r="G6" s="25" t="s">
        <v>22</v>
      </c>
      <c r="H6" s="26">
        <v>45870</v>
      </c>
      <c r="I6" s="27">
        <f>(DATEDIF($H$6,$M$6,"D"))+1</f>
        <v>31</v>
      </c>
      <c r="J6" s="25" t="str">
        <f>TEXT(H6,"MMMM")</f>
        <v>August</v>
      </c>
      <c r="K6" s="25"/>
      <c r="L6" s="25" t="s">
        <v>23</v>
      </c>
      <c r="M6" s="26">
        <f>EOMONTH(H6,0)</f>
        <v>45900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6:67" x14ac:dyDescent="0.25"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2"/>
      <c r="BI7" s="22"/>
      <c r="BJ7" s="22"/>
      <c r="BK7" s="22"/>
      <c r="BL7" s="22"/>
      <c r="BM7" s="22"/>
      <c r="BN7" s="22"/>
    </row>
    <row r="8" spans="6:67" x14ac:dyDescent="0.25">
      <c r="F8" s="21"/>
      <c r="G8" s="5"/>
      <c r="H8" s="5" t="s">
        <v>25</v>
      </c>
      <c r="I8" s="5"/>
      <c r="J8" s="5" t="s">
        <v>26</v>
      </c>
      <c r="K8" s="5" t="str">
        <f>TEXT(K9,"DDD")</f>
        <v>Fri</v>
      </c>
      <c r="L8" s="5" t="str">
        <f t="shared" ref="L8:AO8" si="0">TEXT(L9,"DDD")</f>
        <v>Sat</v>
      </c>
      <c r="M8" s="5" t="str">
        <f t="shared" si="0"/>
        <v>Sun</v>
      </c>
      <c r="N8" s="5" t="str">
        <f t="shared" si="0"/>
        <v>Mon</v>
      </c>
      <c r="O8" s="5" t="str">
        <f t="shared" si="0"/>
        <v>Tue</v>
      </c>
      <c r="P8" s="5" t="str">
        <f t="shared" si="0"/>
        <v>Wed</v>
      </c>
      <c r="Q8" s="5" t="str">
        <f t="shared" si="0"/>
        <v>Thu</v>
      </c>
      <c r="R8" s="5" t="str">
        <f t="shared" si="0"/>
        <v>Fri</v>
      </c>
      <c r="S8" s="5" t="str">
        <f t="shared" si="0"/>
        <v>Sat</v>
      </c>
      <c r="T8" s="5" t="str">
        <f t="shared" si="0"/>
        <v>Sun</v>
      </c>
      <c r="U8" s="5" t="str">
        <f t="shared" si="0"/>
        <v>Mon</v>
      </c>
      <c r="V8" s="5" t="str">
        <f t="shared" si="0"/>
        <v>Tue</v>
      </c>
      <c r="W8" s="5" t="str">
        <f t="shared" si="0"/>
        <v>Wed</v>
      </c>
      <c r="X8" s="5" t="str">
        <f t="shared" si="0"/>
        <v>Thu</v>
      </c>
      <c r="Y8" s="5" t="str">
        <f t="shared" si="0"/>
        <v>Fri</v>
      </c>
      <c r="Z8" s="5" t="str">
        <f t="shared" si="0"/>
        <v>Sat</v>
      </c>
      <c r="AA8" s="5" t="str">
        <f t="shared" si="0"/>
        <v>Sun</v>
      </c>
      <c r="AB8" s="5" t="str">
        <f t="shared" si="0"/>
        <v>Mon</v>
      </c>
      <c r="AC8" s="5" t="str">
        <f t="shared" si="0"/>
        <v>Tue</v>
      </c>
      <c r="AD8" s="5" t="str">
        <f t="shared" si="0"/>
        <v>Wed</v>
      </c>
      <c r="AE8" s="5" t="str">
        <f t="shared" si="0"/>
        <v>Thu</v>
      </c>
      <c r="AF8" s="5" t="str">
        <f t="shared" si="0"/>
        <v>Fri</v>
      </c>
      <c r="AG8" s="5" t="str">
        <f t="shared" si="0"/>
        <v>Sat</v>
      </c>
      <c r="AH8" s="5" t="str">
        <f t="shared" si="0"/>
        <v>Sun</v>
      </c>
      <c r="AI8" s="5" t="str">
        <f t="shared" si="0"/>
        <v>Mon</v>
      </c>
      <c r="AJ8" s="5" t="str">
        <f t="shared" si="0"/>
        <v>Tue</v>
      </c>
      <c r="AK8" s="5" t="str">
        <f t="shared" si="0"/>
        <v>Wed</v>
      </c>
      <c r="AL8" s="5" t="str">
        <f t="shared" si="0"/>
        <v>Thu</v>
      </c>
      <c r="AM8" s="5" t="str">
        <f t="shared" si="0"/>
        <v>Fri</v>
      </c>
      <c r="AN8" s="5" t="str">
        <f t="shared" si="0"/>
        <v>Sat</v>
      </c>
      <c r="AO8" s="5" t="str">
        <f t="shared" si="0"/>
        <v>Sun</v>
      </c>
      <c r="AP8" s="21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2"/>
      <c r="BI8" s="22"/>
      <c r="BJ8" s="22"/>
      <c r="BK8" s="22"/>
      <c r="BL8" s="22"/>
      <c r="BM8" s="22"/>
      <c r="BN8" s="22"/>
    </row>
    <row r="9" spans="6:67" ht="16.5" thickBot="1" x14ac:dyDescent="0.3">
      <c r="F9" s="21"/>
      <c r="G9" s="13" t="s">
        <v>0</v>
      </c>
      <c r="H9" s="13" t="s">
        <v>1</v>
      </c>
      <c r="I9" s="13" t="s">
        <v>2</v>
      </c>
      <c r="J9" s="14" t="s">
        <v>21</v>
      </c>
      <c r="K9" s="15">
        <f>H6</f>
        <v>45870</v>
      </c>
      <c r="L9" s="15">
        <f>IF(K9&lt;$M$6,K9+1,"")</f>
        <v>45871</v>
      </c>
      <c r="M9" s="15">
        <f t="shared" ref="M9:AO9" si="1">IF(L9&lt;$M$6,L9+1,"")</f>
        <v>45872</v>
      </c>
      <c r="N9" s="15">
        <f t="shared" si="1"/>
        <v>45873</v>
      </c>
      <c r="O9" s="15">
        <f t="shared" si="1"/>
        <v>45874</v>
      </c>
      <c r="P9" s="15">
        <f t="shared" si="1"/>
        <v>45875</v>
      </c>
      <c r="Q9" s="15">
        <f t="shared" si="1"/>
        <v>45876</v>
      </c>
      <c r="R9" s="15">
        <f t="shared" si="1"/>
        <v>45877</v>
      </c>
      <c r="S9" s="15">
        <f t="shared" si="1"/>
        <v>45878</v>
      </c>
      <c r="T9" s="15">
        <f t="shared" si="1"/>
        <v>45879</v>
      </c>
      <c r="U9" s="15">
        <f t="shared" si="1"/>
        <v>45880</v>
      </c>
      <c r="V9" s="15">
        <f t="shared" si="1"/>
        <v>45881</v>
      </c>
      <c r="W9" s="15">
        <f t="shared" si="1"/>
        <v>45882</v>
      </c>
      <c r="X9" s="15">
        <f t="shared" si="1"/>
        <v>45883</v>
      </c>
      <c r="Y9" s="15">
        <f t="shared" si="1"/>
        <v>45884</v>
      </c>
      <c r="Z9" s="15">
        <f t="shared" si="1"/>
        <v>45885</v>
      </c>
      <c r="AA9" s="15">
        <f t="shared" si="1"/>
        <v>45886</v>
      </c>
      <c r="AB9" s="15">
        <f t="shared" si="1"/>
        <v>45887</v>
      </c>
      <c r="AC9" s="15">
        <f t="shared" si="1"/>
        <v>45888</v>
      </c>
      <c r="AD9" s="15">
        <f t="shared" si="1"/>
        <v>45889</v>
      </c>
      <c r="AE9" s="15">
        <f t="shared" si="1"/>
        <v>45890</v>
      </c>
      <c r="AF9" s="15">
        <f t="shared" si="1"/>
        <v>45891</v>
      </c>
      <c r="AG9" s="15">
        <f t="shared" si="1"/>
        <v>45892</v>
      </c>
      <c r="AH9" s="15">
        <f t="shared" si="1"/>
        <v>45893</v>
      </c>
      <c r="AI9" s="15">
        <f t="shared" si="1"/>
        <v>45894</v>
      </c>
      <c r="AJ9" s="15">
        <f t="shared" si="1"/>
        <v>45895</v>
      </c>
      <c r="AK9" s="15">
        <f t="shared" si="1"/>
        <v>45896</v>
      </c>
      <c r="AL9" s="15">
        <f t="shared" si="1"/>
        <v>45897</v>
      </c>
      <c r="AM9" s="15">
        <f t="shared" si="1"/>
        <v>45898</v>
      </c>
      <c r="AN9" s="15">
        <f t="shared" si="1"/>
        <v>45899</v>
      </c>
      <c r="AO9" s="15">
        <f t="shared" si="1"/>
        <v>45900</v>
      </c>
      <c r="AP9" s="21"/>
      <c r="AQ9" s="24"/>
      <c r="AR9" s="18" t="s">
        <v>0</v>
      </c>
      <c r="AS9" s="18" t="s">
        <v>1</v>
      </c>
      <c r="AT9" s="18" t="s">
        <v>37</v>
      </c>
      <c r="AU9" s="18" t="s">
        <v>2</v>
      </c>
      <c r="AV9" s="18" t="s">
        <v>27</v>
      </c>
      <c r="AW9" s="18" t="s">
        <v>28</v>
      </c>
      <c r="AX9" s="18" t="s">
        <v>29</v>
      </c>
      <c r="AY9" s="18" t="s">
        <v>30</v>
      </c>
      <c r="AZ9" s="18" t="s">
        <v>26</v>
      </c>
      <c r="BA9" s="18" t="s">
        <v>31</v>
      </c>
      <c r="BB9" s="18" t="s">
        <v>32</v>
      </c>
      <c r="BC9" s="18" t="s">
        <v>33</v>
      </c>
      <c r="BD9" s="18" t="s">
        <v>34</v>
      </c>
      <c r="BE9" s="18" t="s">
        <v>35</v>
      </c>
      <c r="BF9" s="18" t="s">
        <v>36</v>
      </c>
      <c r="BG9" s="24"/>
      <c r="BH9" s="22"/>
      <c r="BI9" s="22"/>
      <c r="BJ9" s="22"/>
      <c r="BK9" s="22"/>
      <c r="BL9" s="22"/>
      <c r="BM9" s="22"/>
      <c r="BN9" s="22"/>
    </row>
    <row r="10" spans="6:67" x14ac:dyDescent="0.25">
      <c r="F10" s="21"/>
      <c r="G10" s="6">
        <v>1</v>
      </c>
      <c r="H10" s="7" t="s">
        <v>3</v>
      </c>
      <c r="I10" s="7">
        <v>1001</v>
      </c>
      <c r="J10" s="46">
        <f>COUNTIF($J$8:$AO$8,"SUN")</f>
        <v>5</v>
      </c>
      <c r="K10" s="51" t="s">
        <v>38</v>
      </c>
      <c r="L10" s="52" t="s">
        <v>38</v>
      </c>
      <c r="M10" s="43" t="str">
        <f t="shared" ref="M10:T29" si="2">IF(M$8="SUN","WO","")</f>
        <v>WO</v>
      </c>
      <c r="N10" s="52" t="s">
        <v>38</v>
      </c>
      <c r="O10" s="51" t="s">
        <v>38</v>
      </c>
      <c r="P10" s="51" t="s">
        <v>38</v>
      </c>
      <c r="Q10" s="51" t="s">
        <v>38</v>
      </c>
      <c r="R10" s="51" t="s">
        <v>38</v>
      </c>
      <c r="S10" s="51" t="s">
        <v>39</v>
      </c>
      <c r="T10" s="43" t="str">
        <f t="shared" ref="M10:AH20" si="3">IF(T$8="SUN","WO","")</f>
        <v>WO</v>
      </c>
      <c r="U10" s="52" t="s">
        <v>38</v>
      </c>
      <c r="V10" s="51" t="s">
        <v>38</v>
      </c>
      <c r="W10" s="51" t="s">
        <v>38</v>
      </c>
      <c r="X10" s="51" t="s">
        <v>38</v>
      </c>
      <c r="Y10" s="51" t="s">
        <v>38</v>
      </c>
      <c r="Z10" s="51" t="s">
        <v>39</v>
      </c>
      <c r="AA10" s="43" t="str">
        <f t="shared" ref="AA10" si="4">IF(AA$8="SUN","WO","")</f>
        <v>WO</v>
      </c>
      <c r="AB10" s="52" t="s">
        <v>38</v>
      </c>
      <c r="AC10" s="51" t="s">
        <v>38</v>
      </c>
      <c r="AD10" s="51" t="s">
        <v>38</v>
      </c>
      <c r="AE10" s="51" t="s">
        <v>38</v>
      </c>
      <c r="AF10" s="51" t="s">
        <v>38</v>
      </c>
      <c r="AG10" s="51" t="s">
        <v>39</v>
      </c>
      <c r="AH10" s="43" t="str">
        <f t="shared" si="3"/>
        <v>WO</v>
      </c>
      <c r="AI10" s="51" t="s">
        <v>38</v>
      </c>
      <c r="AJ10" s="51" t="s">
        <v>38</v>
      </c>
      <c r="AK10" s="51" t="s">
        <v>39</v>
      </c>
      <c r="AL10" s="51" t="s">
        <v>38</v>
      </c>
      <c r="AM10" s="51" t="s">
        <v>38</v>
      </c>
      <c r="AN10" s="51" t="s">
        <v>38</v>
      </c>
      <c r="AO10" s="43" t="str">
        <f t="shared" ref="AO10:AO25" si="5">IF(AO$8="SUN","WO","")</f>
        <v>WO</v>
      </c>
      <c r="AP10" s="21"/>
      <c r="AQ10" s="24"/>
      <c r="AR10" s="10">
        <v>1</v>
      </c>
      <c r="AS10" s="9" t="s">
        <v>3</v>
      </c>
      <c r="AT10" s="9" t="str">
        <f t="shared" ref="AT10:AT29" si="6">$J$6</f>
        <v>August</v>
      </c>
      <c r="AU10" s="9">
        <v>1001</v>
      </c>
      <c r="AV10" s="9">
        <f t="shared" ref="AV10:AV29" si="7">COUNTIF($K10:$AO10,"P")</f>
        <v>22</v>
      </c>
      <c r="AW10" s="9">
        <f t="shared" ref="AW10:AW29" si="8">COUNTIF($K10:$AO10,"A")</f>
        <v>4</v>
      </c>
      <c r="AX10" s="9">
        <f t="shared" ref="AX10:AX29" si="9">COUNTIF($K10:$AO10,"L")</f>
        <v>0</v>
      </c>
      <c r="AY10" s="16">
        <f t="shared" ref="AY10:AY29" si="10">$J$10</f>
        <v>5</v>
      </c>
      <c r="AZ10" s="16">
        <f t="shared" ref="AZ10:AZ29" si="11">$I$6</f>
        <v>31</v>
      </c>
      <c r="BA10" s="16">
        <f>AugReport[[#This Row],[Days]]-AugReport[[#This Row],[Absent]]</f>
        <v>27</v>
      </c>
      <c r="BB10" s="19">
        <v>10000</v>
      </c>
      <c r="BC10" s="20">
        <f>AugReport[[#This Row],[Salary ]]/AugReport[[#This Row],[Days]]</f>
        <v>322.58064516129031</v>
      </c>
      <c r="BD10" s="20">
        <f>AugReport[[#This Row],[Per Day Salary ]]*AugReport[[#This Row],[Absent]]</f>
        <v>1290.3225806451612</v>
      </c>
      <c r="BE10" s="20">
        <f>AugReport[[#This Row],[Salary ]]-AugReport[[#This Row],[Deduction]]</f>
        <v>8709.677419354839</v>
      </c>
      <c r="BF10" s="20"/>
      <c r="BG10" s="24"/>
      <c r="BH10" s="22"/>
      <c r="BI10" s="22"/>
      <c r="BJ10" s="22"/>
      <c r="BK10" s="22"/>
      <c r="BL10" s="22"/>
      <c r="BM10" s="22"/>
      <c r="BN10" s="22"/>
    </row>
    <row r="11" spans="6:67" x14ac:dyDescent="0.25">
      <c r="F11" s="21"/>
      <c r="G11" s="8">
        <v>2</v>
      </c>
      <c r="H11" s="9" t="s">
        <v>4</v>
      </c>
      <c r="I11" s="10">
        <v>1002</v>
      </c>
      <c r="J11" s="47">
        <f t="shared" ref="J11:J29" si="12">COUNTIF($J$8:$AO$8,"SUN")</f>
        <v>5</v>
      </c>
      <c r="K11" s="16" t="s">
        <v>38</v>
      </c>
      <c r="L11" s="16" t="s">
        <v>38</v>
      </c>
      <c r="M11" s="44" t="str">
        <f t="shared" si="2"/>
        <v>WO</v>
      </c>
      <c r="N11" s="16" t="s">
        <v>39</v>
      </c>
      <c r="O11" s="10" t="s">
        <v>38</v>
      </c>
      <c r="P11" s="10" t="s">
        <v>38</v>
      </c>
      <c r="Q11" s="10" t="s">
        <v>38</v>
      </c>
      <c r="R11" s="10" t="s">
        <v>38</v>
      </c>
      <c r="S11" s="16" t="s">
        <v>38</v>
      </c>
      <c r="T11" s="44" t="str">
        <f t="shared" si="2"/>
        <v>WO</v>
      </c>
      <c r="U11" s="16" t="s">
        <v>39</v>
      </c>
      <c r="V11" s="10" t="s">
        <v>38</v>
      </c>
      <c r="W11" s="10" t="s">
        <v>38</v>
      </c>
      <c r="X11" s="10" t="s">
        <v>38</v>
      </c>
      <c r="Y11" s="10" t="s">
        <v>38</v>
      </c>
      <c r="Z11" s="16" t="s">
        <v>38</v>
      </c>
      <c r="AA11" s="44" t="str">
        <f t="shared" si="3"/>
        <v>WO</v>
      </c>
      <c r="AB11" s="16" t="s">
        <v>39</v>
      </c>
      <c r="AC11" s="10" t="s">
        <v>38</v>
      </c>
      <c r="AD11" s="10" t="s">
        <v>38</v>
      </c>
      <c r="AE11" s="10" t="s">
        <v>38</v>
      </c>
      <c r="AF11" s="10" t="s">
        <v>38</v>
      </c>
      <c r="AG11" s="16" t="s">
        <v>38</v>
      </c>
      <c r="AH11" s="44" t="str">
        <f t="shared" si="3"/>
        <v>WO</v>
      </c>
      <c r="AI11" s="10" t="s">
        <v>38</v>
      </c>
      <c r="AJ11" s="10" t="s">
        <v>38</v>
      </c>
      <c r="AK11" s="10" t="s">
        <v>38</v>
      </c>
      <c r="AL11" s="10" t="s">
        <v>38</v>
      </c>
      <c r="AM11" s="10" t="s">
        <v>39</v>
      </c>
      <c r="AN11" s="10" t="s">
        <v>38</v>
      </c>
      <c r="AO11" s="44" t="str">
        <f t="shared" ref="AO11:AO29" si="13">IF(AO$8="SUN","WO","")</f>
        <v>WO</v>
      </c>
      <c r="AP11" s="21"/>
      <c r="AQ11" s="24"/>
      <c r="AR11" s="10">
        <v>2</v>
      </c>
      <c r="AS11" s="9" t="s">
        <v>4</v>
      </c>
      <c r="AT11" s="9" t="str">
        <f t="shared" si="6"/>
        <v>August</v>
      </c>
      <c r="AU11" s="9">
        <v>1002</v>
      </c>
      <c r="AV11" s="9">
        <f t="shared" si="7"/>
        <v>22</v>
      </c>
      <c r="AW11" s="16">
        <f t="shared" si="8"/>
        <v>4</v>
      </c>
      <c r="AX11" s="16">
        <f t="shared" si="9"/>
        <v>0</v>
      </c>
      <c r="AY11" s="16">
        <f t="shared" si="10"/>
        <v>5</v>
      </c>
      <c r="AZ11" s="16">
        <f t="shared" si="11"/>
        <v>31</v>
      </c>
      <c r="BA11" s="16">
        <f>AugReport[[#This Row],[Days]]-AugReport[[#This Row],[Absent]]</f>
        <v>27</v>
      </c>
      <c r="BB11" s="19">
        <v>20000</v>
      </c>
      <c r="BC11" s="20">
        <f>AugReport[[#This Row],[Salary ]]/AugReport[[#This Row],[Days]]</f>
        <v>645.16129032258061</v>
      </c>
      <c r="BD11" s="20">
        <f>AugReport[[#This Row],[Per Day Salary ]]*AugReport[[#This Row],[Absent]]</f>
        <v>2580.6451612903224</v>
      </c>
      <c r="BE11" s="20">
        <f>AugReport[[#This Row],[Salary ]]-AugReport[[#This Row],[Deduction]]</f>
        <v>17419.354838709678</v>
      </c>
      <c r="BF11" s="20"/>
      <c r="BG11" s="24"/>
      <c r="BH11" s="22"/>
      <c r="BI11" s="22"/>
      <c r="BJ11" s="22"/>
      <c r="BK11" s="22"/>
      <c r="BL11" s="22"/>
      <c r="BM11" s="22"/>
      <c r="BN11" s="22"/>
    </row>
    <row r="12" spans="6:67" x14ac:dyDescent="0.25">
      <c r="F12" s="21"/>
      <c r="G12" s="8">
        <v>3</v>
      </c>
      <c r="H12" s="10" t="s">
        <v>5</v>
      </c>
      <c r="I12" s="10">
        <v>1003</v>
      </c>
      <c r="J12" s="47">
        <f t="shared" si="12"/>
        <v>5</v>
      </c>
      <c r="K12" s="16" t="s">
        <v>38</v>
      </c>
      <c r="L12" s="16" t="s">
        <v>39</v>
      </c>
      <c r="M12" s="44" t="str">
        <f t="shared" si="3"/>
        <v>WO</v>
      </c>
      <c r="N12" s="16" t="s">
        <v>38</v>
      </c>
      <c r="O12" s="10" t="s">
        <v>38</v>
      </c>
      <c r="P12" s="10" t="s">
        <v>40</v>
      </c>
      <c r="Q12" s="10" t="s">
        <v>38</v>
      </c>
      <c r="R12" s="10" t="s">
        <v>38</v>
      </c>
      <c r="S12" s="16" t="s">
        <v>38</v>
      </c>
      <c r="T12" s="44" t="str">
        <f t="shared" si="3"/>
        <v>WO</v>
      </c>
      <c r="U12" s="16" t="s">
        <v>38</v>
      </c>
      <c r="V12" s="10" t="s">
        <v>38</v>
      </c>
      <c r="W12" s="10" t="s">
        <v>40</v>
      </c>
      <c r="X12" s="10" t="s">
        <v>38</v>
      </c>
      <c r="Y12" s="10" t="s">
        <v>38</v>
      </c>
      <c r="Z12" s="16" t="s">
        <v>38</v>
      </c>
      <c r="AA12" s="44" t="str">
        <f t="shared" si="3"/>
        <v>WO</v>
      </c>
      <c r="AB12" s="16" t="s">
        <v>38</v>
      </c>
      <c r="AC12" s="10" t="s">
        <v>38</v>
      </c>
      <c r="AD12" s="10" t="s">
        <v>40</v>
      </c>
      <c r="AE12" s="10" t="s">
        <v>38</v>
      </c>
      <c r="AF12" s="10" t="s">
        <v>38</v>
      </c>
      <c r="AG12" s="16" t="s">
        <v>38</v>
      </c>
      <c r="AH12" s="44" t="str">
        <f t="shared" si="3"/>
        <v>WO</v>
      </c>
      <c r="AI12" s="10" t="s">
        <v>38</v>
      </c>
      <c r="AJ12" s="10" t="s">
        <v>40</v>
      </c>
      <c r="AK12" s="10" t="s">
        <v>38</v>
      </c>
      <c r="AL12" s="10" t="s">
        <v>38</v>
      </c>
      <c r="AM12" s="10" t="s">
        <v>38</v>
      </c>
      <c r="AN12" s="10" t="s">
        <v>38</v>
      </c>
      <c r="AO12" s="44" t="str">
        <f t="shared" si="5"/>
        <v>WO</v>
      </c>
      <c r="AP12" s="21"/>
      <c r="AQ12" s="24"/>
      <c r="AR12" s="10">
        <v>3</v>
      </c>
      <c r="AS12" s="10" t="s">
        <v>5</v>
      </c>
      <c r="AT12" s="10" t="str">
        <f t="shared" si="6"/>
        <v>August</v>
      </c>
      <c r="AU12" s="10">
        <v>1003</v>
      </c>
      <c r="AV12" s="9">
        <f t="shared" si="7"/>
        <v>21</v>
      </c>
      <c r="AW12" s="16">
        <f t="shared" si="8"/>
        <v>1</v>
      </c>
      <c r="AX12" s="16">
        <f t="shared" si="9"/>
        <v>4</v>
      </c>
      <c r="AY12" s="16">
        <f t="shared" si="10"/>
        <v>5</v>
      </c>
      <c r="AZ12" s="16">
        <f t="shared" si="11"/>
        <v>31</v>
      </c>
      <c r="BA12" s="16">
        <f>AugReport[[#This Row],[Days]]-AugReport[[#This Row],[Absent]]</f>
        <v>30</v>
      </c>
      <c r="BB12" s="19">
        <v>30000</v>
      </c>
      <c r="BC12" s="20">
        <f>AugReport[[#This Row],[Salary ]]/AugReport[[#This Row],[Days]]</f>
        <v>967.74193548387098</v>
      </c>
      <c r="BD12" s="20">
        <f>AugReport[[#This Row],[Per Day Salary ]]*AugReport[[#This Row],[Absent]]</f>
        <v>967.74193548387098</v>
      </c>
      <c r="BE12" s="20">
        <f>AugReport[[#This Row],[Salary ]]-AugReport[[#This Row],[Deduction]]</f>
        <v>29032.258064516129</v>
      </c>
      <c r="BF12" s="20"/>
      <c r="BG12" s="24"/>
      <c r="BH12" s="22"/>
      <c r="BI12" s="22"/>
      <c r="BJ12" s="22"/>
      <c r="BK12" s="22"/>
      <c r="BL12" s="22"/>
      <c r="BM12" s="22"/>
      <c r="BN12" s="22"/>
    </row>
    <row r="13" spans="6:67" x14ac:dyDescent="0.25">
      <c r="F13" s="21"/>
      <c r="G13" s="8">
        <v>4</v>
      </c>
      <c r="H13" s="10" t="s">
        <v>6</v>
      </c>
      <c r="I13" s="10">
        <v>1004</v>
      </c>
      <c r="J13" s="47">
        <f t="shared" si="12"/>
        <v>5</v>
      </c>
      <c r="K13" s="16" t="s">
        <v>38</v>
      </c>
      <c r="L13" s="16" t="s">
        <v>38</v>
      </c>
      <c r="M13" s="44" t="str">
        <f t="shared" si="3"/>
        <v>WO</v>
      </c>
      <c r="N13" s="16" t="s">
        <v>38</v>
      </c>
      <c r="O13" s="10" t="s">
        <v>38</v>
      </c>
      <c r="P13" s="10" t="s">
        <v>38</v>
      </c>
      <c r="Q13" s="10" t="s">
        <v>38</v>
      </c>
      <c r="R13" s="10" t="s">
        <v>38</v>
      </c>
      <c r="S13" s="16" t="s">
        <v>38</v>
      </c>
      <c r="T13" s="44" t="str">
        <f t="shared" si="3"/>
        <v>WO</v>
      </c>
      <c r="U13" s="16" t="s">
        <v>38</v>
      </c>
      <c r="V13" s="10" t="s">
        <v>38</v>
      </c>
      <c r="W13" s="10" t="s">
        <v>38</v>
      </c>
      <c r="X13" s="10" t="s">
        <v>38</v>
      </c>
      <c r="Y13" s="10" t="s">
        <v>38</v>
      </c>
      <c r="Z13" s="16" t="s">
        <v>38</v>
      </c>
      <c r="AA13" s="44" t="str">
        <f t="shared" si="3"/>
        <v>WO</v>
      </c>
      <c r="AB13" s="16" t="s">
        <v>38</v>
      </c>
      <c r="AC13" s="10" t="s">
        <v>38</v>
      </c>
      <c r="AD13" s="10" t="s">
        <v>38</v>
      </c>
      <c r="AE13" s="10" t="s">
        <v>38</v>
      </c>
      <c r="AF13" s="10" t="s">
        <v>38</v>
      </c>
      <c r="AG13" s="16" t="s">
        <v>38</v>
      </c>
      <c r="AH13" s="44" t="str">
        <f t="shared" si="3"/>
        <v>WO</v>
      </c>
      <c r="AI13" s="10" t="s">
        <v>38</v>
      </c>
      <c r="AJ13" s="10" t="s">
        <v>38</v>
      </c>
      <c r="AK13" s="10" t="s">
        <v>38</v>
      </c>
      <c r="AL13" s="10" t="s">
        <v>38</v>
      </c>
      <c r="AM13" s="10" t="s">
        <v>38</v>
      </c>
      <c r="AN13" s="10" t="s">
        <v>38</v>
      </c>
      <c r="AO13" s="44" t="str">
        <f t="shared" si="5"/>
        <v>WO</v>
      </c>
      <c r="AP13" s="21"/>
      <c r="AQ13" s="24"/>
      <c r="AR13" s="10">
        <v>4</v>
      </c>
      <c r="AS13" s="10" t="s">
        <v>6</v>
      </c>
      <c r="AT13" s="10" t="str">
        <f t="shared" si="6"/>
        <v>August</v>
      </c>
      <c r="AU13" s="10">
        <v>1004</v>
      </c>
      <c r="AV13" s="9">
        <f t="shared" si="7"/>
        <v>26</v>
      </c>
      <c r="AW13" s="16">
        <f t="shared" si="8"/>
        <v>0</v>
      </c>
      <c r="AX13" s="16">
        <f t="shared" si="9"/>
        <v>0</v>
      </c>
      <c r="AY13" s="16">
        <f t="shared" si="10"/>
        <v>5</v>
      </c>
      <c r="AZ13" s="16">
        <f t="shared" si="11"/>
        <v>31</v>
      </c>
      <c r="BA13" s="16">
        <f>AugReport[[#This Row],[Days]]-AugReport[[#This Row],[Absent]]</f>
        <v>31</v>
      </c>
      <c r="BB13" s="19">
        <v>45000</v>
      </c>
      <c r="BC13" s="20">
        <f>AugReport[[#This Row],[Salary ]]/AugReport[[#This Row],[Days]]</f>
        <v>1451.6129032258063</v>
      </c>
      <c r="BD13" s="20">
        <f>AugReport[[#This Row],[Per Day Salary ]]*AugReport[[#This Row],[Absent]]</f>
        <v>0</v>
      </c>
      <c r="BE13" s="20">
        <f>AugReport[[#This Row],[Salary ]]-AugReport[[#This Row],[Deduction]]</f>
        <v>45000</v>
      </c>
      <c r="BF13" s="20"/>
      <c r="BG13" s="24"/>
      <c r="BH13" s="22"/>
      <c r="BI13" s="22"/>
      <c r="BJ13" s="22"/>
      <c r="BK13" s="22"/>
      <c r="BL13" s="22"/>
      <c r="BM13" s="22"/>
      <c r="BN13" s="22"/>
    </row>
    <row r="14" spans="6:67" x14ac:dyDescent="0.25">
      <c r="F14" s="21"/>
      <c r="G14" s="8">
        <v>5</v>
      </c>
      <c r="H14" s="10" t="s">
        <v>7</v>
      </c>
      <c r="I14" s="10">
        <v>1005</v>
      </c>
      <c r="J14" s="47">
        <f t="shared" si="12"/>
        <v>5</v>
      </c>
      <c r="K14" s="16" t="s">
        <v>38</v>
      </c>
      <c r="L14" s="16" t="s">
        <v>38</v>
      </c>
      <c r="M14" s="44" t="str">
        <f t="shared" si="3"/>
        <v>WO</v>
      </c>
      <c r="N14" s="16" t="s">
        <v>38</v>
      </c>
      <c r="O14" s="10" t="s">
        <v>38</v>
      </c>
      <c r="P14" s="10" t="s">
        <v>38</v>
      </c>
      <c r="Q14" s="10" t="s">
        <v>38</v>
      </c>
      <c r="R14" s="10" t="s">
        <v>39</v>
      </c>
      <c r="S14" s="16" t="s">
        <v>38</v>
      </c>
      <c r="T14" s="44" t="str">
        <f t="shared" si="3"/>
        <v>WO</v>
      </c>
      <c r="U14" s="16" t="s">
        <v>38</v>
      </c>
      <c r="V14" s="10" t="s">
        <v>38</v>
      </c>
      <c r="W14" s="10" t="s">
        <v>38</v>
      </c>
      <c r="X14" s="10" t="s">
        <v>38</v>
      </c>
      <c r="Y14" s="10" t="s">
        <v>39</v>
      </c>
      <c r="Z14" s="16" t="s">
        <v>38</v>
      </c>
      <c r="AA14" s="44" t="str">
        <f t="shared" si="3"/>
        <v>WO</v>
      </c>
      <c r="AB14" s="16" t="s">
        <v>38</v>
      </c>
      <c r="AC14" s="10" t="s">
        <v>38</v>
      </c>
      <c r="AD14" s="10" t="s">
        <v>38</v>
      </c>
      <c r="AE14" s="10" t="s">
        <v>38</v>
      </c>
      <c r="AF14" s="10" t="s">
        <v>39</v>
      </c>
      <c r="AG14" s="16" t="s">
        <v>38</v>
      </c>
      <c r="AH14" s="44" t="str">
        <f t="shared" si="3"/>
        <v>WO</v>
      </c>
      <c r="AI14" s="10" t="s">
        <v>38</v>
      </c>
      <c r="AJ14" s="10" t="s">
        <v>40</v>
      </c>
      <c r="AK14" s="10" t="s">
        <v>38</v>
      </c>
      <c r="AL14" s="10" t="s">
        <v>38</v>
      </c>
      <c r="AM14" s="10" t="s">
        <v>38</v>
      </c>
      <c r="AN14" s="10" t="s">
        <v>38</v>
      </c>
      <c r="AO14" s="44" t="str">
        <f t="shared" si="5"/>
        <v>WO</v>
      </c>
      <c r="AP14" s="21"/>
      <c r="AQ14" s="24"/>
      <c r="AR14" s="10">
        <v>5</v>
      </c>
      <c r="AS14" s="10" t="s">
        <v>7</v>
      </c>
      <c r="AT14" s="10" t="str">
        <f t="shared" si="6"/>
        <v>August</v>
      </c>
      <c r="AU14" s="10">
        <v>1005</v>
      </c>
      <c r="AV14" s="9">
        <f t="shared" si="7"/>
        <v>22</v>
      </c>
      <c r="AW14" s="16">
        <f t="shared" si="8"/>
        <v>3</v>
      </c>
      <c r="AX14" s="16">
        <f t="shared" si="9"/>
        <v>1</v>
      </c>
      <c r="AY14" s="16">
        <f t="shared" si="10"/>
        <v>5</v>
      </c>
      <c r="AZ14" s="16">
        <f t="shared" si="11"/>
        <v>31</v>
      </c>
      <c r="BA14" s="16">
        <f>AugReport[[#This Row],[Days]]-AugReport[[#This Row],[Absent]]</f>
        <v>28</v>
      </c>
      <c r="BB14" s="19">
        <v>62000</v>
      </c>
      <c r="BC14" s="20">
        <f>AugReport[[#This Row],[Salary ]]/AugReport[[#This Row],[Days]]</f>
        <v>2000</v>
      </c>
      <c r="BD14" s="20">
        <f>AugReport[[#This Row],[Per Day Salary ]]*AugReport[[#This Row],[Absent]]</f>
        <v>6000</v>
      </c>
      <c r="BE14" s="20">
        <f>AugReport[[#This Row],[Salary ]]-AugReport[[#This Row],[Deduction]]</f>
        <v>56000</v>
      </c>
      <c r="BF14" s="20"/>
      <c r="BG14" s="24"/>
      <c r="BH14" s="22"/>
      <c r="BI14" s="22"/>
      <c r="BJ14" s="22"/>
      <c r="BK14" s="22"/>
      <c r="BL14" s="22"/>
      <c r="BM14" s="22"/>
      <c r="BN14" s="22"/>
    </row>
    <row r="15" spans="6:67" x14ac:dyDescent="0.25">
      <c r="F15" s="21"/>
      <c r="G15" s="8">
        <v>6</v>
      </c>
      <c r="H15" s="10" t="s">
        <v>8</v>
      </c>
      <c r="I15" s="10">
        <v>1006</v>
      </c>
      <c r="J15" s="47">
        <f t="shared" si="12"/>
        <v>5</v>
      </c>
      <c r="K15" s="16" t="s">
        <v>38</v>
      </c>
      <c r="L15" s="16" t="s">
        <v>38</v>
      </c>
      <c r="M15" s="44" t="str">
        <f t="shared" si="3"/>
        <v>WO</v>
      </c>
      <c r="N15" s="16" t="s">
        <v>38</v>
      </c>
      <c r="O15" s="10" t="s">
        <v>38</v>
      </c>
      <c r="P15" s="10" t="s">
        <v>38</v>
      </c>
      <c r="Q15" s="10" t="s">
        <v>38</v>
      </c>
      <c r="R15" s="10" t="s">
        <v>38</v>
      </c>
      <c r="S15" s="16" t="s">
        <v>38</v>
      </c>
      <c r="T15" s="44" t="str">
        <f t="shared" si="3"/>
        <v>WO</v>
      </c>
      <c r="U15" s="16" t="s">
        <v>38</v>
      </c>
      <c r="V15" s="10" t="s">
        <v>38</v>
      </c>
      <c r="W15" s="10" t="s">
        <v>38</v>
      </c>
      <c r="X15" s="10" t="s">
        <v>38</v>
      </c>
      <c r="Y15" s="10" t="s">
        <v>38</v>
      </c>
      <c r="Z15" s="16" t="s">
        <v>38</v>
      </c>
      <c r="AA15" s="44" t="str">
        <f t="shared" si="3"/>
        <v>WO</v>
      </c>
      <c r="AB15" s="16" t="s">
        <v>38</v>
      </c>
      <c r="AC15" s="10" t="s">
        <v>38</v>
      </c>
      <c r="AD15" s="10" t="s">
        <v>38</v>
      </c>
      <c r="AE15" s="10" t="s">
        <v>38</v>
      </c>
      <c r="AF15" s="10" t="s">
        <v>38</v>
      </c>
      <c r="AG15" s="16" t="s">
        <v>38</v>
      </c>
      <c r="AH15" s="44" t="str">
        <f t="shared" si="3"/>
        <v>WO</v>
      </c>
      <c r="AI15" s="10" t="s">
        <v>38</v>
      </c>
      <c r="AJ15" s="10" t="s">
        <v>38</v>
      </c>
      <c r="AK15" s="10" t="s">
        <v>38</v>
      </c>
      <c r="AL15" s="10" t="s">
        <v>38</v>
      </c>
      <c r="AM15" s="10" t="s">
        <v>38</v>
      </c>
      <c r="AN15" s="10" t="s">
        <v>39</v>
      </c>
      <c r="AO15" s="44" t="str">
        <f t="shared" si="5"/>
        <v>WO</v>
      </c>
      <c r="AP15" s="21"/>
      <c r="AQ15" s="24"/>
      <c r="AR15" s="10">
        <v>6</v>
      </c>
      <c r="AS15" s="10" t="s">
        <v>8</v>
      </c>
      <c r="AT15" s="10" t="str">
        <f t="shared" si="6"/>
        <v>August</v>
      </c>
      <c r="AU15" s="10">
        <v>1006</v>
      </c>
      <c r="AV15" s="9">
        <f t="shared" si="7"/>
        <v>25</v>
      </c>
      <c r="AW15" s="16">
        <f t="shared" si="8"/>
        <v>1</v>
      </c>
      <c r="AX15" s="16">
        <f t="shared" si="9"/>
        <v>0</v>
      </c>
      <c r="AY15" s="16">
        <f t="shared" si="10"/>
        <v>5</v>
      </c>
      <c r="AZ15" s="16">
        <f t="shared" si="11"/>
        <v>31</v>
      </c>
      <c r="BA15" s="16">
        <f>AugReport[[#This Row],[Days]]-AugReport[[#This Row],[Absent]]</f>
        <v>30</v>
      </c>
      <c r="BB15" s="19">
        <v>13000</v>
      </c>
      <c r="BC15" s="20">
        <f>AugReport[[#This Row],[Salary ]]/AugReport[[#This Row],[Days]]</f>
        <v>419.35483870967744</v>
      </c>
      <c r="BD15" s="20">
        <f>AugReport[[#This Row],[Per Day Salary ]]*AugReport[[#This Row],[Absent]]</f>
        <v>419.35483870967744</v>
      </c>
      <c r="BE15" s="20">
        <f>AugReport[[#This Row],[Salary ]]-AugReport[[#This Row],[Deduction]]</f>
        <v>12580.645161290322</v>
      </c>
      <c r="BF15" s="20"/>
      <c r="BG15" s="24"/>
      <c r="BH15" s="22"/>
      <c r="BI15" s="22"/>
      <c r="BJ15" s="22"/>
      <c r="BK15" s="22"/>
      <c r="BL15" s="22"/>
      <c r="BM15" s="22"/>
      <c r="BN15" s="22"/>
    </row>
    <row r="16" spans="6:67" x14ac:dyDescent="0.25">
      <c r="F16" s="21"/>
      <c r="G16" s="8">
        <v>7</v>
      </c>
      <c r="H16" s="10" t="s">
        <v>9</v>
      </c>
      <c r="I16" s="10">
        <v>1007</v>
      </c>
      <c r="J16" s="47">
        <f t="shared" si="12"/>
        <v>5</v>
      </c>
      <c r="K16" s="16" t="s">
        <v>38</v>
      </c>
      <c r="L16" s="16" t="s">
        <v>38</v>
      </c>
      <c r="M16" s="44" t="str">
        <f t="shared" si="3"/>
        <v>WO</v>
      </c>
      <c r="N16" s="16" t="s">
        <v>38</v>
      </c>
      <c r="O16" s="10" t="s">
        <v>39</v>
      </c>
      <c r="P16" s="10" t="s">
        <v>38</v>
      </c>
      <c r="Q16" s="10" t="s">
        <v>38</v>
      </c>
      <c r="R16" s="10" t="s">
        <v>38</v>
      </c>
      <c r="S16" s="16" t="s">
        <v>38</v>
      </c>
      <c r="T16" s="44" t="str">
        <f t="shared" si="3"/>
        <v>WO</v>
      </c>
      <c r="U16" s="16" t="s">
        <v>38</v>
      </c>
      <c r="V16" s="10" t="s">
        <v>39</v>
      </c>
      <c r="W16" s="10" t="s">
        <v>38</v>
      </c>
      <c r="X16" s="10" t="s">
        <v>38</v>
      </c>
      <c r="Y16" s="10" t="s">
        <v>38</v>
      </c>
      <c r="Z16" s="16" t="s">
        <v>38</v>
      </c>
      <c r="AA16" s="44" t="str">
        <f t="shared" si="3"/>
        <v>WO</v>
      </c>
      <c r="AB16" s="16" t="s">
        <v>38</v>
      </c>
      <c r="AC16" s="10" t="s">
        <v>39</v>
      </c>
      <c r="AD16" s="10" t="s">
        <v>38</v>
      </c>
      <c r="AE16" s="10" t="s">
        <v>38</v>
      </c>
      <c r="AF16" s="10" t="s">
        <v>38</v>
      </c>
      <c r="AG16" s="16" t="s">
        <v>38</v>
      </c>
      <c r="AH16" s="44" t="str">
        <f t="shared" si="3"/>
        <v>WO</v>
      </c>
      <c r="AI16" s="10" t="s">
        <v>38</v>
      </c>
      <c r="AJ16" s="10" t="s">
        <v>39</v>
      </c>
      <c r="AK16" s="10" t="s">
        <v>38</v>
      </c>
      <c r="AL16" s="10" t="s">
        <v>38</v>
      </c>
      <c r="AM16" s="10" t="s">
        <v>38</v>
      </c>
      <c r="AN16" s="10" t="s">
        <v>38</v>
      </c>
      <c r="AO16" s="44" t="str">
        <f t="shared" si="5"/>
        <v>WO</v>
      </c>
      <c r="AP16" s="21"/>
      <c r="AQ16" s="24"/>
      <c r="AR16" s="10">
        <v>7</v>
      </c>
      <c r="AS16" s="10" t="s">
        <v>9</v>
      </c>
      <c r="AT16" s="10" t="str">
        <f t="shared" si="6"/>
        <v>August</v>
      </c>
      <c r="AU16" s="10">
        <v>1007</v>
      </c>
      <c r="AV16" s="9">
        <f t="shared" si="7"/>
        <v>22</v>
      </c>
      <c r="AW16" s="16">
        <f t="shared" si="8"/>
        <v>4</v>
      </c>
      <c r="AX16" s="16">
        <f t="shared" si="9"/>
        <v>0</v>
      </c>
      <c r="AY16" s="16">
        <f t="shared" si="10"/>
        <v>5</v>
      </c>
      <c r="AZ16" s="16">
        <f t="shared" si="11"/>
        <v>31</v>
      </c>
      <c r="BA16" s="16">
        <f>AugReport[[#This Row],[Days]]-AugReport[[#This Row],[Absent]]</f>
        <v>27</v>
      </c>
      <c r="BB16" s="19">
        <v>48000</v>
      </c>
      <c r="BC16" s="20">
        <f>AugReport[[#This Row],[Salary ]]/AugReport[[#This Row],[Days]]</f>
        <v>1548.3870967741937</v>
      </c>
      <c r="BD16" s="20">
        <f>AugReport[[#This Row],[Per Day Salary ]]*AugReport[[#This Row],[Absent]]</f>
        <v>6193.5483870967746</v>
      </c>
      <c r="BE16" s="20">
        <f>AugReport[[#This Row],[Salary ]]-AugReport[[#This Row],[Deduction]]</f>
        <v>41806.451612903227</v>
      </c>
      <c r="BF16" s="20"/>
      <c r="BG16" s="24"/>
      <c r="BH16" s="22"/>
      <c r="BI16" s="22"/>
      <c r="BJ16" s="22"/>
      <c r="BK16" s="22"/>
      <c r="BL16" s="22"/>
      <c r="BM16" s="22"/>
      <c r="BN16" s="22"/>
    </row>
    <row r="17" spans="6:66" x14ac:dyDescent="0.25">
      <c r="F17" s="21"/>
      <c r="G17" s="8">
        <v>8</v>
      </c>
      <c r="H17" s="10" t="s">
        <v>10</v>
      </c>
      <c r="I17" s="10">
        <v>1008</v>
      </c>
      <c r="J17" s="47">
        <f t="shared" si="12"/>
        <v>5</v>
      </c>
      <c r="K17" s="16" t="s">
        <v>39</v>
      </c>
      <c r="L17" s="16" t="s">
        <v>38</v>
      </c>
      <c r="M17" s="44" t="str">
        <f t="shared" si="3"/>
        <v>WO</v>
      </c>
      <c r="N17" s="16" t="s">
        <v>38</v>
      </c>
      <c r="O17" s="10" t="s">
        <v>38</v>
      </c>
      <c r="P17" s="10" t="s">
        <v>38</v>
      </c>
      <c r="Q17" s="10" t="s">
        <v>38</v>
      </c>
      <c r="R17" s="10" t="s">
        <v>38</v>
      </c>
      <c r="S17" s="16" t="s">
        <v>38</v>
      </c>
      <c r="T17" s="44" t="str">
        <f t="shared" si="3"/>
        <v>WO</v>
      </c>
      <c r="U17" s="16" t="s">
        <v>38</v>
      </c>
      <c r="V17" s="10" t="s">
        <v>38</v>
      </c>
      <c r="W17" s="10" t="s">
        <v>38</v>
      </c>
      <c r="X17" s="10" t="s">
        <v>38</v>
      </c>
      <c r="Y17" s="10" t="s">
        <v>38</v>
      </c>
      <c r="Z17" s="16" t="s">
        <v>38</v>
      </c>
      <c r="AA17" s="44" t="str">
        <f t="shared" si="3"/>
        <v>WO</v>
      </c>
      <c r="AB17" s="16" t="s">
        <v>38</v>
      </c>
      <c r="AC17" s="10" t="s">
        <v>38</v>
      </c>
      <c r="AD17" s="10" t="s">
        <v>38</v>
      </c>
      <c r="AE17" s="10" t="s">
        <v>38</v>
      </c>
      <c r="AF17" s="10" t="s">
        <v>38</v>
      </c>
      <c r="AG17" s="16" t="s">
        <v>38</v>
      </c>
      <c r="AH17" s="44" t="str">
        <f t="shared" si="3"/>
        <v>WO</v>
      </c>
      <c r="AI17" s="10" t="s">
        <v>38</v>
      </c>
      <c r="AJ17" s="10" t="s">
        <v>38</v>
      </c>
      <c r="AK17" s="10" t="s">
        <v>38</v>
      </c>
      <c r="AL17" s="10" t="s">
        <v>38</v>
      </c>
      <c r="AM17" s="10" t="s">
        <v>39</v>
      </c>
      <c r="AN17" s="10" t="s">
        <v>38</v>
      </c>
      <c r="AO17" s="44" t="str">
        <f t="shared" si="5"/>
        <v>WO</v>
      </c>
      <c r="AP17" s="21"/>
      <c r="AQ17" s="24"/>
      <c r="AR17" s="10">
        <v>8</v>
      </c>
      <c r="AS17" s="10" t="s">
        <v>10</v>
      </c>
      <c r="AT17" s="10" t="str">
        <f t="shared" si="6"/>
        <v>August</v>
      </c>
      <c r="AU17" s="10">
        <v>1008</v>
      </c>
      <c r="AV17" s="9">
        <f t="shared" si="7"/>
        <v>24</v>
      </c>
      <c r="AW17" s="16">
        <f t="shared" si="8"/>
        <v>2</v>
      </c>
      <c r="AX17" s="16">
        <f t="shared" si="9"/>
        <v>0</v>
      </c>
      <c r="AY17" s="16">
        <f t="shared" si="10"/>
        <v>5</v>
      </c>
      <c r="AZ17" s="16">
        <f t="shared" si="11"/>
        <v>31</v>
      </c>
      <c r="BA17" s="16">
        <f>AugReport[[#This Row],[Days]]-AugReport[[#This Row],[Absent]]</f>
        <v>29</v>
      </c>
      <c r="BB17" s="19">
        <v>17000</v>
      </c>
      <c r="BC17" s="20">
        <f>AugReport[[#This Row],[Salary ]]/AugReport[[#This Row],[Days]]</f>
        <v>548.38709677419354</v>
      </c>
      <c r="BD17" s="20">
        <f>AugReport[[#This Row],[Per Day Salary ]]*AugReport[[#This Row],[Absent]]</f>
        <v>1096.7741935483871</v>
      </c>
      <c r="BE17" s="20">
        <f>AugReport[[#This Row],[Salary ]]-AugReport[[#This Row],[Deduction]]</f>
        <v>15903.225806451614</v>
      </c>
      <c r="BF17" s="20"/>
      <c r="BG17" s="24"/>
      <c r="BH17" s="22"/>
      <c r="BI17" s="22"/>
      <c r="BJ17" s="22"/>
      <c r="BK17" s="22"/>
      <c r="BL17" s="22"/>
      <c r="BM17" s="22"/>
      <c r="BN17" s="22"/>
    </row>
    <row r="18" spans="6:66" x14ac:dyDescent="0.25">
      <c r="F18" s="21"/>
      <c r="G18" s="8">
        <v>9</v>
      </c>
      <c r="H18" s="10" t="s">
        <v>11</v>
      </c>
      <c r="I18" s="10">
        <v>1009</v>
      </c>
      <c r="J18" s="47">
        <f t="shared" si="12"/>
        <v>5</v>
      </c>
      <c r="K18" s="16" t="s">
        <v>38</v>
      </c>
      <c r="L18" s="16" t="s">
        <v>38</v>
      </c>
      <c r="M18" s="44" t="str">
        <f t="shared" si="3"/>
        <v>WO</v>
      </c>
      <c r="N18" s="16" t="s">
        <v>38</v>
      </c>
      <c r="O18" s="10" t="s">
        <v>38</v>
      </c>
      <c r="P18" s="10" t="s">
        <v>38</v>
      </c>
      <c r="Q18" s="10" t="s">
        <v>40</v>
      </c>
      <c r="R18" s="10" t="s">
        <v>38</v>
      </c>
      <c r="S18" s="16" t="s">
        <v>38</v>
      </c>
      <c r="T18" s="44" t="str">
        <f t="shared" si="3"/>
        <v>WO</v>
      </c>
      <c r="U18" s="16" t="s">
        <v>38</v>
      </c>
      <c r="V18" s="10" t="s">
        <v>38</v>
      </c>
      <c r="W18" s="10" t="s">
        <v>38</v>
      </c>
      <c r="X18" s="10" t="s">
        <v>40</v>
      </c>
      <c r="Y18" s="10" t="s">
        <v>38</v>
      </c>
      <c r="Z18" s="16" t="s">
        <v>38</v>
      </c>
      <c r="AA18" s="44" t="str">
        <f t="shared" si="3"/>
        <v>WO</v>
      </c>
      <c r="AB18" s="16" t="s">
        <v>38</v>
      </c>
      <c r="AC18" s="10" t="s">
        <v>38</v>
      </c>
      <c r="AD18" s="10" t="s">
        <v>38</v>
      </c>
      <c r="AE18" s="10" t="s">
        <v>40</v>
      </c>
      <c r="AF18" s="10" t="s">
        <v>38</v>
      </c>
      <c r="AG18" s="16" t="s">
        <v>38</v>
      </c>
      <c r="AH18" s="44" t="str">
        <f t="shared" si="3"/>
        <v>WO</v>
      </c>
      <c r="AI18" s="10" t="s">
        <v>38</v>
      </c>
      <c r="AJ18" s="10" t="s">
        <v>38</v>
      </c>
      <c r="AK18" s="10" t="s">
        <v>38</v>
      </c>
      <c r="AL18" s="10" t="s">
        <v>38</v>
      </c>
      <c r="AM18" s="10" t="s">
        <v>38</v>
      </c>
      <c r="AN18" s="10" t="s">
        <v>38</v>
      </c>
      <c r="AO18" s="44" t="str">
        <f t="shared" si="5"/>
        <v>WO</v>
      </c>
      <c r="AP18" s="21"/>
      <c r="AQ18" s="24"/>
      <c r="AR18" s="10">
        <v>9</v>
      </c>
      <c r="AS18" s="10" t="s">
        <v>11</v>
      </c>
      <c r="AT18" s="10" t="str">
        <f t="shared" si="6"/>
        <v>August</v>
      </c>
      <c r="AU18" s="10">
        <v>1009</v>
      </c>
      <c r="AV18" s="9">
        <f t="shared" si="7"/>
        <v>23</v>
      </c>
      <c r="AW18" s="16">
        <f t="shared" si="8"/>
        <v>0</v>
      </c>
      <c r="AX18" s="16">
        <f t="shared" si="9"/>
        <v>3</v>
      </c>
      <c r="AY18" s="16">
        <f t="shared" si="10"/>
        <v>5</v>
      </c>
      <c r="AZ18" s="16">
        <f t="shared" si="11"/>
        <v>31</v>
      </c>
      <c r="BA18" s="16">
        <f>AugReport[[#This Row],[Days]]-AugReport[[#This Row],[Absent]]</f>
        <v>31</v>
      </c>
      <c r="BB18" s="19">
        <v>39000</v>
      </c>
      <c r="BC18" s="20">
        <f>AugReport[[#This Row],[Salary ]]/AugReport[[#This Row],[Days]]</f>
        <v>1258.0645161290322</v>
      </c>
      <c r="BD18" s="20">
        <f>AugReport[[#This Row],[Per Day Salary ]]*AugReport[[#This Row],[Absent]]</f>
        <v>0</v>
      </c>
      <c r="BE18" s="20">
        <f>AugReport[[#This Row],[Salary ]]-AugReport[[#This Row],[Deduction]]</f>
        <v>39000</v>
      </c>
      <c r="BF18" s="20"/>
      <c r="BG18" s="24"/>
      <c r="BH18" s="22"/>
      <c r="BI18" s="22"/>
      <c r="BJ18" s="22"/>
      <c r="BK18" s="22"/>
      <c r="BL18" s="22"/>
      <c r="BM18" s="22"/>
      <c r="BN18" s="22"/>
    </row>
    <row r="19" spans="6:66" x14ac:dyDescent="0.25">
      <c r="F19" s="21"/>
      <c r="G19" s="8">
        <v>10</v>
      </c>
      <c r="H19" s="10" t="s">
        <v>3</v>
      </c>
      <c r="I19" s="10">
        <v>1010</v>
      </c>
      <c r="J19" s="47">
        <f t="shared" si="12"/>
        <v>5</v>
      </c>
      <c r="K19" s="16" t="s">
        <v>38</v>
      </c>
      <c r="L19" s="16" t="s">
        <v>38</v>
      </c>
      <c r="M19" s="44" t="str">
        <f t="shared" si="3"/>
        <v>WO</v>
      </c>
      <c r="N19" s="16" t="s">
        <v>38</v>
      </c>
      <c r="O19" s="10" t="s">
        <v>38</v>
      </c>
      <c r="P19" s="10" t="s">
        <v>38</v>
      </c>
      <c r="Q19" s="10" t="s">
        <v>38</v>
      </c>
      <c r="R19" s="10" t="s">
        <v>38</v>
      </c>
      <c r="S19" s="16" t="s">
        <v>38</v>
      </c>
      <c r="T19" s="44" t="str">
        <f t="shared" si="3"/>
        <v>WO</v>
      </c>
      <c r="U19" s="16" t="s">
        <v>38</v>
      </c>
      <c r="V19" s="10" t="s">
        <v>38</v>
      </c>
      <c r="W19" s="10" t="s">
        <v>38</v>
      </c>
      <c r="X19" s="10" t="s">
        <v>38</v>
      </c>
      <c r="Y19" s="10" t="s">
        <v>38</v>
      </c>
      <c r="Z19" s="16" t="s">
        <v>38</v>
      </c>
      <c r="AA19" s="44" t="str">
        <f t="shared" si="3"/>
        <v>WO</v>
      </c>
      <c r="AB19" s="16" t="s">
        <v>38</v>
      </c>
      <c r="AC19" s="10" t="s">
        <v>38</v>
      </c>
      <c r="AD19" s="10" t="s">
        <v>38</v>
      </c>
      <c r="AE19" s="10" t="s">
        <v>38</v>
      </c>
      <c r="AF19" s="10" t="s">
        <v>38</v>
      </c>
      <c r="AG19" s="16" t="s">
        <v>38</v>
      </c>
      <c r="AH19" s="44" t="str">
        <f t="shared" si="3"/>
        <v>WO</v>
      </c>
      <c r="AI19" s="10" t="s">
        <v>39</v>
      </c>
      <c r="AJ19" s="10" t="s">
        <v>38</v>
      </c>
      <c r="AK19" s="10" t="s">
        <v>38</v>
      </c>
      <c r="AL19" s="10" t="s">
        <v>38</v>
      </c>
      <c r="AM19" s="10" t="s">
        <v>38</v>
      </c>
      <c r="AN19" s="10" t="s">
        <v>38</v>
      </c>
      <c r="AO19" s="44" t="str">
        <f t="shared" si="5"/>
        <v>WO</v>
      </c>
      <c r="AP19" s="21"/>
      <c r="AQ19" s="24"/>
      <c r="AR19" s="10">
        <v>10</v>
      </c>
      <c r="AS19" s="10" t="s">
        <v>3</v>
      </c>
      <c r="AT19" s="10" t="str">
        <f t="shared" si="6"/>
        <v>August</v>
      </c>
      <c r="AU19" s="10">
        <v>1010</v>
      </c>
      <c r="AV19" s="9">
        <f t="shared" si="7"/>
        <v>25</v>
      </c>
      <c r="AW19" s="16">
        <f t="shared" si="8"/>
        <v>1</v>
      </c>
      <c r="AX19" s="16">
        <f t="shared" si="9"/>
        <v>0</v>
      </c>
      <c r="AY19" s="16">
        <f t="shared" si="10"/>
        <v>5</v>
      </c>
      <c r="AZ19" s="16">
        <f t="shared" si="11"/>
        <v>31</v>
      </c>
      <c r="BA19" s="16">
        <f>AugReport[[#This Row],[Days]]-AugReport[[#This Row],[Absent]]</f>
        <v>30</v>
      </c>
      <c r="BB19" s="19">
        <v>72000</v>
      </c>
      <c r="BC19" s="20">
        <f>AugReport[[#This Row],[Salary ]]/AugReport[[#This Row],[Days]]</f>
        <v>2322.5806451612902</v>
      </c>
      <c r="BD19" s="20">
        <f>AugReport[[#This Row],[Per Day Salary ]]*AugReport[[#This Row],[Absent]]</f>
        <v>2322.5806451612902</v>
      </c>
      <c r="BE19" s="20">
        <f>AugReport[[#This Row],[Salary ]]-AugReport[[#This Row],[Deduction]]</f>
        <v>69677.419354838712</v>
      </c>
      <c r="BF19" s="20"/>
      <c r="BG19" s="24"/>
      <c r="BH19" s="22"/>
      <c r="BI19" s="22"/>
      <c r="BJ19" s="22"/>
      <c r="BK19" s="22"/>
      <c r="BL19" s="22"/>
      <c r="BM19" s="22"/>
      <c r="BN19" s="22"/>
    </row>
    <row r="20" spans="6:66" x14ac:dyDescent="0.25">
      <c r="F20" s="21"/>
      <c r="G20" s="8">
        <v>11</v>
      </c>
      <c r="H20" s="9" t="s">
        <v>12</v>
      </c>
      <c r="I20" s="10">
        <v>1011</v>
      </c>
      <c r="J20" s="47">
        <f t="shared" si="12"/>
        <v>5</v>
      </c>
      <c r="K20" s="16" t="s">
        <v>38</v>
      </c>
      <c r="L20" s="16" t="s">
        <v>40</v>
      </c>
      <c r="M20" s="44" t="str">
        <f t="shared" si="3"/>
        <v>WO</v>
      </c>
      <c r="N20" s="16" t="s">
        <v>38</v>
      </c>
      <c r="O20" s="10" t="s">
        <v>38</v>
      </c>
      <c r="P20" s="10" t="s">
        <v>38</v>
      </c>
      <c r="Q20" s="10" t="s">
        <v>40</v>
      </c>
      <c r="R20" s="10" t="s">
        <v>38</v>
      </c>
      <c r="S20" s="16" t="s">
        <v>38</v>
      </c>
      <c r="T20" s="44" t="str">
        <f t="shared" si="3"/>
        <v>WO</v>
      </c>
      <c r="U20" s="16" t="s">
        <v>38</v>
      </c>
      <c r="V20" s="10" t="s">
        <v>38</v>
      </c>
      <c r="W20" s="10" t="s">
        <v>38</v>
      </c>
      <c r="X20" s="10" t="s">
        <v>40</v>
      </c>
      <c r="Y20" s="10" t="s">
        <v>38</v>
      </c>
      <c r="Z20" s="16" t="s">
        <v>38</v>
      </c>
      <c r="AA20" s="44" t="str">
        <f t="shared" si="3"/>
        <v>WO</v>
      </c>
      <c r="AB20" s="16" t="s">
        <v>38</v>
      </c>
      <c r="AC20" s="10" t="s">
        <v>38</v>
      </c>
      <c r="AD20" s="10" t="s">
        <v>38</v>
      </c>
      <c r="AE20" s="10" t="s">
        <v>40</v>
      </c>
      <c r="AF20" s="10" t="s">
        <v>38</v>
      </c>
      <c r="AG20" s="16" t="s">
        <v>38</v>
      </c>
      <c r="AH20" s="44" t="str">
        <f t="shared" ref="AH20:AH21" si="14">IF(AH$8="SUN","WO","")</f>
        <v>WO</v>
      </c>
      <c r="AI20" s="10" t="s">
        <v>38</v>
      </c>
      <c r="AJ20" s="10" t="s">
        <v>38</v>
      </c>
      <c r="AK20" s="10" t="s">
        <v>38</v>
      </c>
      <c r="AL20" s="10" t="s">
        <v>38</v>
      </c>
      <c r="AM20" s="10" t="s">
        <v>38</v>
      </c>
      <c r="AN20" s="10" t="s">
        <v>38</v>
      </c>
      <c r="AO20" s="44" t="str">
        <f t="shared" si="5"/>
        <v>WO</v>
      </c>
      <c r="AP20" s="21"/>
      <c r="AQ20" s="24"/>
      <c r="AR20" s="10">
        <v>11</v>
      </c>
      <c r="AS20" s="9" t="s">
        <v>12</v>
      </c>
      <c r="AT20" s="9" t="str">
        <f t="shared" si="6"/>
        <v>August</v>
      </c>
      <c r="AU20" s="10">
        <v>1011</v>
      </c>
      <c r="AV20" s="9">
        <f t="shared" si="7"/>
        <v>22</v>
      </c>
      <c r="AW20" s="16">
        <f t="shared" si="8"/>
        <v>0</v>
      </c>
      <c r="AX20" s="16">
        <f t="shared" si="9"/>
        <v>4</v>
      </c>
      <c r="AY20" s="16">
        <f t="shared" si="10"/>
        <v>5</v>
      </c>
      <c r="AZ20" s="16">
        <f t="shared" si="11"/>
        <v>31</v>
      </c>
      <c r="BA20" s="16">
        <f>AugReport[[#This Row],[Days]]-AugReport[[#This Row],[Absent]]</f>
        <v>31</v>
      </c>
      <c r="BB20" s="19">
        <v>13000</v>
      </c>
      <c r="BC20" s="20">
        <f>AugReport[[#This Row],[Salary ]]/AugReport[[#This Row],[Days]]</f>
        <v>419.35483870967744</v>
      </c>
      <c r="BD20" s="20">
        <f>AugReport[[#This Row],[Per Day Salary ]]*AugReport[[#This Row],[Absent]]</f>
        <v>0</v>
      </c>
      <c r="BE20" s="20">
        <f>AugReport[[#This Row],[Salary ]]-AugReport[[#This Row],[Deduction]]</f>
        <v>13000</v>
      </c>
      <c r="BF20" s="20"/>
      <c r="BG20" s="24"/>
      <c r="BH20" s="22"/>
      <c r="BI20" s="22"/>
      <c r="BJ20" s="22"/>
      <c r="BK20" s="22"/>
      <c r="BL20" s="22"/>
      <c r="BM20" s="22"/>
      <c r="BN20" s="22"/>
    </row>
    <row r="21" spans="6:66" x14ac:dyDescent="0.25">
      <c r="F21" s="21"/>
      <c r="G21" s="8">
        <v>12</v>
      </c>
      <c r="H21" s="10" t="s">
        <v>13</v>
      </c>
      <c r="I21" s="10">
        <v>1012</v>
      </c>
      <c r="J21" s="47">
        <f t="shared" si="12"/>
        <v>5</v>
      </c>
      <c r="K21" s="16" t="s">
        <v>38</v>
      </c>
      <c r="L21" s="16" t="s">
        <v>38</v>
      </c>
      <c r="M21" s="44" t="str">
        <f t="shared" si="2"/>
        <v>WO</v>
      </c>
      <c r="N21" s="16" t="s">
        <v>38</v>
      </c>
      <c r="O21" s="10" t="s">
        <v>38</v>
      </c>
      <c r="P21" s="10" t="s">
        <v>38</v>
      </c>
      <c r="Q21" s="10" t="s">
        <v>38</v>
      </c>
      <c r="R21" s="10" t="s">
        <v>38</v>
      </c>
      <c r="S21" s="16" t="s">
        <v>38</v>
      </c>
      <c r="T21" s="44" t="str">
        <f t="shared" si="2"/>
        <v>WO</v>
      </c>
      <c r="U21" s="16" t="s">
        <v>38</v>
      </c>
      <c r="V21" s="10" t="s">
        <v>38</v>
      </c>
      <c r="W21" s="10" t="s">
        <v>38</v>
      </c>
      <c r="X21" s="10" t="s">
        <v>38</v>
      </c>
      <c r="Y21" s="10" t="s">
        <v>38</v>
      </c>
      <c r="Z21" s="16" t="s">
        <v>38</v>
      </c>
      <c r="AA21" s="44" t="str">
        <f t="shared" ref="AA21:AH29" si="15">IF(AA$8="SUN","WO","")</f>
        <v>WO</v>
      </c>
      <c r="AB21" s="16" t="s">
        <v>38</v>
      </c>
      <c r="AC21" s="10" t="s">
        <v>38</v>
      </c>
      <c r="AD21" s="10" t="s">
        <v>38</v>
      </c>
      <c r="AE21" s="10" t="s">
        <v>38</v>
      </c>
      <c r="AF21" s="10" t="s">
        <v>38</v>
      </c>
      <c r="AG21" s="16" t="s">
        <v>38</v>
      </c>
      <c r="AH21" s="44" t="str">
        <f t="shared" si="14"/>
        <v>WO</v>
      </c>
      <c r="AI21" s="10" t="s">
        <v>38</v>
      </c>
      <c r="AJ21" s="10" t="s">
        <v>38</v>
      </c>
      <c r="AK21" s="10" t="s">
        <v>38</v>
      </c>
      <c r="AL21" s="10" t="s">
        <v>38</v>
      </c>
      <c r="AM21" s="10" t="s">
        <v>38</v>
      </c>
      <c r="AN21" s="10" t="s">
        <v>38</v>
      </c>
      <c r="AO21" s="44" t="str">
        <f t="shared" si="5"/>
        <v>WO</v>
      </c>
      <c r="AP21" s="21"/>
      <c r="AQ21" s="24"/>
      <c r="AR21" s="10">
        <v>12</v>
      </c>
      <c r="AS21" s="10" t="s">
        <v>13</v>
      </c>
      <c r="AT21" s="10" t="str">
        <f t="shared" si="6"/>
        <v>August</v>
      </c>
      <c r="AU21" s="10">
        <v>1012</v>
      </c>
      <c r="AV21" s="9">
        <f t="shared" si="7"/>
        <v>26</v>
      </c>
      <c r="AW21" s="16">
        <f t="shared" si="8"/>
        <v>0</v>
      </c>
      <c r="AX21" s="16">
        <f t="shared" si="9"/>
        <v>0</v>
      </c>
      <c r="AY21" s="16">
        <f t="shared" si="10"/>
        <v>5</v>
      </c>
      <c r="AZ21" s="16">
        <f t="shared" si="11"/>
        <v>31</v>
      </c>
      <c r="BA21" s="16">
        <f>AugReport[[#This Row],[Days]]-AugReport[[#This Row],[Absent]]</f>
        <v>31</v>
      </c>
      <c r="BB21" s="19">
        <v>22000</v>
      </c>
      <c r="BC21" s="20">
        <f>AugReport[[#This Row],[Salary ]]/AugReport[[#This Row],[Days]]</f>
        <v>709.67741935483866</v>
      </c>
      <c r="BD21" s="20">
        <f>AugReport[[#This Row],[Per Day Salary ]]*AugReport[[#This Row],[Absent]]</f>
        <v>0</v>
      </c>
      <c r="BE21" s="20">
        <f>AugReport[[#This Row],[Salary ]]-AugReport[[#This Row],[Deduction]]</f>
        <v>22000</v>
      </c>
      <c r="BF21" s="20"/>
      <c r="BG21" s="24"/>
      <c r="BH21" s="22"/>
      <c r="BI21" s="22"/>
      <c r="BJ21" s="22"/>
      <c r="BK21" s="22"/>
      <c r="BL21" s="22"/>
      <c r="BM21" s="22"/>
      <c r="BN21" s="22"/>
    </row>
    <row r="22" spans="6:66" x14ac:dyDescent="0.25">
      <c r="F22" s="21"/>
      <c r="G22" s="8">
        <v>13</v>
      </c>
      <c r="H22" s="10" t="s">
        <v>14</v>
      </c>
      <c r="I22" s="10">
        <v>1013</v>
      </c>
      <c r="J22" s="47">
        <f t="shared" si="12"/>
        <v>5</v>
      </c>
      <c r="K22" s="16" t="s">
        <v>38</v>
      </c>
      <c r="L22" s="16" t="s">
        <v>38</v>
      </c>
      <c r="M22" s="44" t="str">
        <f t="shared" si="2"/>
        <v>WO</v>
      </c>
      <c r="N22" s="16" t="s">
        <v>40</v>
      </c>
      <c r="O22" s="10" t="s">
        <v>38</v>
      </c>
      <c r="P22" s="10" t="s">
        <v>38</v>
      </c>
      <c r="Q22" s="10" t="s">
        <v>38</v>
      </c>
      <c r="R22" s="10" t="s">
        <v>38</v>
      </c>
      <c r="S22" s="16" t="s">
        <v>38</v>
      </c>
      <c r="T22" s="44" t="str">
        <f t="shared" si="2"/>
        <v>WO</v>
      </c>
      <c r="U22" s="16" t="s">
        <v>40</v>
      </c>
      <c r="V22" s="10" t="s">
        <v>38</v>
      </c>
      <c r="W22" s="10" t="s">
        <v>38</v>
      </c>
      <c r="X22" s="10" t="s">
        <v>38</v>
      </c>
      <c r="Y22" s="10" t="s">
        <v>38</v>
      </c>
      <c r="Z22" s="16" t="s">
        <v>38</v>
      </c>
      <c r="AA22" s="44" t="str">
        <f t="shared" si="15"/>
        <v>WO</v>
      </c>
      <c r="AB22" s="16" t="s">
        <v>40</v>
      </c>
      <c r="AC22" s="10" t="s">
        <v>38</v>
      </c>
      <c r="AD22" s="10" t="s">
        <v>38</v>
      </c>
      <c r="AE22" s="10" t="s">
        <v>38</v>
      </c>
      <c r="AF22" s="10" t="s">
        <v>38</v>
      </c>
      <c r="AG22" s="16" t="s">
        <v>38</v>
      </c>
      <c r="AH22" s="44" t="str">
        <f t="shared" si="15"/>
        <v>WO</v>
      </c>
      <c r="AI22" s="10" t="s">
        <v>38</v>
      </c>
      <c r="AJ22" s="10" t="s">
        <v>38</v>
      </c>
      <c r="AK22" s="10" t="s">
        <v>38</v>
      </c>
      <c r="AL22" s="10" t="s">
        <v>38</v>
      </c>
      <c r="AM22" s="10" t="s">
        <v>38</v>
      </c>
      <c r="AN22" s="10" t="s">
        <v>38</v>
      </c>
      <c r="AO22" s="44" t="str">
        <f t="shared" si="5"/>
        <v>WO</v>
      </c>
      <c r="AP22" s="21"/>
      <c r="AQ22" s="24"/>
      <c r="AR22" s="10">
        <v>13</v>
      </c>
      <c r="AS22" s="10" t="s">
        <v>14</v>
      </c>
      <c r="AT22" s="10" t="str">
        <f t="shared" si="6"/>
        <v>August</v>
      </c>
      <c r="AU22" s="10">
        <v>1013</v>
      </c>
      <c r="AV22" s="9">
        <f t="shared" si="7"/>
        <v>23</v>
      </c>
      <c r="AW22" s="16">
        <f t="shared" si="8"/>
        <v>0</v>
      </c>
      <c r="AX22" s="16">
        <f t="shared" si="9"/>
        <v>3</v>
      </c>
      <c r="AY22" s="16">
        <f t="shared" si="10"/>
        <v>5</v>
      </c>
      <c r="AZ22" s="16">
        <f t="shared" si="11"/>
        <v>31</v>
      </c>
      <c r="BA22" s="16">
        <f>AugReport[[#This Row],[Days]]-AugReport[[#This Row],[Absent]]</f>
        <v>31</v>
      </c>
      <c r="BB22" s="19">
        <v>35000</v>
      </c>
      <c r="BC22" s="20">
        <f>AugReport[[#This Row],[Salary ]]/AugReport[[#This Row],[Days]]</f>
        <v>1129.0322580645161</v>
      </c>
      <c r="BD22" s="20">
        <f>AugReport[[#This Row],[Per Day Salary ]]*AugReport[[#This Row],[Absent]]</f>
        <v>0</v>
      </c>
      <c r="BE22" s="20">
        <f>AugReport[[#This Row],[Salary ]]-AugReport[[#This Row],[Deduction]]</f>
        <v>35000</v>
      </c>
      <c r="BF22" s="20"/>
      <c r="BG22" s="24"/>
      <c r="BH22" s="22"/>
      <c r="BI22" s="22"/>
      <c r="BJ22" s="22"/>
      <c r="BK22" s="22"/>
      <c r="BL22" s="22"/>
      <c r="BM22" s="22"/>
      <c r="BN22" s="22"/>
    </row>
    <row r="23" spans="6:66" x14ac:dyDescent="0.25">
      <c r="F23" s="21"/>
      <c r="G23" s="8">
        <v>14</v>
      </c>
      <c r="H23" s="10" t="s">
        <v>15</v>
      </c>
      <c r="I23" s="10">
        <v>1014</v>
      </c>
      <c r="J23" s="47">
        <f t="shared" si="12"/>
        <v>5</v>
      </c>
      <c r="K23" s="16" t="s">
        <v>38</v>
      </c>
      <c r="L23" s="16" t="s">
        <v>38</v>
      </c>
      <c r="M23" s="44" t="str">
        <f t="shared" si="2"/>
        <v>WO</v>
      </c>
      <c r="N23" s="16" t="s">
        <v>38</v>
      </c>
      <c r="O23" s="10" t="s">
        <v>38</v>
      </c>
      <c r="P23" s="10" t="s">
        <v>38</v>
      </c>
      <c r="Q23" s="10" t="s">
        <v>38</v>
      </c>
      <c r="R23" s="10" t="s">
        <v>38</v>
      </c>
      <c r="S23" s="16" t="s">
        <v>38</v>
      </c>
      <c r="T23" s="44" t="str">
        <f t="shared" si="2"/>
        <v>WO</v>
      </c>
      <c r="U23" s="16" t="s">
        <v>38</v>
      </c>
      <c r="V23" s="10" t="s">
        <v>38</v>
      </c>
      <c r="W23" s="10" t="s">
        <v>38</v>
      </c>
      <c r="X23" s="10" t="s">
        <v>38</v>
      </c>
      <c r="Y23" s="10" t="s">
        <v>38</v>
      </c>
      <c r="Z23" s="16" t="s">
        <v>38</v>
      </c>
      <c r="AA23" s="44" t="str">
        <f t="shared" si="15"/>
        <v>WO</v>
      </c>
      <c r="AB23" s="16" t="s">
        <v>38</v>
      </c>
      <c r="AC23" s="10" t="s">
        <v>38</v>
      </c>
      <c r="AD23" s="10" t="s">
        <v>38</v>
      </c>
      <c r="AE23" s="10" t="s">
        <v>38</v>
      </c>
      <c r="AF23" s="10" t="s">
        <v>38</v>
      </c>
      <c r="AG23" s="16" t="s">
        <v>38</v>
      </c>
      <c r="AH23" s="44" t="str">
        <f t="shared" si="15"/>
        <v>WO</v>
      </c>
      <c r="AI23" s="10" t="s">
        <v>40</v>
      </c>
      <c r="AJ23" s="10" t="s">
        <v>38</v>
      </c>
      <c r="AK23" s="10" t="s">
        <v>38</v>
      </c>
      <c r="AL23" s="10" t="s">
        <v>39</v>
      </c>
      <c r="AM23" s="10" t="s">
        <v>38</v>
      </c>
      <c r="AN23" s="10" t="s">
        <v>38</v>
      </c>
      <c r="AO23" s="44" t="str">
        <f t="shared" si="5"/>
        <v>WO</v>
      </c>
      <c r="AP23" s="21"/>
      <c r="AQ23" s="24"/>
      <c r="AR23" s="10">
        <v>14</v>
      </c>
      <c r="AS23" s="10" t="s">
        <v>15</v>
      </c>
      <c r="AT23" s="10" t="str">
        <f t="shared" si="6"/>
        <v>August</v>
      </c>
      <c r="AU23" s="10">
        <v>1014</v>
      </c>
      <c r="AV23" s="9">
        <f t="shared" si="7"/>
        <v>24</v>
      </c>
      <c r="AW23" s="16">
        <f t="shared" si="8"/>
        <v>1</v>
      </c>
      <c r="AX23" s="16">
        <f t="shared" si="9"/>
        <v>1</v>
      </c>
      <c r="AY23" s="16">
        <f t="shared" si="10"/>
        <v>5</v>
      </c>
      <c r="AZ23" s="16">
        <f t="shared" si="11"/>
        <v>31</v>
      </c>
      <c r="BA23" s="16">
        <f>AugReport[[#This Row],[Days]]-AugReport[[#This Row],[Absent]]</f>
        <v>30</v>
      </c>
      <c r="BB23" s="19">
        <v>14000</v>
      </c>
      <c r="BC23" s="20">
        <f>AugReport[[#This Row],[Salary ]]/AugReport[[#This Row],[Days]]</f>
        <v>451.61290322580646</v>
      </c>
      <c r="BD23" s="20">
        <f>AugReport[[#This Row],[Per Day Salary ]]*AugReport[[#This Row],[Absent]]</f>
        <v>451.61290322580646</v>
      </c>
      <c r="BE23" s="20">
        <f>AugReport[[#This Row],[Salary ]]-AugReport[[#This Row],[Deduction]]</f>
        <v>13548.387096774193</v>
      </c>
      <c r="BF23" s="20"/>
      <c r="BG23" s="24"/>
      <c r="BH23" s="22"/>
      <c r="BI23" s="22"/>
      <c r="BJ23" s="22"/>
      <c r="BK23" s="22"/>
      <c r="BL23" s="22"/>
      <c r="BM23" s="22"/>
      <c r="BN23" s="22"/>
    </row>
    <row r="24" spans="6:66" x14ac:dyDescent="0.25">
      <c r="F24" s="21"/>
      <c r="G24" s="8">
        <v>15</v>
      </c>
      <c r="H24" s="10" t="s">
        <v>16</v>
      </c>
      <c r="I24" s="10">
        <v>1015</v>
      </c>
      <c r="J24" s="47">
        <f t="shared" si="12"/>
        <v>5</v>
      </c>
      <c r="K24" s="16" t="s">
        <v>38</v>
      </c>
      <c r="L24" s="16" t="s">
        <v>39</v>
      </c>
      <c r="M24" s="44" t="str">
        <f t="shared" si="2"/>
        <v>WO</v>
      </c>
      <c r="N24" s="16" t="s">
        <v>38</v>
      </c>
      <c r="O24" s="10" t="s">
        <v>39</v>
      </c>
      <c r="P24" s="10" t="s">
        <v>38</v>
      </c>
      <c r="Q24" s="10" t="s">
        <v>38</v>
      </c>
      <c r="R24" s="10" t="s">
        <v>38</v>
      </c>
      <c r="S24" s="16" t="s">
        <v>40</v>
      </c>
      <c r="T24" s="44" t="str">
        <f t="shared" si="2"/>
        <v>WO</v>
      </c>
      <c r="U24" s="16" t="s">
        <v>38</v>
      </c>
      <c r="V24" s="10" t="s">
        <v>39</v>
      </c>
      <c r="W24" s="10" t="s">
        <v>38</v>
      </c>
      <c r="X24" s="10" t="s">
        <v>38</v>
      </c>
      <c r="Y24" s="10" t="s">
        <v>38</v>
      </c>
      <c r="Z24" s="16" t="s">
        <v>40</v>
      </c>
      <c r="AA24" s="44" t="str">
        <f t="shared" si="15"/>
        <v>WO</v>
      </c>
      <c r="AB24" s="16" t="s">
        <v>38</v>
      </c>
      <c r="AC24" s="10" t="s">
        <v>39</v>
      </c>
      <c r="AD24" s="10" t="s">
        <v>38</v>
      </c>
      <c r="AE24" s="10" t="s">
        <v>38</v>
      </c>
      <c r="AF24" s="10" t="s">
        <v>38</v>
      </c>
      <c r="AG24" s="16" t="s">
        <v>40</v>
      </c>
      <c r="AH24" s="44" t="str">
        <f t="shared" si="15"/>
        <v>WO</v>
      </c>
      <c r="AI24" s="10" t="s">
        <v>38</v>
      </c>
      <c r="AJ24" s="10" t="s">
        <v>38</v>
      </c>
      <c r="AK24" s="10" t="s">
        <v>38</v>
      </c>
      <c r="AL24" s="10" t="s">
        <v>38</v>
      </c>
      <c r="AM24" s="10" t="s">
        <v>38</v>
      </c>
      <c r="AN24" s="10" t="s">
        <v>38</v>
      </c>
      <c r="AO24" s="44" t="str">
        <f t="shared" si="5"/>
        <v>WO</v>
      </c>
      <c r="AP24" s="21"/>
      <c r="AQ24" s="24"/>
      <c r="AR24" s="10">
        <v>15</v>
      </c>
      <c r="AS24" s="10" t="s">
        <v>16</v>
      </c>
      <c r="AT24" s="10" t="str">
        <f t="shared" si="6"/>
        <v>August</v>
      </c>
      <c r="AU24" s="10">
        <v>1015</v>
      </c>
      <c r="AV24" s="9">
        <f t="shared" si="7"/>
        <v>19</v>
      </c>
      <c r="AW24" s="16">
        <f t="shared" si="8"/>
        <v>4</v>
      </c>
      <c r="AX24" s="16">
        <f t="shared" si="9"/>
        <v>3</v>
      </c>
      <c r="AY24" s="16">
        <f t="shared" si="10"/>
        <v>5</v>
      </c>
      <c r="AZ24" s="16">
        <f t="shared" si="11"/>
        <v>31</v>
      </c>
      <c r="BA24" s="16">
        <f>AugReport[[#This Row],[Days]]-AugReport[[#This Row],[Absent]]</f>
        <v>27</v>
      </c>
      <c r="BB24" s="19">
        <v>72000</v>
      </c>
      <c r="BC24" s="20">
        <f>AugReport[[#This Row],[Salary ]]/AugReport[[#This Row],[Days]]</f>
        <v>2322.5806451612902</v>
      </c>
      <c r="BD24" s="20">
        <f>AugReport[[#This Row],[Per Day Salary ]]*AugReport[[#This Row],[Absent]]</f>
        <v>9290.322580645161</v>
      </c>
      <c r="BE24" s="20">
        <f>AugReport[[#This Row],[Salary ]]-AugReport[[#This Row],[Deduction]]</f>
        <v>62709.677419354841</v>
      </c>
      <c r="BF24" s="20"/>
      <c r="BG24" s="24"/>
      <c r="BH24" s="22"/>
      <c r="BI24" s="22"/>
      <c r="BJ24" s="22"/>
      <c r="BK24" s="22"/>
      <c r="BL24" s="22"/>
      <c r="BM24" s="22"/>
      <c r="BN24" s="22"/>
    </row>
    <row r="25" spans="6:66" x14ac:dyDescent="0.25">
      <c r="F25" s="21"/>
      <c r="G25" s="8">
        <v>16</v>
      </c>
      <c r="H25" s="10" t="s">
        <v>17</v>
      </c>
      <c r="I25" s="10">
        <v>1016</v>
      </c>
      <c r="J25" s="47">
        <f t="shared" si="12"/>
        <v>5</v>
      </c>
      <c r="K25" s="16" t="s">
        <v>38</v>
      </c>
      <c r="L25" s="16" t="s">
        <v>38</v>
      </c>
      <c r="M25" s="44" t="str">
        <f t="shared" si="2"/>
        <v>WO</v>
      </c>
      <c r="N25" s="16" t="s">
        <v>38</v>
      </c>
      <c r="O25" s="10" t="s">
        <v>38</v>
      </c>
      <c r="P25" s="10" t="s">
        <v>38</v>
      </c>
      <c r="Q25" s="10" t="s">
        <v>38</v>
      </c>
      <c r="R25" s="10" t="s">
        <v>38</v>
      </c>
      <c r="S25" s="16" t="s">
        <v>38</v>
      </c>
      <c r="T25" s="44" t="str">
        <f t="shared" si="2"/>
        <v>WO</v>
      </c>
      <c r="U25" s="16" t="s">
        <v>38</v>
      </c>
      <c r="V25" s="10" t="s">
        <v>38</v>
      </c>
      <c r="W25" s="10" t="s">
        <v>38</v>
      </c>
      <c r="X25" s="10" t="s">
        <v>38</v>
      </c>
      <c r="Y25" s="10" t="s">
        <v>38</v>
      </c>
      <c r="Z25" s="16" t="s">
        <v>38</v>
      </c>
      <c r="AA25" s="44" t="str">
        <f t="shared" si="15"/>
        <v>WO</v>
      </c>
      <c r="AB25" s="16" t="s">
        <v>38</v>
      </c>
      <c r="AC25" s="10" t="s">
        <v>38</v>
      </c>
      <c r="AD25" s="10" t="s">
        <v>38</v>
      </c>
      <c r="AE25" s="10" t="s">
        <v>38</v>
      </c>
      <c r="AF25" s="10" t="s">
        <v>38</v>
      </c>
      <c r="AG25" s="16" t="s">
        <v>38</v>
      </c>
      <c r="AH25" s="44" t="str">
        <f t="shared" si="15"/>
        <v>WO</v>
      </c>
      <c r="AI25" s="10" t="s">
        <v>38</v>
      </c>
      <c r="AJ25" s="10" t="s">
        <v>38</v>
      </c>
      <c r="AK25" s="10" t="s">
        <v>38</v>
      </c>
      <c r="AL25" s="10" t="s">
        <v>38</v>
      </c>
      <c r="AM25" s="10" t="s">
        <v>38</v>
      </c>
      <c r="AN25" s="10" t="s">
        <v>38</v>
      </c>
      <c r="AO25" s="44" t="str">
        <f t="shared" si="5"/>
        <v>WO</v>
      </c>
      <c r="AP25" s="21"/>
      <c r="AQ25" s="24"/>
      <c r="AR25" s="10">
        <v>16</v>
      </c>
      <c r="AS25" s="10" t="s">
        <v>17</v>
      </c>
      <c r="AT25" s="10" t="str">
        <f t="shared" si="6"/>
        <v>August</v>
      </c>
      <c r="AU25" s="10">
        <v>1016</v>
      </c>
      <c r="AV25" s="9">
        <f t="shared" si="7"/>
        <v>26</v>
      </c>
      <c r="AW25" s="16">
        <f t="shared" si="8"/>
        <v>0</v>
      </c>
      <c r="AX25" s="16">
        <f t="shared" si="9"/>
        <v>0</v>
      </c>
      <c r="AY25" s="16">
        <f t="shared" si="10"/>
        <v>5</v>
      </c>
      <c r="AZ25" s="16">
        <f t="shared" si="11"/>
        <v>31</v>
      </c>
      <c r="BA25" s="16">
        <f>AugReport[[#This Row],[Days]]-AugReport[[#This Row],[Absent]]</f>
        <v>31</v>
      </c>
      <c r="BB25" s="19">
        <v>79000</v>
      </c>
      <c r="BC25" s="20">
        <f>AugReport[[#This Row],[Salary ]]/AugReport[[#This Row],[Days]]</f>
        <v>2548.3870967741937</v>
      </c>
      <c r="BD25" s="20">
        <f>AugReport[[#This Row],[Per Day Salary ]]*AugReport[[#This Row],[Absent]]</f>
        <v>0</v>
      </c>
      <c r="BE25" s="20">
        <f>AugReport[[#This Row],[Salary ]]-AugReport[[#This Row],[Deduction]]</f>
        <v>79000</v>
      </c>
      <c r="BF25" s="20"/>
      <c r="BG25" s="24"/>
      <c r="BH25" s="22"/>
      <c r="BI25" s="22"/>
      <c r="BJ25" s="22"/>
      <c r="BK25" s="22"/>
      <c r="BL25" s="22"/>
      <c r="BM25" s="22"/>
      <c r="BN25" s="22"/>
    </row>
    <row r="26" spans="6:66" x14ac:dyDescent="0.25">
      <c r="F26" s="21"/>
      <c r="G26" s="8">
        <v>17</v>
      </c>
      <c r="H26" s="10" t="s">
        <v>18</v>
      </c>
      <c r="I26" s="10">
        <v>1017</v>
      </c>
      <c r="J26" s="47">
        <f t="shared" si="12"/>
        <v>5</v>
      </c>
      <c r="K26" s="16" t="s">
        <v>38</v>
      </c>
      <c r="L26" s="16" t="s">
        <v>38</v>
      </c>
      <c r="M26" s="44" t="str">
        <f t="shared" si="2"/>
        <v>WO</v>
      </c>
      <c r="N26" s="16" t="s">
        <v>38</v>
      </c>
      <c r="O26" s="10" t="s">
        <v>38</v>
      </c>
      <c r="P26" s="10" t="s">
        <v>38</v>
      </c>
      <c r="Q26" s="10" t="s">
        <v>38</v>
      </c>
      <c r="R26" s="10" t="s">
        <v>38</v>
      </c>
      <c r="S26" s="16" t="s">
        <v>38</v>
      </c>
      <c r="T26" s="44" t="str">
        <f t="shared" si="2"/>
        <v>WO</v>
      </c>
      <c r="U26" s="16" t="s">
        <v>38</v>
      </c>
      <c r="V26" s="10" t="s">
        <v>38</v>
      </c>
      <c r="W26" s="10" t="s">
        <v>38</v>
      </c>
      <c r="X26" s="10" t="s">
        <v>38</v>
      </c>
      <c r="Y26" s="10" t="s">
        <v>38</v>
      </c>
      <c r="Z26" s="16" t="s">
        <v>38</v>
      </c>
      <c r="AA26" s="44" t="str">
        <f t="shared" si="15"/>
        <v>WO</v>
      </c>
      <c r="AB26" s="16" t="s">
        <v>38</v>
      </c>
      <c r="AC26" s="10" t="s">
        <v>38</v>
      </c>
      <c r="AD26" s="10" t="s">
        <v>38</v>
      </c>
      <c r="AE26" s="10" t="s">
        <v>38</v>
      </c>
      <c r="AF26" s="10" t="s">
        <v>38</v>
      </c>
      <c r="AG26" s="16" t="s">
        <v>38</v>
      </c>
      <c r="AH26" s="44" t="str">
        <f t="shared" si="15"/>
        <v>WO</v>
      </c>
      <c r="AI26" s="10" t="s">
        <v>38</v>
      </c>
      <c r="AJ26" s="10" t="s">
        <v>38</v>
      </c>
      <c r="AK26" s="10" t="s">
        <v>38</v>
      </c>
      <c r="AL26" s="10" t="s">
        <v>38</v>
      </c>
      <c r="AM26" s="10" t="s">
        <v>38</v>
      </c>
      <c r="AN26" s="10" t="s">
        <v>38</v>
      </c>
      <c r="AO26" s="44" t="str">
        <f t="shared" si="13"/>
        <v>WO</v>
      </c>
      <c r="AP26" s="21"/>
      <c r="AQ26" s="24"/>
      <c r="AR26" s="10">
        <v>17</v>
      </c>
      <c r="AS26" s="10" t="s">
        <v>18</v>
      </c>
      <c r="AT26" s="10" t="str">
        <f t="shared" si="6"/>
        <v>August</v>
      </c>
      <c r="AU26" s="10">
        <v>1017</v>
      </c>
      <c r="AV26" s="9">
        <f t="shared" si="7"/>
        <v>26</v>
      </c>
      <c r="AW26" s="16">
        <f t="shared" si="8"/>
        <v>0</v>
      </c>
      <c r="AX26" s="16">
        <f t="shared" si="9"/>
        <v>0</v>
      </c>
      <c r="AY26" s="16">
        <f t="shared" si="10"/>
        <v>5</v>
      </c>
      <c r="AZ26" s="16">
        <f t="shared" si="11"/>
        <v>31</v>
      </c>
      <c r="BA26" s="16">
        <f>AugReport[[#This Row],[Days]]-AugReport[[#This Row],[Absent]]</f>
        <v>31</v>
      </c>
      <c r="BB26" s="19">
        <v>33000</v>
      </c>
      <c r="BC26" s="20">
        <f>AugReport[[#This Row],[Salary ]]/AugReport[[#This Row],[Days]]</f>
        <v>1064.516129032258</v>
      </c>
      <c r="BD26" s="20">
        <f>AugReport[[#This Row],[Per Day Salary ]]*AugReport[[#This Row],[Absent]]</f>
        <v>0</v>
      </c>
      <c r="BE26" s="20">
        <f>AugReport[[#This Row],[Salary ]]-AugReport[[#This Row],[Deduction]]</f>
        <v>33000</v>
      </c>
      <c r="BF26" s="20"/>
      <c r="BG26" s="24"/>
      <c r="BH26" s="22"/>
      <c r="BI26" s="22"/>
      <c r="BJ26" s="22"/>
      <c r="BK26" s="22"/>
      <c r="BL26" s="22"/>
      <c r="BM26" s="22"/>
      <c r="BN26" s="22"/>
    </row>
    <row r="27" spans="6:66" x14ac:dyDescent="0.25">
      <c r="F27" s="21"/>
      <c r="G27" s="8">
        <v>18</v>
      </c>
      <c r="H27" s="10" t="s">
        <v>41</v>
      </c>
      <c r="I27" s="10">
        <v>1018</v>
      </c>
      <c r="J27" s="47">
        <f t="shared" si="12"/>
        <v>5</v>
      </c>
      <c r="K27" s="16" t="s">
        <v>38</v>
      </c>
      <c r="L27" s="16" t="s">
        <v>38</v>
      </c>
      <c r="M27" s="44" t="str">
        <f t="shared" si="2"/>
        <v>WO</v>
      </c>
      <c r="N27" s="16" t="s">
        <v>38</v>
      </c>
      <c r="O27" s="10" t="s">
        <v>38</v>
      </c>
      <c r="P27" s="10" t="s">
        <v>38</v>
      </c>
      <c r="Q27" s="10" t="s">
        <v>38</v>
      </c>
      <c r="R27" s="10" t="s">
        <v>38</v>
      </c>
      <c r="S27" s="16" t="s">
        <v>38</v>
      </c>
      <c r="T27" s="44" t="str">
        <f t="shared" si="2"/>
        <v>WO</v>
      </c>
      <c r="U27" s="16" t="s">
        <v>38</v>
      </c>
      <c r="V27" s="10" t="s">
        <v>38</v>
      </c>
      <c r="W27" s="10" t="s">
        <v>38</v>
      </c>
      <c r="X27" s="10" t="s">
        <v>38</v>
      </c>
      <c r="Y27" s="10" t="s">
        <v>38</v>
      </c>
      <c r="Z27" s="16" t="s">
        <v>38</v>
      </c>
      <c r="AA27" s="44" t="str">
        <f t="shared" si="15"/>
        <v>WO</v>
      </c>
      <c r="AB27" s="16" t="s">
        <v>38</v>
      </c>
      <c r="AC27" s="10" t="s">
        <v>38</v>
      </c>
      <c r="AD27" s="10" t="s">
        <v>38</v>
      </c>
      <c r="AE27" s="10" t="s">
        <v>38</v>
      </c>
      <c r="AF27" s="10" t="s">
        <v>38</v>
      </c>
      <c r="AG27" s="16" t="s">
        <v>38</v>
      </c>
      <c r="AH27" s="44" t="str">
        <f t="shared" si="15"/>
        <v>WO</v>
      </c>
      <c r="AI27" s="10" t="s">
        <v>38</v>
      </c>
      <c r="AJ27" s="10" t="s">
        <v>38</v>
      </c>
      <c r="AK27" s="10" t="s">
        <v>40</v>
      </c>
      <c r="AL27" s="10" t="s">
        <v>38</v>
      </c>
      <c r="AM27" s="10" t="s">
        <v>38</v>
      </c>
      <c r="AN27" s="10" t="s">
        <v>40</v>
      </c>
      <c r="AO27" s="44" t="str">
        <f t="shared" si="13"/>
        <v>WO</v>
      </c>
      <c r="AP27" s="21"/>
      <c r="AQ27" s="24"/>
      <c r="AR27" s="10">
        <v>18</v>
      </c>
      <c r="AS27" s="10" t="s">
        <v>41</v>
      </c>
      <c r="AT27" s="10" t="str">
        <f t="shared" si="6"/>
        <v>August</v>
      </c>
      <c r="AU27" s="10">
        <v>1018</v>
      </c>
      <c r="AV27" s="9">
        <f t="shared" si="7"/>
        <v>24</v>
      </c>
      <c r="AW27" s="16">
        <f t="shared" si="8"/>
        <v>0</v>
      </c>
      <c r="AX27" s="16">
        <f t="shared" si="9"/>
        <v>2</v>
      </c>
      <c r="AY27" s="16">
        <f t="shared" si="10"/>
        <v>5</v>
      </c>
      <c r="AZ27" s="16">
        <f t="shared" si="11"/>
        <v>31</v>
      </c>
      <c r="BA27" s="16">
        <f>AugReport[[#This Row],[Days]]-AugReport[[#This Row],[Absent]]</f>
        <v>31</v>
      </c>
      <c r="BB27" s="19">
        <v>12000</v>
      </c>
      <c r="BC27" s="20">
        <f>AugReport[[#This Row],[Salary ]]/AugReport[[#This Row],[Days]]</f>
        <v>387.09677419354841</v>
      </c>
      <c r="BD27" s="20">
        <f>AugReport[[#This Row],[Per Day Salary ]]*AugReport[[#This Row],[Absent]]</f>
        <v>0</v>
      </c>
      <c r="BE27" s="20">
        <f>AugReport[[#This Row],[Salary ]]-AugReport[[#This Row],[Deduction]]</f>
        <v>12000</v>
      </c>
      <c r="BF27" s="20"/>
      <c r="BG27" s="24"/>
      <c r="BH27" s="22"/>
      <c r="BI27" s="22"/>
      <c r="BJ27" s="22"/>
      <c r="BK27" s="22"/>
      <c r="BL27" s="22"/>
      <c r="BM27" s="22"/>
      <c r="BN27" s="22"/>
    </row>
    <row r="28" spans="6:66" x14ac:dyDescent="0.25">
      <c r="F28" s="21"/>
      <c r="G28" s="8">
        <v>19</v>
      </c>
      <c r="H28" s="10" t="s">
        <v>19</v>
      </c>
      <c r="I28" s="10">
        <v>1019</v>
      </c>
      <c r="J28" s="47">
        <f t="shared" si="12"/>
        <v>5</v>
      </c>
      <c r="K28" s="16" t="s">
        <v>39</v>
      </c>
      <c r="L28" s="16" t="s">
        <v>38</v>
      </c>
      <c r="M28" s="44" t="str">
        <f t="shared" si="2"/>
        <v>WO</v>
      </c>
      <c r="N28" s="16" t="s">
        <v>38</v>
      </c>
      <c r="O28" s="10" t="s">
        <v>38</v>
      </c>
      <c r="P28" s="10" t="s">
        <v>38</v>
      </c>
      <c r="Q28" s="10" t="s">
        <v>38</v>
      </c>
      <c r="R28" s="10" t="s">
        <v>38</v>
      </c>
      <c r="S28" s="16" t="s">
        <v>38</v>
      </c>
      <c r="T28" s="44" t="str">
        <f t="shared" si="2"/>
        <v>WO</v>
      </c>
      <c r="U28" s="16" t="s">
        <v>38</v>
      </c>
      <c r="V28" s="10" t="s">
        <v>38</v>
      </c>
      <c r="W28" s="10" t="s">
        <v>38</v>
      </c>
      <c r="X28" s="10" t="s">
        <v>38</v>
      </c>
      <c r="Y28" s="10" t="s">
        <v>38</v>
      </c>
      <c r="Z28" s="16" t="s">
        <v>38</v>
      </c>
      <c r="AA28" s="44" t="str">
        <f t="shared" si="15"/>
        <v>WO</v>
      </c>
      <c r="AB28" s="16" t="s">
        <v>38</v>
      </c>
      <c r="AC28" s="10" t="s">
        <v>38</v>
      </c>
      <c r="AD28" s="10" t="s">
        <v>38</v>
      </c>
      <c r="AE28" s="10" t="s">
        <v>38</v>
      </c>
      <c r="AF28" s="10" t="s">
        <v>38</v>
      </c>
      <c r="AG28" s="16" t="s">
        <v>38</v>
      </c>
      <c r="AH28" s="44" t="str">
        <f t="shared" si="15"/>
        <v>WO</v>
      </c>
      <c r="AI28" s="10" t="s">
        <v>38</v>
      </c>
      <c r="AJ28" s="10" t="s">
        <v>38</v>
      </c>
      <c r="AK28" s="10" t="s">
        <v>38</v>
      </c>
      <c r="AL28" s="10" t="s">
        <v>38</v>
      </c>
      <c r="AM28" s="10" t="s">
        <v>40</v>
      </c>
      <c r="AN28" s="10" t="s">
        <v>38</v>
      </c>
      <c r="AO28" s="44" t="str">
        <f t="shared" si="13"/>
        <v>WO</v>
      </c>
      <c r="AP28" s="21"/>
      <c r="AQ28" s="24"/>
      <c r="AR28" s="10">
        <v>19</v>
      </c>
      <c r="AS28" s="10" t="s">
        <v>19</v>
      </c>
      <c r="AT28" s="10" t="str">
        <f t="shared" si="6"/>
        <v>August</v>
      </c>
      <c r="AU28" s="10">
        <v>1019</v>
      </c>
      <c r="AV28" s="9">
        <f t="shared" si="7"/>
        <v>24</v>
      </c>
      <c r="AW28" s="16">
        <f t="shared" si="8"/>
        <v>1</v>
      </c>
      <c r="AX28" s="16">
        <f t="shared" si="9"/>
        <v>1</v>
      </c>
      <c r="AY28" s="16">
        <f t="shared" si="10"/>
        <v>5</v>
      </c>
      <c r="AZ28" s="16">
        <f t="shared" si="11"/>
        <v>31</v>
      </c>
      <c r="BA28" s="16">
        <f>AugReport[[#This Row],[Days]]-AugReport[[#This Row],[Absent]]</f>
        <v>30</v>
      </c>
      <c r="BB28" s="19">
        <v>19000</v>
      </c>
      <c r="BC28" s="20">
        <f>AugReport[[#This Row],[Salary ]]/AugReport[[#This Row],[Days]]</f>
        <v>612.90322580645159</v>
      </c>
      <c r="BD28" s="20">
        <f>AugReport[[#This Row],[Per Day Salary ]]*AugReport[[#This Row],[Absent]]</f>
        <v>612.90322580645159</v>
      </c>
      <c r="BE28" s="20">
        <f>AugReport[[#This Row],[Salary ]]-AugReport[[#This Row],[Deduction]]</f>
        <v>18387.096774193549</v>
      </c>
      <c r="BF28" s="20"/>
      <c r="BG28" s="24"/>
      <c r="BH28" s="22"/>
      <c r="BI28" s="22"/>
      <c r="BJ28" s="22"/>
      <c r="BK28" s="22"/>
      <c r="BL28" s="22"/>
      <c r="BM28" s="22"/>
      <c r="BN28" s="22"/>
    </row>
    <row r="29" spans="6:66" ht="16.5" thickBot="1" x14ac:dyDescent="0.3">
      <c r="F29" s="21"/>
      <c r="G29" s="11">
        <v>20</v>
      </c>
      <c r="H29" s="12" t="s">
        <v>24</v>
      </c>
      <c r="I29" s="12">
        <v>1020</v>
      </c>
      <c r="J29" s="48">
        <f t="shared" si="12"/>
        <v>5</v>
      </c>
      <c r="K29" s="34" t="s">
        <v>38</v>
      </c>
      <c r="L29" s="34" t="s">
        <v>38</v>
      </c>
      <c r="M29" s="45" t="str">
        <f t="shared" si="2"/>
        <v>WO</v>
      </c>
      <c r="N29" s="34" t="s">
        <v>38</v>
      </c>
      <c r="O29" s="39" t="s">
        <v>38</v>
      </c>
      <c r="P29" s="39" t="s">
        <v>38</v>
      </c>
      <c r="Q29" s="39" t="s">
        <v>39</v>
      </c>
      <c r="R29" s="39" t="s">
        <v>38</v>
      </c>
      <c r="S29" s="34" t="s">
        <v>38</v>
      </c>
      <c r="T29" s="45" t="str">
        <f t="shared" si="2"/>
        <v>WO</v>
      </c>
      <c r="U29" s="34" t="s">
        <v>38</v>
      </c>
      <c r="V29" s="39" t="s">
        <v>38</v>
      </c>
      <c r="W29" s="39" t="s">
        <v>38</v>
      </c>
      <c r="X29" s="39" t="s">
        <v>39</v>
      </c>
      <c r="Y29" s="39" t="s">
        <v>38</v>
      </c>
      <c r="Z29" s="34" t="s">
        <v>38</v>
      </c>
      <c r="AA29" s="45" t="str">
        <f t="shared" si="15"/>
        <v>WO</v>
      </c>
      <c r="AB29" s="34" t="s">
        <v>38</v>
      </c>
      <c r="AC29" s="39" t="s">
        <v>38</v>
      </c>
      <c r="AD29" s="39" t="s">
        <v>38</v>
      </c>
      <c r="AE29" s="39" t="s">
        <v>39</v>
      </c>
      <c r="AF29" s="39" t="s">
        <v>38</v>
      </c>
      <c r="AG29" s="34" t="s">
        <v>38</v>
      </c>
      <c r="AH29" s="45" t="str">
        <f t="shared" si="15"/>
        <v>WO</v>
      </c>
      <c r="AI29" s="39" t="s">
        <v>39</v>
      </c>
      <c r="AJ29" s="39" t="s">
        <v>38</v>
      </c>
      <c r="AK29" s="39" t="s">
        <v>38</v>
      </c>
      <c r="AL29" s="39" t="s">
        <v>38</v>
      </c>
      <c r="AM29" s="39" t="s">
        <v>38</v>
      </c>
      <c r="AN29" s="39" t="s">
        <v>38</v>
      </c>
      <c r="AO29" s="45" t="str">
        <f t="shared" si="13"/>
        <v>WO</v>
      </c>
      <c r="AP29" s="21"/>
      <c r="AQ29" s="24"/>
      <c r="AR29" s="10">
        <v>20</v>
      </c>
      <c r="AS29" s="10" t="s">
        <v>24</v>
      </c>
      <c r="AT29" s="10" t="str">
        <f t="shared" si="6"/>
        <v>August</v>
      </c>
      <c r="AU29" s="10">
        <v>1020</v>
      </c>
      <c r="AV29" s="9">
        <f t="shared" si="7"/>
        <v>22</v>
      </c>
      <c r="AW29" s="16">
        <f t="shared" si="8"/>
        <v>4</v>
      </c>
      <c r="AX29" s="16">
        <f t="shared" si="9"/>
        <v>0</v>
      </c>
      <c r="AY29" s="16">
        <f t="shared" si="10"/>
        <v>5</v>
      </c>
      <c r="AZ29" s="16">
        <f t="shared" si="11"/>
        <v>31</v>
      </c>
      <c r="BA29" s="16">
        <f>AugReport[[#This Row],[Days]]-AugReport[[#This Row],[Absent]]</f>
        <v>27</v>
      </c>
      <c r="BB29" s="19">
        <v>17000</v>
      </c>
      <c r="BC29" s="20">
        <f>AugReport[[#This Row],[Salary ]]/AugReport[[#This Row],[Days]]</f>
        <v>548.38709677419354</v>
      </c>
      <c r="BD29" s="20">
        <f>AugReport[[#This Row],[Per Day Salary ]]*AugReport[[#This Row],[Absent]]</f>
        <v>2193.5483870967741</v>
      </c>
      <c r="BE29" s="20">
        <f>AugReport[[#This Row],[Salary ]]-AugReport[[#This Row],[Deduction]]</f>
        <v>14806.451612903225</v>
      </c>
      <c r="BF29" s="20"/>
      <c r="BG29" s="24"/>
      <c r="BH29" s="22"/>
      <c r="BI29" s="22"/>
      <c r="BJ29" s="22"/>
      <c r="BK29" s="22"/>
      <c r="BL29" s="22"/>
      <c r="BM29" s="22"/>
      <c r="BN29" s="22"/>
    </row>
    <row r="30" spans="6:66" x14ac:dyDescent="0.25"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2"/>
      <c r="BI30" s="22"/>
      <c r="BJ30" s="22"/>
      <c r="BK30" s="22"/>
      <c r="BL30" s="22"/>
      <c r="BM30" s="22"/>
      <c r="BN30" s="22"/>
    </row>
    <row r="31" spans="6:66" s="22" customFormat="1" x14ac:dyDescent="0.25"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</row>
    <row r="32" spans="6:66" s="22" customFormat="1" x14ac:dyDescent="0.25"/>
    <row r="33" spans="6:66" x14ac:dyDescent="0.25"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H33" s="22"/>
      <c r="BI33" s="22"/>
      <c r="BJ33" s="22"/>
      <c r="BK33" s="22"/>
      <c r="BL33" s="22"/>
      <c r="BM33" s="22"/>
      <c r="BN33" s="22"/>
    </row>
    <row r="34" spans="6:66" x14ac:dyDescent="0.25"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H34" s="22"/>
      <c r="BI34" s="22"/>
      <c r="BJ34" s="22"/>
      <c r="BK34" s="22"/>
      <c r="BL34" s="22"/>
      <c r="BM34" s="22"/>
      <c r="BN34" s="22"/>
    </row>
    <row r="35" spans="6:66" x14ac:dyDescent="0.25"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H35" s="22"/>
      <c r="BI35" s="22"/>
      <c r="BJ35" s="22"/>
      <c r="BK35" s="22"/>
      <c r="BL35" s="22"/>
      <c r="BM35" s="22"/>
      <c r="BN35" s="22"/>
    </row>
    <row r="36" spans="6:66" x14ac:dyDescent="0.25"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H36" s="22"/>
      <c r="BI36" s="22"/>
      <c r="BJ36" s="22"/>
      <c r="BK36" s="22"/>
      <c r="BL36" s="22"/>
      <c r="BM36" s="22"/>
      <c r="BN36" s="22"/>
    </row>
    <row r="37" spans="6:66" x14ac:dyDescent="0.25"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H37" s="22"/>
      <c r="BI37" s="22"/>
      <c r="BJ37" s="22"/>
      <c r="BK37" s="22"/>
      <c r="BL37" s="22"/>
      <c r="BM37" s="22"/>
      <c r="BN37" s="22"/>
    </row>
    <row r="38" spans="6:66" x14ac:dyDescent="0.25"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H38" s="22"/>
      <c r="BI38" s="22"/>
      <c r="BJ38" s="22"/>
      <c r="BK38" s="22"/>
      <c r="BL38" s="22"/>
      <c r="BM38" s="22"/>
      <c r="BN38" s="22"/>
    </row>
    <row r="39" spans="6:66" x14ac:dyDescent="0.25"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H39" s="22"/>
      <c r="BI39" s="22"/>
      <c r="BJ39" s="22"/>
      <c r="BK39" s="22"/>
      <c r="BL39" s="22"/>
      <c r="BM39" s="22"/>
      <c r="BN39" s="22"/>
    </row>
    <row r="40" spans="6:66" x14ac:dyDescent="0.25"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H40" s="22"/>
      <c r="BI40" s="22"/>
      <c r="BJ40" s="22"/>
      <c r="BK40" s="22"/>
      <c r="BL40" s="22"/>
      <c r="BM40" s="22"/>
      <c r="BN40" s="22"/>
    </row>
    <row r="41" spans="6:66" x14ac:dyDescent="0.25"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H41" s="22"/>
      <c r="BI41" s="22"/>
      <c r="BJ41" s="22"/>
      <c r="BK41" s="22"/>
      <c r="BL41" s="22"/>
      <c r="BM41" s="22"/>
      <c r="BN41" s="22"/>
    </row>
    <row r="42" spans="6:66" x14ac:dyDescent="0.25"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H42" s="22"/>
      <c r="BI42" s="22"/>
      <c r="BJ42" s="22"/>
      <c r="BK42" s="22"/>
      <c r="BL42" s="22"/>
      <c r="BM42" s="22"/>
      <c r="BN42" s="22"/>
    </row>
    <row r="43" spans="6:66" x14ac:dyDescent="0.25"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H43" s="22"/>
      <c r="BI43" s="22"/>
      <c r="BJ43" s="22"/>
      <c r="BK43" s="22"/>
      <c r="BL43" s="22"/>
      <c r="BM43" s="22"/>
      <c r="BN43" s="22"/>
    </row>
    <row r="44" spans="6:66" x14ac:dyDescent="0.25"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H44" s="22"/>
      <c r="BI44" s="22"/>
      <c r="BJ44" s="22"/>
      <c r="BK44" s="22"/>
      <c r="BL44" s="22"/>
      <c r="BM44" s="22"/>
      <c r="BN44" s="22"/>
    </row>
    <row r="45" spans="6:66" x14ac:dyDescent="0.25"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H45" s="22"/>
      <c r="BI45" s="22"/>
      <c r="BJ45" s="22"/>
      <c r="BK45" s="22"/>
      <c r="BL45" s="22"/>
      <c r="BM45" s="22"/>
      <c r="BN45" s="22"/>
    </row>
    <row r="46" spans="6:66" x14ac:dyDescent="0.25"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H46" s="22"/>
      <c r="BI46" s="22"/>
      <c r="BJ46" s="22"/>
      <c r="BK46" s="22"/>
      <c r="BL46" s="22"/>
      <c r="BM46" s="22"/>
      <c r="BN46" s="22"/>
    </row>
    <row r="47" spans="6:66" x14ac:dyDescent="0.25"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H47" s="22"/>
      <c r="BI47" s="22"/>
      <c r="BJ47" s="22"/>
      <c r="BK47" s="22"/>
      <c r="BL47" s="22"/>
      <c r="BM47" s="22"/>
      <c r="BN47" s="22"/>
    </row>
    <row r="48" spans="6:66" x14ac:dyDescent="0.25"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H48" s="22"/>
      <c r="BI48" s="22"/>
      <c r="BJ48" s="22"/>
      <c r="BK48" s="22"/>
      <c r="BL48" s="22"/>
      <c r="BM48" s="22"/>
      <c r="BN48" s="22"/>
    </row>
    <row r="49" spans="6:66" x14ac:dyDescent="0.25"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H49" s="22"/>
      <c r="BI49" s="22"/>
      <c r="BJ49" s="22"/>
      <c r="BK49" s="22"/>
      <c r="BL49" s="22"/>
      <c r="BM49" s="22"/>
      <c r="BN49" s="22"/>
    </row>
    <row r="50" spans="6:66" x14ac:dyDescent="0.25"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H50" s="22"/>
      <c r="BI50" s="22"/>
      <c r="BJ50" s="22"/>
      <c r="BK50" s="22"/>
      <c r="BL50" s="22"/>
      <c r="BM50" s="22"/>
      <c r="BN50" s="22"/>
    </row>
    <row r="51" spans="6:66" x14ac:dyDescent="0.25"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H51" s="22"/>
      <c r="BI51" s="22"/>
      <c r="BJ51" s="22"/>
      <c r="BK51" s="22"/>
      <c r="BL51" s="22"/>
      <c r="BM51" s="22"/>
      <c r="BN51" s="22"/>
    </row>
    <row r="52" spans="6:66" x14ac:dyDescent="0.25"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H52" s="22"/>
      <c r="BI52" s="22"/>
      <c r="BJ52" s="22"/>
      <c r="BK52" s="22"/>
      <c r="BL52" s="22"/>
      <c r="BM52" s="22"/>
      <c r="BN52" s="22"/>
    </row>
    <row r="53" spans="6:66" x14ac:dyDescent="0.25"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H53" s="22"/>
      <c r="BI53" s="22"/>
      <c r="BJ53" s="22"/>
      <c r="BK53" s="22"/>
      <c r="BL53" s="22"/>
      <c r="BM53" s="22"/>
      <c r="BN53" s="22"/>
    </row>
    <row r="54" spans="6:66" x14ac:dyDescent="0.25"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H54" s="22"/>
      <c r="BI54" s="22"/>
      <c r="BJ54" s="22"/>
      <c r="BK54" s="22"/>
      <c r="BL54" s="22"/>
      <c r="BM54" s="22"/>
      <c r="BN54" s="22"/>
    </row>
    <row r="55" spans="6:66" x14ac:dyDescent="0.25"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H55" s="22"/>
      <c r="BI55" s="22"/>
      <c r="BJ55" s="22"/>
      <c r="BK55" s="22"/>
      <c r="BL55" s="22"/>
      <c r="BM55" s="22"/>
      <c r="BN55" s="22"/>
    </row>
    <row r="56" spans="6:66" x14ac:dyDescent="0.25"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H56" s="22"/>
      <c r="BI56" s="22"/>
      <c r="BJ56" s="22"/>
      <c r="BK56" s="22"/>
      <c r="BL56" s="22"/>
      <c r="BM56" s="22"/>
      <c r="BN56" s="22"/>
    </row>
    <row r="57" spans="6:66" x14ac:dyDescent="0.25"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H57" s="22"/>
      <c r="BI57" s="22"/>
      <c r="BJ57" s="22"/>
      <c r="BK57" s="22"/>
      <c r="BL57" s="22"/>
      <c r="BM57" s="22"/>
      <c r="BN57" s="22"/>
    </row>
    <row r="58" spans="6:66" x14ac:dyDescent="0.25"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H58" s="22"/>
      <c r="BI58" s="22"/>
      <c r="BJ58" s="22"/>
      <c r="BK58" s="22"/>
      <c r="BL58" s="22"/>
      <c r="BM58" s="22"/>
      <c r="BN58" s="22"/>
    </row>
    <row r="59" spans="6:66" x14ac:dyDescent="0.25"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H59" s="22"/>
      <c r="BI59" s="22"/>
      <c r="BJ59" s="22"/>
      <c r="BK59" s="22"/>
      <c r="BL59" s="22"/>
      <c r="BM59" s="22"/>
      <c r="BN59" s="22"/>
    </row>
    <row r="60" spans="6:66" x14ac:dyDescent="0.25"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H60" s="22"/>
      <c r="BI60" s="22"/>
      <c r="BJ60" s="22"/>
      <c r="BK60" s="22"/>
      <c r="BL60" s="22"/>
      <c r="BM60" s="22"/>
      <c r="BN60" s="22"/>
    </row>
    <row r="61" spans="6:66" x14ac:dyDescent="0.25"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H61" s="22"/>
      <c r="BI61" s="22"/>
      <c r="BJ61" s="22"/>
      <c r="BK61" s="22"/>
      <c r="BL61" s="22"/>
      <c r="BM61" s="22"/>
      <c r="BN61" s="22"/>
    </row>
    <row r="62" spans="6:66" x14ac:dyDescent="0.25"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H62" s="22"/>
      <c r="BI62" s="22"/>
      <c r="BJ62" s="22"/>
      <c r="BK62" s="22"/>
      <c r="BL62" s="22"/>
      <c r="BM62" s="22"/>
      <c r="BN62" s="22"/>
    </row>
    <row r="63" spans="6:66" x14ac:dyDescent="0.25"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H63" s="22"/>
      <c r="BI63" s="22"/>
      <c r="BJ63" s="22"/>
      <c r="BK63" s="22"/>
      <c r="BL63" s="22"/>
      <c r="BM63" s="22"/>
      <c r="BN63" s="22"/>
    </row>
    <row r="64" spans="6:66" x14ac:dyDescent="0.25"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H64" s="22"/>
      <c r="BI64" s="22"/>
      <c r="BJ64" s="22"/>
      <c r="BK64" s="22"/>
      <c r="BL64" s="22"/>
      <c r="BM64" s="22"/>
      <c r="BN64" s="22"/>
    </row>
    <row r="65" spans="6:66" x14ac:dyDescent="0.25"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H65" s="22"/>
      <c r="BI65" s="22"/>
      <c r="BJ65" s="22"/>
      <c r="BK65" s="22"/>
      <c r="BL65" s="22"/>
      <c r="BM65" s="22"/>
      <c r="BN65" s="22"/>
    </row>
    <row r="66" spans="6:66" x14ac:dyDescent="0.25"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H66" s="22"/>
      <c r="BI66" s="22"/>
      <c r="BJ66" s="22"/>
      <c r="BK66" s="22"/>
      <c r="BL66" s="22"/>
      <c r="BM66" s="22"/>
      <c r="BN66" s="22"/>
    </row>
    <row r="67" spans="6:66" x14ac:dyDescent="0.25"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H67" s="22"/>
      <c r="BI67" s="22"/>
      <c r="BJ67" s="22"/>
      <c r="BK67" s="22"/>
      <c r="BL67" s="22"/>
      <c r="BM67" s="22"/>
      <c r="BN67" s="22"/>
    </row>
    <row r="68" spans="6:66" x14ac:dyDescent="0.25"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H68" s="22"/>
      <c r="BI68" s="22"/>
      <c r="BJ68" s="22"/>
      <c r="BK68" s="22"/>
      <c r="BL68" s="22"/>
      <c r="BM68" s="22"/>
      <c r="BN68" s="22"/>
    </row>
    <row r="69" spans="6:66" x14ac:dyDescent="0.25"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H69" s="22"/>
      <c r="BI69" s="22"/>
      <c r="BJ69" s="22"/>
      <c r="BK69" s="22"/>
      <c r="BL69" s="22"/>
      <c r="BM69" s="22"/>
      <c r="BN69" s="22"/>
    </row>
    <row r="70" spans="6:66" x14ac:dyDescent="0.25"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H70" s="22"/>
      <c r="BI70" s="22"/>
      <c r="BJ70" s="22"/>
      <c r="BK70" s="22"/>
      <c r="BL70" s="22"/>
      <c r="BM70" s="22"/>
      <c r="BN70" s="22"/>
    </row>
    <row r="71" spans="6:66" x14ac:dyDescent="0.25"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H71" s="22"/>
      <c r="BI71" s="22"/>
      <c r="BJ71" s="22"/>
      <c r="BK71" s="22"/>
      <c r="BL71" s="22"/>
      <c r="BM71" s="22"/>
      <c r="BN71" s="22"/>
    </row>
    <row r="72" spans="6:66" x14ac:dyDescent="0.25"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H72" s="22"/>
      <c r="BI72" s="22"/>
      <c r="BJ72" s="22"/>
      <c r="BK72" s="22"/>
      <c r="BL72" s="22"/>
      <c r="BM72" s="22"/>
      <c r="BN72" s="22"/>
    </row>
    <row r="73" spans="6:66" x14ac:dyDescent="0.25"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H73" s="22"/>
      <c r="BI73" s="22"/>
      <c r="BJ73" s="22"/>
      <c r="BK73" s="22"/>
      <c r="BL73" s="22"/>
      <c r="BM73" s="22"/>
      <c r="BN73" s="22"/>
    </row>
    <row r="74" spans="6:66" x14ac:dyDescent="0.25"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H74" s="22"/>
      <c r="BI74" s="22"/>
      <c r="BJ74" s="22"/>
      <c r="BK74" s="22"/>
      <c r="BL74" s="22"/>
      <c r="BM74" s="22"/>
      <c r="BN74" s="22"/>
    </row>
    <row r="75" spans="6:66" x14ac:dyDescent="0.25"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H75" s="22"/>
      <c r="BI75" s="22"/>
      <c r="BJ75" s="22"/>
      <c r="BK75" s="22"/>
      <c r="BL75" s="22"/>
      <c r="BM75" s="22"/>
      <c r="BN75" s="22"/>
    </row>
    <row r="76" spans="6:66" x14ac:dyDescent="0.25"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H76" s="22"/>
      <c r="BI76" s="22"/>
      <c r="BJ76" s="22"/>
      <c r="BK76" s="22"/>
      <c r="BL76" s="22"/>
      <c r="BM76" s="22"/>
      <c r="BN76" s="22"/>
    </row>
    <row r="77" spans="6:66" x14ac:dyDescent="0.25"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H77" s="22"/>
      <c r="BI77" s="22"/>
      <c r="BJ77" s="22"/>
      <c r="BK77" s="22"/>
      <c r="BL77" s="22"/>
      <c r="BM77" s="22"/>
      <c r="BN77" s="22"/>
    </row>
    <row r="78" spans="6:66" x14ac:dyDescent="0.25"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H78" s="22"/>
      <c r="BI78" s="22"/>
      <c r="BJ78" s="22"/>
      <c r="BK78" s="22"/>
      <c r="BL78" s="22"/>
      <c r="BM78" s="22"/>
      <c r="BN78" s="22"/>
    </row>
    <row r="79" spans="6:66" x14ac:dyDescent="0.25"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H79" s="22"/>
      <c r="BI79" s="22"/>
      <c r="BJ79" s="22"/>
      <c r="BK79" s="22"/>
      <c r="BL79" s="22"/>
      <c r="BM79" s="22"/>
      <c r="BN79" s="22"/>
    </row>
    <row r="80" spans="6:66" x14ac:dyDescent="0.25"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H80" s="22"/>
      <c r="BI80" s="22"/>
      <c r="BJ80" s="22"/>
      <c r="BK80" s="22"/>
      <c r="BL80" s="22"/>
      <c r="BM80" s="22"/>
      <c r="BN80" s="22"/>
    </row>
    <row r="81" spans="6:66" x14ac:dyDescent="0.25"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H81" s="22"/>
      <c r="BI81" s="22"/>
      <c r="BJ81" s="22"/>
      <c r="BK81" s="22"/>
      <c r="BL81" s="22"/>
      <c r="BM81" s="22"/>
      <c r="BN81" s="22"/>
    </row>
    <row r="82" spans="6:66" x14ac:dyDescent="0.25"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H82" s="22"/>
      <c r="BI82" s="22"/>
      <c r="BJ82" s="22"/>
      <c r="BK82" s="22"/>
      <c r="BL82" s="22"/>
      <c r="BM82" s="22"/>
      <c r="BN82" s="22"/>
    </row>
    <row r="83" spans="6:66" x14ac:dyDescent="0.25"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H83" s="22"/>
      <c r="BI83" s="22"/>
      <c r="BJ83" s="22"/>
      <c r="BK83" s="22"/>
      <c r="BL83" s="22"/>
      <c r="BM83" s="22"/>
      <c r="BN83" s="22"/>
    </row>
    <row r="84" spans="6:66" x14ac:dyDescent="0.25"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H84" s="22"/>
      <c r="BI84" s="22"/>
      <c r="BJ84" s="22"/>
      <c r="BK84" s="22"/>
      <c r="BL84" s="22"/>
      <c r="BM84" s="22"/>
      <c r="BN84" s="22"/>
    </row>
    <row r="85" spans="6:66" x14ac:dyDescent="0.25"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H85" s="22"/>
      <c r="BI85" s="22"/>
      <c r="BJ85" s="22"/>
      <c r="BK85" s="22"/>
      <c r="BL85" s="22"/>
      <c r="BM85" s="22"/>
      <c r="BN85" s="22"/>
    </row>
    <row r="86" spans="6:66" x14ac:dyDescent="0.25"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H86" s="22"/>
      <c r="BI86" s="22"/>
      <c r="BJ86" s="22"/>
      <c r="BK86" s="22"/>
      <c r="BL86" s="22"/>
      <c r="BM86" s="22"/>
      <c r="BN86" s="22"/>
    </row>
    <row r="87" spans="6:66" x14ac:dyDescent="0.25"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H87" s="22"/>
      <c r="BI87" s="22"/>
      <c r="BJ87" s="22"/>
      <c r="BK87" s="22"/>
      <c r="BL87" s="22"/>
      <c r="BM87" s="22"/>
      <c r="BN87" s="22"/>
    </row>
    <row r="88" spans="6:66" x14ac:dyDescent="0.25"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H88" s="22"/>
      <c r="BI88" s="22"/>
      <c r="BJ88" s="22"/>
      <c r="BK88" s="22"/>
      <c r="BL88" s="22"/>
      <c r="BM88" s="22"/>
      <c r="BN88" s="22"/>
    </row>
    <row r="89" spans="6:66" x14ac:dyDescent="0.25"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H89" s="22"/>
      <c r="BI89" s="22"/>
      <c r="BJ89" s="22"/>
      <c r="BK89" s="22"/>
      <c r="BL89" s="22"/>
      <c r="BM89" s="22"/>
      <c r="BN89" s="22"/>
    </row>
    <row r="90" spans="6:66" x14ac:dyDescent="0.25"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H90" s="22"/>
      <c r="BI90" s="22"/>
      <c r="BJ90" s="22"/>
      <c r="BK90" s="22"/>
      <c r="BL90" s="22"/>
      <c r="BM90" s="22"/>
      <c r="BN90" s="22"/>
    </row>
    <row r="91" spans="6:66" x14ac:dyDescent="0.25"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H91" s="22"/>
      <c r="BI91" s="22"/>
      <c r="BJ91" s="22"/>
      <c r="BK91" s="22"/>
      <c r="BL91" s="22"/>
      <c r="BM91" s="22"/>
      <c r="BN91" s="22"/>
    </row>
    <row r="92" spans="6:66" x14ac:dyDescent="0.25"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H92" s="22"/>
      <c r="BI92" s="22"/>
      <c r="BJ92" s="22"/>
      <c r="BK92" s="22"/>
      <c r="BL92" s="22"/>
      <c r="BM92" s="22"/>
      <c r="BN92" s="22"/>
    </row>
    <row r="93" spans="6:66" x14ac:dyDescent="0.25"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H93" s="22"/>
      <c r="BI93" s="22"/>
      <c r="BJ93" s="22"/>
      <c r="BK93" s="22"/>
      <c r="BL93" s="22"/>
      <c r="BM93" s="22"/>
      <c r="BN93" s="22"/>
    </row>
    <row r="94" spans="6:66" x14ac:dyDescent="0.25"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H94" s="22"/>
      <c r="BI94" s="22"/>
      <c r="BJ94" s="22"/>
      <c r="BK94" s="22"/>
      <c r="BL94" s="22"/>
      <c r="BM94" s="22"/>
      <c r="BN94" s="22"/>
    </row>
    <row r="95" spans="6:66" x14ac:dyDescent="0.25"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H95" s="22"/>
      <c r="BI95" s="22"/>
      <c r="BJ95" s="22"/>
      <c r="BK95" s="22"/>
      <c r="BL95" s="22"/>
      <c r="BM95" s="22"/>
      <c r="BN95" s="22"/>
    </row>
    <row r="96" spans="6:66" x14ac:dyDescent="0.25"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H96" s="22"/>
      <c r="BI96" s="22"/>
      <c r="BJ96" s="22"/>
      <c r="BK96" s="22"/>
      <c r="BL96" s="22"/>
      <c r="BM96" s="22"/>
      <c r="BN96" s="22"/>
    </row>
    <row r="97" spans="6:66" x14ac:dyDescent="0.25"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H97" s="22"/>
      <c r="BI97" s="22"/>
      <c r="BJ97" s="22"/>
      <c r="BK97" s="22"/>
      <c r="BL97" s="22"/>
      <c r="BM97" s="22"/>
      <c r="BN97" s="22"/>
    </row>
    <row r="98" spans="6:66" x14ac:dyDescent="0.25"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H98" s="22"/>
      <c r="BI98" s="22"/>
      <c r="BJ98" s="22"/>
      <c r="BK98" s="22"/>
      <c r="BL98" s="22"/>
      <c r="BM98" s="22"/>
      <c r="BN98" s="22"/>
    </row>
    <row r="99" spans="6:66" x14ac:dyDescent="0.25"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H99" s="22"/>
      <c r="BI99" s="22"/>
      <c r="BJ99" s="22"/>
      <c r="BK99" s="22"/>
      <c r="BL99" s="22"/>
      <c r="BM99" s="22"/>
      <c r="BN99" s="22"/>
    </row>
    <row r="100" spans="6:66" x14ac:dyDescent="0.25"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H100" s="22"/>
      <c r="BI100" s="22"/>
      <c r="BJ100" s="22"/>
      <c r="BK100" s="22"/>
      <c r="BL100" s="22"/>
      <c r="BM100" s="22"/>
      <c r="BN100" s="22"/>
    </row>
    <row r="101" spans="6:66" x14ac:dyDescent="0.25"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H101" s="22"/>
      <c r="BI101" s="22"/>
      <c r="BJ101" s="22"/>
      <c r="BK101" s="22"/>
      <c r="BL101" s="22"/>
      <c r="BM101" s="22"/>
      <c r="BN101" s="22"/>
    </row>
    <row r="102" spans="6:66" x14ac:dyDescent="0.25"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H102" s="22"/>
      <c r="BI102" s="22"/>
      <c r="BJ102" s="22"/>
      <c r="BK102" s="22"/>
      <c r="BL102" s="22"/>
      <c r="BM102" s="22"/>
      <c r="BN102" s="22"/>
    </row>
    <row r="103" spans="6:66" x14ac:dyDescent="0.25"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H103" s="22"/>
      <c r="BI103" s="22"/>
      <c r="BJ103" s="22"/>
      <c r="BK103" s="22"/>
      <c r="BL103" s="22"/>
      <c r="BM103" s="22"/>
      <c r="BN103" s="22"/>
    </row>
    <row r="104" spans="6:66" x14ac:dyDescent="0.25"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H104" s="22"/>
      <c r="BI104" s="22"/>
      <c r="BJ104" s="22"/>
      <c r="BK104" s="22"/>
      <c r="BL104" s="22"/>
      <c r="BM104" s="22"/>
      <c r="BN104" s="22"/>
    </row>
    <row r="105" spans="6:66" x14ac:dyDescent="0.25"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H105" s="22"/>
      <c r="BI105" s="22"/>
      <c r="BJ105" s="22"/>
      <c r="BK105" s="22"/>
      <c r="BL105" s="22"/>
      <c r="BM105" s="22"/>
      <c r="BN105" s="22"/>
    </row>
    <row r="106" spans="6:66" x14ac:dyDescent="0.25"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H106" s="22"/>
      <c r="BI106" s="22"/>
      <c r="BJ106" s="22"/>
      <c r="BK106" s="22"/>
      <c r="BL106" s="22"/>
      <c r="BM106" s="22"/>
      <c r="BN106" s="22"/>
    </row>
    <row r="107" spans="6:66" x14ac:dyDescent="0.25"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H107" s="22"/>
      <c r="BI107" s="22"/>
      <c r="BJ107" s="22"/>
      <c r="BK107" s="22"/>
      <c r="BL107" s="22"/>
      <c r="BM107" s="22"/>
      <c r="BN107" s="22"/>
    </row>
    <row r="108" spans="6:66" x14ac:dyDescent="0.25"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H108" s="22"/>
      <c r="BI108" s="22"/>
      <c r="BJ108" s="22"/>
      <c r="BK108" s="22"/>
      <c r="BL108" s="22"/>
      <c r="BM108" s="22"/>
      <c r="BN108" s="22"/>
    </row>
    <row r="109" spans="6:66" x14ac:dyDescent="0.25"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H109" s="22"/>
      <c r="BI109" s="22"/>
      <c r="BJ109" s="22"/>
      <c r="BK109" s="22"/>
      <c r="BL109" s="22"/>
      <c r="BM109" s="22"/>
      <c r="BN109" s="22"/>
    </row>
    <row r="110" spans="6:66" x14ac:dyDescent="0.25"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H110" s="22"/>
      <c r="BI110" s="22"/>
      <c r="BJ110" s="22"/>
      <c r="BK110" s="22"/>
      <c r="BL110" s="22"/>
      <c r="BM110" s="22"/>
      <c r="BN110" s="22"/>
    </row>
    <row r="111" spans="6:66" x14ac:dyDescent="0.25"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H111" s="22"/>
      <c r="BI111" s="22"/>
      <c r="BJ111" s="22"/>
      <c r="BK111" s="22"/>
      <c r="BL111" s="22"/>
      <c r="BM111" s="22"/>
      <c r="BN111" s="22"/>
    </row>
    <row r="112" spans="6:66" x14ac:dyDescent="0.25"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H112" s="22"/>
      <c r="BI112" s="22"/>
      <c r="BJ112" s="22"/>
      <c r="BK112" s="22"/>
      <c r="BL112" s="22"/>
      <c r="BM112" s="22"/>
      <c r="BN112" s="22"/>
    </row>
    <row r="113" spans="6:66" x14ac:dyDescent="0.25"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H113" s="22"/>
      <c r="BI113" s="22"/>
      <c r="BJ113" s="22"/>
      <c r="BK113" s="22"/>
      <c r="BL113" s="22"/>
      <c r="BM113" s="22"/>
      <c r="BN113" s="22"/>
    </row>
    <row r="114" spans="6:66" x14ac:dyDescent="0.25"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H114" s="22"/>
      <c r="BI114" s="22"/>
      <c r="BJ114" s="22"/>
      <c r="BK114" s="22"/>
      <c r="BL114" s="22"/>
      <c r="BM114" s="22"/>
      <c r="BN114" s="22"/>
    </row>
    <row r="115" spans="6:66" x14ac:dyDescent="0.25"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H115" s="22"/>
      <c r="BI115" s="22"/>
      <c r="BJ115" s="22"/>
      <c r="BK115" s="22"/>
      <c r="BL115" s="22"/>
      <c r="BM115" s="22"/>
      <c r="BN115" s="22"/>
    </row>
    <row r="116" spans="6:66" x14ac:dyDescent="0.25"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H116" s="22"/>
      <c r="BI116" s="22"/>
      <c r="BJ116" s="22"/>
      <c r="BK116" s="22"/>
      <c r="BL116" s="22"/>
      <c r="BM116" s="22"/>
      <c r="BN116" s="22"/>
    </row>
    <row r="117" spans="6:66" x14ac:dyDescent="0.25"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H117" s="22"/>
      <c r="BI117" s="22"/>
      <c r="BJ117" s="22"/>
      <c r="BK117" s="22"/>
      <c r="BL117" s="22"/>
      <c r="BM117" s="22"/>
      <c r="BN117" s="22"/>
    </row>
    <row r="118" spans="6:66" x14ac:dyDescent="0.25"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H118" s="22"/>
      <c r="BI118" s="22"/>
      <c r="BJ118" s="22"/>
      <c r="BK118" s="22"/>
      <c r="BL118" s="22"/>
      <c r="BM118" s="22"/>
      <c r="BN118" s="22"/>
    </row>
    <row r="119" spans="6:66" x14ac:dyDescent="0.25"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H119" s="22"/>
      <c r="BI119" s="22"/>
      <c r="BJ119" s="22"/>
      <c r="BK119" s="22"/>
      <c r="BL119" s="22"/>
      <c r="BM119" s="22"/>
      <c r="BN119" s="22"/>
    </row>
    <row r="120" spans="6:66" x14ac:dyDescent="0.25"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H120" s="22"/>
      <c r="BI120" s="22"/>
      <c r="BJ120" s="22"/>
      <c r="BK120" s="22"/>
      <c r="BL120" s="22"/>
      <c r="BM120" s="22"/>
      <c r="BN120" s="22"/>
    </row>
    <row r="121" spans="6:66" x14ac:dyDescent="0.25"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H121" s="22"/>
      <c r="BI121" s="22"/>
      <c r="BJ121" s="22"/>
      <c r="BK121" s="22"/>
      <c r="BL121" s="22"/>
      <c r="BM121" s="22"/>
      <c r="BN121" s="22"/>
    </row>
    <row r="122" spans="6:66" x14ac:dyDescent="0.25"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H122" s="22"/>
      <c r="BI122" s="22"/>
      <c r="BJ122" s="22"/>
      <c r="BK122" s="22"/>
      <c r="BL122" s="22"/>
      <c r="BM122" s="22"/>
      <c r="BN122" s="22"/>
    </row>
    <row r="123" spans="6:66" x14ac:dyDescent="0.25"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H123" s="22"/>
      <c r="BI123" s="22"/>
      <c r="BJ123" s="22"/>
      <c r="BK123" s="22"/>
      <c r="BL123" s="22"/>
      <c r="BM123" s="22"/>
      <c r="BN123" s="22"/>
    </row>
    <row r="124" spans="6:66" x14ac:dyDescent="0.25"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H124" s="22"/>
      <c r="BI124" s="22"/>
      <c r="BJ124" s="22"/>
      <c r="BK124" s="22"/>
      <c r="BL124" s="22"/>
      <c r="BM124" s="22"/>
      <c r="BN124" s="22"/>
    </row>
    <row r="125" spans="6:66" x14ac:dyDescent="0.25"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H125" s="22"/>
      <c r="BI125" s="22"/>
      <c r="BJ125" s="22"/>
      <c r="BK125" s="22"/>
      <c r="BL125" s="22"/>
      <c r="BM125" s="22"/>
      <c r="BN125" s="22"/>
    </row>
    <row r="126" spans="6:66" x14ac:dyDescent="0.25"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H126" s="22"/>
      <c r="BI126" s="22"/>
      <c r="BJ126" s="22"/>
      <c r="BK126" s="22"/>
      <c r="BL126" s="22"/>
      <c r="BM126" s="22"/>
      <c r="BN126" s="22"/>
    </row>
    <row r="127" spans="6:66" x14ac:dyDescent="0.25"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H127" s="22"/>
      <c r="BI127" s="22"/>
      <c r="BJ127" s="22"/>
      <c r="BK127" s="22"/>
      <c r="BL127" s="22"/>
      <c r="BM127" s="22"/>
      <c r="BN127" s="22"/>
    </row>
    <row r="128" spans="6:66" x14ac:dyDescent="0.25"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H128" s="22"/>
      <c r="BI128" s="22"/>
      <c r="BJ128" s="22"/>
      <c r="BK128" s="22"/>
      <c r="BL128" s="22"/>
      <c r="BM128" s="22"/>
      <c r="BN128" s="22"/>
    </row>
    <row r="129" spans="6:66" x14ac:dyDescent="0.25"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H129" s="22"/>
      <c r="BI129" s="22"/>
      <c r="BJ129" s="22"/>
      <c r="BK129" s="22"/>
      <c r="BL129" s="22"/>
      <c r="BM129" s="22"/>
      <c r="BN129" s="22"/>
    </row>
    <row r="130" spans="6:66" x14ac:dyDescent="0.25"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H130" s="22"/>
      <c r="BI130" s="22"/>
      <c r="BJ130" s="22"/>
      <c r="BK130" s="22"/>
      <c r="BL130" s="22"/>
      <c r="BM130" s="22"/>
      <c r="BN130" s="22"/>
    </row>
    <row r="131" spans="6:66" x14ac:dyDescent="0.25"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H131" s="22"/>
      <c r="BI131" s="22"/>
      <c r="BJ131" s="22"/>
      <c r="BK131" s="22"/>
      <c r="BL131" s="22"/>
      <c r="BM131" s="22"/>
      <c r="BN131" s="22"/>
    </row>
    <row r="132" spans="6:66" x14ac:dyDescent="0.25"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H132" s="22"/>
      <c r="BI132" s="22"/>
      <c r="BJ132" s="22"/>
      <c r="BK132" s="22"/>
      <c r="BL132" s="22"/>
      <c r="BM132" s="22"/>
      <c r="BN132" s="22"/>
    </row>
    <row r="133" spans="6:66" x14ac:dyDescent="0.25"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H133" s="22"/>
      <c r="BI133" s="22"/>
      <c r="BJ133" s="22"/>
      <c r="BK133" s="22"/>
      <c r="BL133" s="22"/>
      <c r="BM133" s="22"/>
      <c r="BN133" s="22"/>
    </row>
    <row r="134" spans="6:66" x14ac:dyDescent="0.25"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H134" s="22"/>
      <c r="BI134" s="22"/>
      <c r="BJ134" s="22"/>
      <c r="BK134" s="22"/>
      <c r="BL134" s="22"/>
      <c r="BM134" s="22"/>
      <c r="BN134" s="22"/>
    </row>
    <row r="135" spans="6:66" x14ac:dyDescent="0.25"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H135" s="22"/>
      <c r="BI135" s="22"/>
      <c r="BJ135" s="22"/>
      <c r="BK135" s="22"/>
      <c r="BL135" s="22"/>
      <c r="BM135" s="22"/>
      <c r="BN135" s="22"/>
    </row>
    <row r="136" spans="6:66" x14ac:dyDescent="0.25"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H136" s="22"/>
      <c r="BI136" s="22"/>
      <c r="BJ136" s="22"/>
      <c r="BK136" s="22"/>
      <c r="BL136" s="22"/>
      <c r="BM136" s="22"/>
      <c r="BN136" s="22"/>
    </row>
    <row r="137" spans="6:66" x14ac:dyDescent="0.25"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H137" s="22"/>
      <c r="BI137" s="22"/>
      <c r="BJ137" s="22"/>
      <c r="BK137" s="22"/>
      <c r="BL137" s="22"/>
      <c r="BM137" s="22"/>
      <c r="BN137" s="22"/>
    </row>
    <row r="138" spans="6:66" x14ac:dyDescent="0.25"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H138" s="22"/>
      <c r="BI138" s="22"/>
      <c r="BJ138" s="22"/>
      <c r="BK138" s="22"/>
      <c r="BL138" s="22"/>
      <c r="BM138" s="22"/>
      <c r="BN138" s="22"/>
    </row>
    <row r="139" spans="6:66" x14ac:dyDescent="0.25"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H139" s="22"/>
      <c r="BI139" s="22"/>
      <c r="BJ139" s="22"/>
      <c r="BK139" s="22"/>
      <c r="BL139" s="22"/>
      <c r="BM139" s="22"/>
      <c r="BN139" s="22"/>
    </row>
    <row r="140" spans="6:66" x14ac:dyDescent="0.25"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H140" s="22"/>
      <c r="BI140" s="22"/>
      <c r="BJ140" s="22"/>
      <c r="BK140" s="22"/>
      <c r="BL140" s="22"/>
      <c r="BM140" s="22"/>
      <c r="BN140" s="22"/>
    </row>
    <row r="141" spans="6:66" x14ac:dyDescent="0.25"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H141" s="22"/>
      <c r="BI141" s="22"/>
      <c r="BJ141" s="22"/>
      <c r="BK141" s="22"/>
      <c r="BL141" s="22"/>
      <c r="BM141" s="22"/>
      <c r="BN141" s="22"/>
    </row>
    <row r="142" spans="6:66" x14ac:dyDescent="0.25"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H142" s="22"/>
      <c r="BI142" s="22"/>
      <c r="BJ142" s="22"/>
      <c r="BK142" s="22"/>
      <c r="BL142" s="22"/>
      <c r="BM142" s="22"/>
      <c r="BN142" s="22"/>
    </row>
    <row r="143" spans="6:66" x14ac:dyDescent="0.25"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H143" s="22"/>
      <c r="BI143" s="22"/>
      <c r="BJ143" s="22"/>
      <c r="BK143" s="22"/>
      <c r="BL143" s="22"/>
      <c r="BM143" s="22"/>
      <c r="BN143" s="22"/>
    </row>
    <row r="144" spans="6:66" x14ac:dyDescent="0.25"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H144" s="22"/>
      <c r="BI144" s="22"/>
      <c r="BJ144" s="22"/>
      <c r="BK144" s="22"/>
      <c r="BL144" s="22"/>
      <c r="BM144" s="22"/>
      <c r="BN144" s="22"/>
    </row>
    <row r="145" spans="6:66" x14ac:dyDescent="0.25"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H145" s="22"/>
      <c r="BI145" s="22"/>
      <c r="BJ145" s="22"/>
      <c r="BK145" s="22"/>
      <c r="BL145" s="22"/>
      <c r="BM145" s="22"/>
      <c r="BN145" s="22"/>
    </row>
    <row r="146" spans="6:66" x14ac:dyDescent="0.25"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H146" s="22"/>
      <c r="BI146" s="22"/>
      <c r="BJ146" s="22"/>
      <c r="BK146" s="22"/>
      <c r="BL146" s="22"/>
      <c r="BM146" s="22"/>
      <c r="BN146" s="22"/>
    </row>
    <row r="147" spans="6:66" x14ac:dyDescent="0.25"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H147" s="22"/>
      <c r="BI147" s="22"/>
      <c r="BJ147" s="22"/>
      <c r="BK147" s="22"/>
      <c r="BL147" s="22"/>
      <c r="BM147" s="22"/>
      <c r="BN147" s="22"/>
    </row>
    <row r="148" spans="6:66" x14ac:dyDescent="0.25"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H148" s="22"/>
      <c r="BI148" s="22"/>
      <c r="BJ148" s="22"/>
      <c r="BK148" s="22"/>
      <c r="BL148" s="22"/>
      <c r="BM148" s="22"/>
      <c r="BN148" s="22"/>
    </row>
    <row r="149" spans="6:66" x14ac:dyDescent="0.25"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H149" s="22"/>
      <c r="BI149" s="22"/>
      <c r="BJ149" s="22"/>
      <c r="BK149" s="22"/>
      <c r="BL149" s="22"/>
      <c r="BM149" s="22"/>
      <c r="BN149" s="22"/>
    </row>
    <row r="150" spans="6:66" x14ac:dyDescent="0.25"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H150" s="22"/>
      <c r="BI150" s="22"/>
      <c r="BJ150" s="22"/>
      <c r="BK150" s="22"/>
      <c r="BL150" s="22"/>
      <c r="BM150" s="22"/>
      <c r="BN150" s="22"/>
    </row>
    <row r="151" spans="6:66" x14ac:dyDescent="0.25"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H151" s="22"/>
      <c r="BI151" s="22"/>
      <c r="BJ151" s="22"/>
      <c r="BK151" s="22"/>
      <c r="BL151" s="22"/>
      <c r="BM151" s="22"/>
      <c r="BN151" s="22"/>
    </row>
    <row r="152" spans="6:66" x14ac:dyDescent="0.25"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H152" s="22"/>
      <c r="BI152" s="22"/>
      <c r="BJ152" s="22"/>
      <c r="BK152" s="22"/>
      <c r="BL152" s="22"/>
      <c r="BM152" s="22"/>
      <c r="BN152" s="22"/>
    </row>
    <row r="153" spans="6:66" x14ac:dyDescent="0.25"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H153" s="22"/>
      <c r="BI153" s="22"/>
      <c r="BJ153" s="22"/>
      <c r="BK153" s="22"/>
      <c r="BL153" s="22"/>
      <c r="BM153" s="22"/>
      <c r="BN153" s="22"/>
    </row>
    <row r="154" spans="6:66" x14ac:dyDescent="0.25"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H154" s="22"/>
      <c r="BI154" s="22"/>
      <c r="BJ154" s="22"/>
      <c r="BK154" s="22"/>
      <c r="BL154" s="22"/>
      <c r="BM154" s="22"/>
      <c r="BN154" s="22"/>
    </row>
    <row r="155" spans="6:66" x14ac:dyDescent="0.25"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H155" s="22"/>
      <c r="BI155" s="22"/>
      <c r="BJ155" s="22"/>
      <c r="BK155" s="22"/>
      <c r="BL155" s="22"/>
      <c r="BM155" s="22"/>
      <c r="BN155" s="22"/>
    </row>
    <row r="156" spans="6:66" x14ac:dyDescent="0.25"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H156" s="22"/>
      <c r="BI156" s="22"/>
      <c r="BJ156" s="22"/>
      <c r="BK156" s="22"/>
      <c r="BL156" s="22"/>
      <c r="BM156" s="22"/>
      <c r="BN156" s="22"/>
    </row>
    <row r="157" spans="6:66" x14ac:dyDescent="0.25"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H157" s="22"/>
      <c r="BI157" s="22"/>
      <c r="BJ157" s="22"/>
      <c r="BK157" s="22"/>
      <c r="BL157" s="22"/>
      <c r="BM157" s="22"/>
      <c r="BN157" s="22"/>
    </row>
    <row r="158" spans="6:66" x14ac:dyDescent="0.25"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H158" s="22"/>
      <c r="BI158" s="22"/>
      <c r="BJ158" s="22"/>
      <c r="BK158" s="22"/>
      <c r="BL158" s="22"/>
      <c r="BM158" s="22"/>
      <c r="BN158" s="22"/>
    </row>
    <row r="159" spans="6:66" x14ac:dyDescent="0.25"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H159" s="22"/>
      <c r="BI159" s="22"/>
      <c r="BJ159" s="22"/>
      <c r="BK159" s="22"/>
      <c r="BL159" s="22"/>
      <c r="BM159" s="22"/>
      <c r="BN159" s="22"/>
    </row>
    <row r="160" spans="6:66" x14ac:dyDescent="0.25"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H160" s="22"/>
      <c r="BI160" s="22"/>
      <c r="BJ160" s="22"/>
      <c r="BK160" s="22"/>
      <c r="BL160" s="22"/>
      <c r="BM160" s="22"/>
      <c r="BN160" s="22"/>
    </row>
    <row r="161" spans="6:66" x14ac:dyDescent="0.25"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H161" s="22"/>
      <c r="BI161" s="22"/>
      <c r="BJ161" s="22"/>
      <c r="BK161" s="22"/>
      <c r="BL161" s="22"/>
      <c r="BM161" s="22"/>
      <c r="BN161" s="22"/>
    </row>
    <row r="162" spans="6:66" x14ac:dyDescent="0.25"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H162" s="22"/>
      <c r="BI162" s="22"/>
      <c r="BJ162" s="22"/>
      <c r="BK162" s="22"/>
      <c r="BL162" s="22"/>
      <c r="BM162" s="22"/>
      <c r="BN162" s="22"/>
    </row>
    <row r="163" spans="6:66" x14ac:dyDescent="0.25"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H163" s="22"/>
      <c r="BI163" s="22"/>
      <c r="BJ163" s="22"/>
      <c r="BK163" s="22"/>
      <c r="BL163" s="22"/>
      <c r="BM163" s="22"/>
      <c r="BN163" s="22"/>
    </row>
    <row r="164" spans="6:66" x14ac:dyDescent="0.25"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H164" s="22"/>
      <c r="BI164" s="22"/>
      <c r="BJ164" s="22"/>
      <c r="BK164" s="22"/>
      <c r="BL164" s="22"/>
      <c r="BM164" s="22"/>
      <c r="BN164" s="22"/>
    </row>
    <row r="165" spans="6:66" x14ac:dyDescent="0.25"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H165" s="22"/>
      <c r="BI165" s="22"/>
      <c r="BJ165" s="22"/>
      <c r="BK165" s="22"/>
      <c r="BL165" s="22"/>
      <c r="BM165" s="22"/>
      <c r="BN165" s="22"/>
    </row>
    <row r="166" spans="6:66" x14ac:dyDescent="0.25"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H166" s="22"/>
      <c r="BI166" s="22"/>
      <c r="BJ166" s="22"/>
      <c r="BK166" s="22"/>
      <c r="BL166" s="22"/>
      <c r="BM166" s="22"/>
      <c r="BN166" s="22"/>
    </row>
    <row r="167" spans="6:66" x14ac:dyDescent="0.25"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H167" s="22"/>
      <c r="BI167" s="22"/>
      <c r="BJ167" s="22"/>
      <c r="BK167" s="22"/>
      <c r="BL167" s="22"/>
      <c r="BM167" s="22"/>
      <c r="BN167" s="22"/>
    </row>
    <row r="168" spans="6:66" x14ac:dyDescent="0.25"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H168" s="22"/>
      <c r="BI168" s="22"/>
      <c r="BJ168" s="22"/>
      <c r="BK168" s="22"/>
      <c r="BL168" s="22"/>
      <c r="BM168" s="22"/>
      <c r="BN168" s="22"/>
    </row>
    <row r="169" spans="6:66" x14ac:dyDescent="0.25"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H169" s="22"/>
      <c r="BI169" s="22"/>
      <c r="BJ169" s="22"/>
      <c r="BK169" s="22"/>
      <c r="BL169" s="22"/>
      <c r="BM169" s="22"/>
      <c r="BN169" s="22"/>
    </row>
    <row r="170" spans="6:66" x14ac:dyDescent="0.25"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H170" s="22"/>
      <c r="BI170" s="22"/>
      <c r="BJ170" s="22"/>
      <c r="BK170" s="22"/>
      <c r="BL170" s="22"/>
      <c r="BM170" s="22"/>
      <c r="BN170" s="22"/>
    </row>
    <row r="171" spans="6:66" x14ac:dyDescent="0.25"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H171" s="22"/>
      <c r="BI171" s="22"/>
      <c r="BJ171" s="22"/>
      <c r="BK171" s="22"/>
      <c r="BL171" s="22"/>
      <c r="BM171" s="22"/>
      <c r="BN171" s="22"/>
    </row>
    <row r="172" spans="6:66" x14ac:dyDescent="0.25"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H172" s="22"/>
      <c r="BI172" s="22"/>
      <c r="BJ172" s="22"/>
      <c r="BK172" s="22"/>
      <c r="BL172" s="22"/>
      <c r="BM172" s="22"/>
      <c r="BN172" s="22"/>
    </row>
    <row r="173" spans="6:66" x14ac:dyDescent="0.25"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H173" s="22"/>
      <c r="BI173" s="22"/>
      <c r="BJ173" s="22"/>
      <c r="BK173" s="22"/>
      <c r="BL173" s="22"/>
      <c r="BM173" s="22"/>
      <c r="BN173" s="22"/>
    </row>
    <row r="174" spans="6:66" x14ac:dyDescent="0.25"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H174" s="22"/>
      <c r="BI174" s="22"/>
      <c r="BJ174" s="22"/>
      <c r="BK174" s="22"/>
      <c r="BL174" s="22"/>
      <c r="BM174" s="22"/>
      <c r="BN174" s="22"/>
    </row>
    <row r="175" spans="6:66" x14ac:dyDescent="0.25"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H175" s="22"/>
      <c r="BI175" s="22"/>
      <c r="BJ175" s="22"/>
      <c r="BK175" s="22"/>
      <c r="BL175" s="22"/>
      <c r="BM175" s="22"/>
      <c r="BN175" s="22"/>
    </row>
    <row r="176" spans="6:66" x14ac:dyDescent="0.25"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H176" s="22"/>
      <c r="BI176" s="22"/>
      <c r="BJ176" s="22"/>
      <c r="BK176" s="22"/>
      <c r="BL176" s="22"/>
      <c r="BM176" s="22"/>
      <c r="BN176" s="22"/>
    </row>
    <row r="177" spans="6:66" x14ac:dyDescent="0.25"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H177" s="22"/>
      <c r="BI177" s="22"/>
      <c r="BJ177" s="22"/>
      <c r="BK177" s="22"/>
      <c r="BL177" s="22"/>
      <c r="BM177" s="22"/>
      <c r="BN177" s="22"/>
    </row>
    <row r="178" spans="6:66" x14ac:dyDescent="0.25"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H178" s="22"/>
      <c r="BI178" s="22"/>
      <c r="BJ178" s="22"/>
      <c r="BK178" s="22"/>
      <c r="BL178" s="22"/>
      <c r="BM178" s="22"/>
      <c r="BN178" s="22"/>
    </row>
    <row r="179" spans="6:66" x14ac:dyDescent="0.25"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H179" s="22"/>
      <c r="BI179" s="22"/>
      <c r="BJ179" s="22"/>
      <c r="BK179" s="22"/>
      <c r="BL179" s="22"/>
      <c r="BM179" s="22"/>
      <c r="BN179" s="22"/>
    </row>
    <row r="180" spans="6:66" x14ac:dyDescent="0.25"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H180" s="22"/>
      <c r="BI180" s="22"/>
      <c r="BJ180" s="22"/>
      <c r="BK180" s="22"/>
      <c r="BL180" s="22"/>
      <c r="BM180" s="22"/>
      <c r="BN180" s="22"/>
    </row>
    <row r="181" spans="6:66" x14ac:dyDescent="0.25"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H181" s="22"/>
      <c r="BI181" s="22"/>
      <c r="BJ181" s="22"/>
      <c r="BK181" s="22"/>
      <c r="BL181" s="22"/>
      <c r="BM181" s="22"/>
      <c r="BN181" s="22"/>
    </row>
    <row r="182" spans="6:66" x14ac:dyDescent="0.25"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H182" s="22"/>
      <c r="BI182" s="22"/>
      <c r="BJ182" s="22"/>
      <c r="BK182" s="22"/>
      <c r="BL182" s="22"/>
      <c r="BM182" s="22"/>
      <c r="BN182" s="22"/>
    </row>
    <row r="183" spans="6:66" x14ac:dyDescent="0.25"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H183" s="22"/>
      <c r="BI183" s="22"/>
      <c r="BJ183" s="22"/>
      <c r="BK183" s="22"/>
      <c r="BL183" s="22"/>
      <c r="BM183" s="22"/>
      <c r="BN183" s="22"/>
    </row>
    <row r="184" spans="6:66" x14ac:dyDescent="0.25"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H184" s="22"/>
      <c r="BI184" s="22"/>
      <c r="BJ184" s="22"/>
      <c r="BK184" s="22"/>
      <c r="BL184" s="22"/>
      <c r="BM184" s="22"/>
      <c r="BN184" s="22"/>
    </row>
    <row r="185" spans="6:66" x14ac:dyDescent="0.25"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H185" s="22"/>
      <c r="BI185" s="22"/>
      <c r="BJ185" s="22"/>
      <c r="BK185" s="22"/>
      <c r="BL185" s="22"/>
      <c r="BM185" s="22"/>
      <c r="BN185" s="22"/>
    </row>
    <row r="186" spans="6:66" x14ac:dyDescent="0.25"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H186" s="22"/>
      <c r="BI186" s="22"/>
      <c r="BJ186" s="22"/>
      <c r="BK186" s="22"/>
      <c r="BL186" s="22"/>
      <c r="BM186" s="22"/>
      <c r="BN186" s="22"/>
    </row>
    <row r="187" spans="6:66" x14ac:dyDescent="0.25"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H187" s="22"/>
      <c r="BI187" s="22"/>
      <c r="BJ187" s="22"/>
      <c r="BK187" s="22"/>
      <c r="BL187" s="22"/>
      <c r="BM187" s="22"/>
      <c r="BN187" s="22"/>
    </row>
    <row r="188" spans="6:66" x14ac:dyDescent="0.25"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H188" s="22"/>
      <c r="BI188" s="22"/>
      <c r="BJ188" s="22"/>
      <c r="BK188" s="22"/>
      <c r="BL188" s="22"/>
      <c r="BM188" s="22"/>
      <c r="BN188" s="22"/>
    </row>
    <row r="189" spans="6:66" x14ac:dyDescent="0.25"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H189" s="22"/>
      <c r="BI189" s="22"/>
      <c r="BJ189" s="22"/>
      <c r="BK189" s="22"/>
      <c r="BL189" s="22"/>
      <c r="BM189" s="22"/>
      <c r="BN189" s="22"/>
    </row>
    <row r="190" spans="6:66" x14ac:dyDescent="0.25"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H190" s="22"/>
      <c r="BI190" s="22"/>
      <c r="BJ190" s="22"/>
      <c r="BK190" s="22"/>
      <c r="BL190" s="22"/>
      <c r="BM190" s="22"/>
      <c r="BN190" s="22"/>
    </row>
    <row r="191" spans="6:66" x14ac:dyDescent="0.25"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H191" s="22"/>
      <c r="BI191" s="22"/>
      <c r="BJ191" s="22"/>
      <c r="BK191" s="22"/>
      <c r="BL191" s="22"/>
      <c r="BM191" s="22"/>
      <c r="BN191" s="22"/>
    </row>
    <row r="192" spans="6:66" x14ac:dyDescent="0.25"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H192" s="22"/>
      <c r="BI192" s="22"/>
      <c r="BJ192" s="22"/>
      <c r="BK192" s="22"/>
      <c r="BL192" s="22"/>
      <c r="BM192" s="22"/>
      <c r="BN192" s="22"/>
    </row>
    <row r="193" spans="6:66" x14ac:dyDescent="0.25"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H193" s="22"/>
      <c r="BI193" s="22"/>
      <c r="BJ193" s="22"/>
      <c r="BK193" s="22"/>
      <c r="BL193" s="22"/>
      <c r="BM193" s="22"/>
      <c r="BN193" s="22"/>
    </row>
    <row r="194" spans="6:66" x14ac:dyDescent="0.25"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H194" s="22"/>
      <c r="BI194" s="22"/>
      <c r="BJ194" s="22"/>
      <c r="BK194" s="22"/>
      <c r="BL194" s="22"/>
      <c r="BM194" s="22"/>
      <c r="BN194" s="22"/>
    </row>
    <row r="195" spans="6:66" x14ac:dyDescent="0.25">
      <c r="BH195" s="22"/>
      <c r="BI195" s="22"/>
      <c r="BJ195" s="22"/>
      <c r="BK195" s="22"/>
      <c r="BL195" s="22"/>
      <c r="BM195" s="22"/>
      <c r="BN195" s="22"/>
    </row>
    <row r="196" spans="6:66" x14ac:dyDescent="0.25">
      <c r="BH196" s="22"/>
      <c r="BI196" s="22"/>
      <c r="BJ196" s="22"/>
      <c r="BK196" s="22"/>
      <c r="BL196" s="22"/>
      <c r="BM196" s="22"/>
      <c r="BN196" s="22"/>
    </row>
    <row r="197" spans="6:66" x14ac:dyDescent="0.25">
      <c r="BH197" s="22"/>
      <c r="BI197" s="22"/>
      <c r="BJ197" s="22"/>
      <c r="BK197" s="22"/>
      <c r="BL197" s="22"/>
      <c r="BM197" s="22"/>
      <c r="BN197" s="22"/>
    </row>
    <row r="198" spans="6:66" x14ac:dyDescent="0.25">
      <c r="BH198" s="22"/>
      <c r="BI198" s="22"/>
      <c r="BJ198" s="22"/>
      <c r="BK198" s="22"/>
      <c r="BL198" s="22"/>
      <c r="BM198" s="22"/>
      <c r="BN198" s="22"/>
    </row>
    <row r="199" spans="6:66" x14ac:dyDescent="0.25">
      <c r="BH199" s="22"/>
      <c r="BI199" s="22"/>
      <c r="BJ199" s="22"/>
      <c r="BK199" s="22"/>
      <c r="BL199" s="22"/>
      <c r="BM199" s="22"/>
      <c r="BN199" s="22"/>
    </row>
    <row r="200" spans="6:66" x14ac:dyDescent="0.25">
      <c r="BH200" s="22"/>
      <c r="BI200" s="22"/>
      <c r="BJ200" s="22"/>
      <c r="BK200" s="22"/>
      <c r="BL200" s="22"/>
      <c r="BM200" s="22"/>
      <c r="BN200" s="22"/>
    </row>
    <row r="201" spans="6:66" x14ac:dyDescent="0.25">
      <c r="BH201" s="22"/>
      <c r="BI201" s="22"/>
      <c r="BJ201" s="22"/>
      <c r="BK201" s="22"/>
      <c r="BL201" s="22"/>
      <c r="BM201" s="22"/>
      <c r="BN201" s="22"/>
    </row>
    <row r="202" spans="6:66" x14ac:dyDescent="0.25">
      <c r="BH202" s="22"/>
      <c r="BI202" s="22"/>
      <c r="BJ202" s="22"/>
      <c r="BK202" s="22"/>
      <c r="BL202" s="22"/>
      <c r="BM202" s="22"/>
      <c r="BN202" s="22"/>
    </row>
    <row r="203" spans="6:66" x14ac:dyDescent="0.25">
      <c r="BH203" s="22"/>
      <c r="BI203" s="22"/>
      <c r="BJ203" s="22"/>
      <c r="BK203" s="22"/>
      <c r="BL203" s="22"/>
      <c r="BM203" s="22"/>
      <c r="BN203" s="22"/>
    </row>
    <row r="204" spans="6:66" x14ac:dyDescent="0.25">
      <c r="BH204" s="22"/>
      <c r="BI204" s="22"/>
      <c r="BJ204" s="22"/>
      <c r="BK204" s="22"/>
      <c r="BL204" s="22"/>
      <c r="BM204" s="22"/>
      <c r="BN204" s="22"/>
    </row>
    <row r="205" spans="6:66" x14ac:dyDescent="0.25">
      <c r="BH205" s="22"/>
      <c r="BI205" s="22"/>
      <c r="BJ205" s="22"/>
      <c r="BK205" s="22"/>
      <c r="BL205" s="22"/>
      <c r="BM205" s="22"/>
      <c r="BN205" s="22"/>
    </row>
    <row r="206" spans="6:66" x14ac:dyDescent="0.25">
      <c r="BH206" s="22"/>
      <c r="BI206" s="22"/>
      <c r="BJ206" s="22"/>
      <c r="BK206" s="22"/>
      <c r="BL206" s="22"/>
      <c r="BM206" s="22"/>
      <c r="BN206" s="22"/>
    </row>
    <row r="207" spans="6:66" x14ac:dyDescent="0.25">
      <c r="BH207" s="22"/>
      <c r="BI207" s="22"/>
      <c r="BJ207" s="22"/>
      <c r="BK207" s="22"/>
      <c r="BL207" s="22"/>
      <c r="BM207" s="22"/>
      <c r="BN207" s="22"/>
    </row>
    <row r="208" spans="6:66" x14ac:dyDescent="0.25">
      <c r="BH208" s="22"/>
      <c r="BI208" s="22"/>
      <c r="BJ208" s="22"/>
      <c r="BK208" s="22"/>
      <c r="BL208" s="22"/>
      <c r="BM208" s="22"/>
      <c r="BN208" s="22"/>
    </row>
    <row r="209" spans="60:66" x14ac:dyDescent="0.25">
      <c r="BH209" s="22"/>
      <c r="BI209" s="22"/>
      <c r="BJ209" s="22"/>
      <c r="BK209" s="22"/>
      <c r="BL209" s="22"/>
      <c r="BM209" s="22"/>
      <c r="BN209" s="22"/>
    </row>
    <row r="210" spans="60:66" x14ac:dyDescent="0.25">
      <c r="BH210" s="22"/>
      <c r="BI210" s="22"/>
      <c r="BJ210" s="22"/>
      <c r="BK210" s="22"/>
      <c r="BL210" s="22"/>
      <c r="BM210" s="22"/>
      <c r="BN210" s="22"/>
    </row>
    <row r="211" spans="60:66" x14ac:dyDescent="0.25">
      <c r="BH211" s="22"/>
      <c r="BI211" s="22"/>
      <c r="BJ211" s="22"/>
      <c r="BK211" s="22"/>
      <c r="BL211" s="22"/>
      <c r="BM211" s="22"/>
      <c r="BN211" s="22"/>
    </row>
    <row r="212" spans="60:66" x14ac:dyDescent="0.25">
      <c r="BH212" s="22"/>
      <c r="BI212" s="22"/>
      <c r="BJ212" s="22"/>
      <c r="BK212" s="22"/>
      <c r="BL212" s="22"/>
      <c r="BM212" s="22"/>
      <c r="BN212" s="22"/>
    </row>
    <row r="213" spans="60:66" x14ac:dyDescent="0.25">
      <c r="BH213" s="22"/>
      <c r="BI213" s="22"/>
      <c r="BJ213" s="22"/>
      <c r="BK213" s="22"/>
      <c r="BL213" s="22"/>
      <c r="BM213" s="22"/>
      <c r="BN213" s="22"/>
    </row>
    <row r="214" spans="60:66" x14ac:dyDescent="0.25">
      <c r="BH214" s="22"/>
      <c r="BI214" s="22"/>
      <c r="BJ214" s="22"/>
      <c r="BK214" s="22"/>
      <c r="BL214" s="22"/>
      <c r="BM214" s="22"/>
      <c r="BN214" s="22"/>
    </row>
    <row r="215" spans="60:66" x14ac:dyDescent="0.25">
      <c r="BH215" s="22"/>
      <c r="BI215" s="22"/>
      <c r="BJ215" s="22"/>
      <c r="BK215" s="22"/>
      <c r="BL215" s="22"/>
      <c r="BM215" s="22"/>
      <c r="BN215" s="22"/>
    </row>
    <row r="216" spans="60:66" x14ac:dyDescent="0.25">
      <c r="BH216" s="22"/>
      <c r="BI216" s="22"/>
      <c r="BJ216" s="22"/>
      <c r="BK216" s="22"/>
      <c r="BL216" s="22"/>
      <c r="BM216" s="22"/>
      <c r="BN216" s="22"/>
    </row>
    <row r="217" spans="60:66" x14ac:dyDescent="0.25">
      <c r="BH217" s="22"/>
      <c r="BI217" s="22"/>
      <c r="BJ217" s="22"/>
      <c r="BK217" s="22"/>
      <c r="BL217" s="22"/>
      <c r="BM217" s="22"/>
      <c r="BN217" s="22"/>
    </row>
    <row r="218" spans="60:66" x14ac:dyDescent="0.25">
      <c r="BH218" s="22"/>
      <c r="BI218" s="22"/>
      <c r="BJ218" s="22"/>
      <c r="BK218" s="22"/>
      <c r="BL218" s="22"/>
      <c r="BM218" s="22"/>
      <c r="BN218" s="22"/>
    </row>
    <row r="219" spans="60:66" x14ac:dyDescent="0.25">
      <c r="BH219" s="22"/>
      <c r="BI219" s="22"/>
      <c r="BJ219" s="22"/>
      <c r="BK219" s="22"/>
      <c r="BL219" s="22"/>
      <c r="BM219" s="22"/>
      <c r="BN219" s="22"/>
    </row>
    <row r="220" spans="60:66" x14ac:dyDescent="0.25">
      <c r="BH220" s="22"/>
      <c r="BI220" s="22"/>
      <c r="BJ220" s="22"/>
      <c r="BK220" s="22"/>
      <c r="BL220" s="22"/>
      <c r="BM220" s="22"/>
      <c r="BN220" s="22"/>
    </row>
    <row r="221" spans="60:66" x14ac:dyDescent="0.25">
      <c r="BH221" s="22"/>
      <c r="BI221" s="22"/>
      <c r="BJ221" s="22"/>
      <c r="BK221" s="22"/>
      <c r="BL221" s="22"/>
      <c r="BM221" s="22"/>
      <c r="BN221" s="22"/>
    </row>
    <row r="222" spans="60:66" x14ac:dyDescent="0.25">
      <c r="BH222" s="22"/>
      <c r="BI222" s="22"/>
      <c r="BJ222" s="22"/>
      <c r="BK222" s="22"/>
      <c r="BL222" s="22"/>
      <c r="BM222" s="22"/>
      <c r="BN222" s="22"/>
    </row>
    <row r="223" spans="60:66" x14ac:dyDescent="0.25">
      <c r="BH223" s="22"/>
      <c r="BI223" s="22"/>
      <c r="BJ223" s="22"/>
      <c r="BK223" s="22"/>
      <c r="BL223" s="22"/>
      <c r="BM223" s="22"/>
      <c r="BN223" s="22"/>
    </row>
    <row r="224" spans="60:66" x14ac:dyDescent="0.25">
      <c r="BH224" s="22"/>
      <c r="BI224" s="22"/>
      <c r="BJ224" s="22"/>
      <c r="BK224" s="22"/>
      <c r="BL224" s="22"/>
      <c r="BM224" s="22"/>
      <c r="BN224" s="22"/>
    </row>
    <row r="225" spans="60:66" x14ac:dyDescent="0.25">
      <c r="BH225" s="22"/>
      <c r="BI225" s="22"/>
      <c r="BJ225" s="22"/>
      <c r="BK225" s="22"/>
      <c r="BL225" s="22"/>
      <c r="BM225" s="22"/>
      <c r="BN225" s="22"/>
    </row>
    <row r="226" spans="60:66" x14ac:dyDescent="0.25">
      <c r="BH226" s="22"/>
      <c r="BI226" s="22"/>
      <c r="BJ226" s="22"/>
      <c r="BK226" s="22"/>
      <c r="BL226" s="22"/>
      <c r="BM226" s="22"/>
      <c r="BN226" s="22"/>
    </row>
    <row r="227" spans="60:66" x14ac:dyDescent="0.25">
      <c r="BH227" s="22"/>
      <c r="BI227" s="22"/>
      <c r="BJ227" s="22"/>
      <c r="BK227" s="22"/>
      <c r="BL227" s="22"/>
      <c r="BM227" s="22"/>
      <c r="BN227" s="22"/>
    </row>
    <row r="228" spans="60:66" x14ac:dyDescent="0.25">
      <c r="BH228" s="22"/>
      <c r="BI228" s="22"/>
      <c r="BJ228" s="22"/>
      <c r="BK228" s="22"/>
      <c r="BL228" s="22"/>
      <c r="BM228" s="22"/>
      <c r="BN228" s="22"/>
    </row>
    <row r="229" spans="60:66" x14ac:dyDescent="0.25">
      <c r="BH229" s="22"/>
      <c r="BI229" s="22"/>
      <c r="BJ229" s="22"/>
      <c r="BK229" s="22"/>
      <c r="BL229" s="22"/>
      <c r="BM229" s="22"/>
      <c r="BN229" s="22"/>
    </row>
    <row r="230" spans="60:66" x14ac:dyDescent="0.25">
      <c r="BH230" s="22"/>
      <c r="BI230" s="22"/>
      <c r="BJ230" s="22"/>
      <c r="BK230" s="22"/>
      <c r="BL230" s="22"/>
      <c r="BM230" s="22"/>
      <c r="BN230" s="22"/>
    </row>
    <row r="231" spans="60:66" x14ac:dyDescent="0.25">
      <c r="BH231" s="22"/>
      <c r="BI231" s="22"/>
      <c r="BJ231" s="22"/>
      <c r="BK231" s="22"/>
      <c r="BL231" s="22"/>
      <c r="BM231" s="22"/>
      <c r="BN231" s="22"/>
    </row>
    <row r="232" spans="60:66" x14ac:dyDescent="0.25">
      <c r="BH232" s="22"/>
      <c r="BI232" s="22"/>
      <c r="BJ232" s="22"/>
      <c r="BK232" s="22"/>
      <c r="BL232" s="22"/>
      <c r="BM232" s="22"/>
      <c r="BN232" s="22"/>
    </row>
    <row r="233" spans="60:66" x14ac:dyDescent="0.25">
      <c r="BH233" s="22"/>
      <c r="BI233" s="22"/>
      <c r="BJ233" s="22"/>
      <c r="BK233" s="22"/>
      <c r="BL233" s="22"/>
      <c r="BM233" s="22"/>
      <c r="BN233" s="22"/>
    </row>
    <row r="234" spans="60:66" x14ac:dyDescent="0.25">
      <c r="BH234" s="22"/>
      <c r="BI234" s="22"/>
      <c r="BJ234" s="22"/>
      <c r="BK234" s="22"/>
      <c r="BL234" s="22"/>
      <c r="BM234" s="22"/>
      <c r="BN234" s="22"/>
    </row>
    <row r="235" spans="60:66" x14ac:dyDescent="0.25">
      <c r="BH235" s="22"/>
      <c r="BI235" s="22"/>
      <c r="BJ235" s="22"/>
      <c r="BK235" s="22"/>
      <c r="BL235" s="22"/>
      <c r="BM235" s="22"/>
      <c r="BN235" s="22"/>
    </row>
    <row r="236" spans="60:66" x14ac:dyDescent="0.25">
      <c r="BH236" s="22"/>
      <c r="BI236" s="22"/>
      <c r="BJ236" s="22"/>
      <c r="BK236" s="22"/>
      <c r="BL236" s="22"/>
      <c r="BM236" s="22"/>
      <c r="BN236" s="22"/>
    </row>
    <row r="237" spans="60:66" x14ac:dyDescent="0.25">
      <c r="BH237" s="22"/>
      <c r="BI237" s="22"/>
      <c r="BJ237" s="22"/>
      <c r="BK237" s="22"/>
      <c r="BL237" s="22"/>
      <c r="BM237" s="22"/>
      <c r="BN237" s="22"/>
    </row>
    <row r="238" spans="60:66" x14ac:dyDescent="0.25">
      <c r="BH238" s="22"/>
      <c r="BI238" s="22"/>
      <c r="BJ238" s="22"/>
      <c r="BK238" s="22"/>
      <c r="BL238" s="22"/>
      <c r="BM238" s="22"/>
      <c r="BN238" s="22"/>
    </row>
    <row r="239" spans="60:66" x14ac:dyDescent="0.25">
      <c r="BH239" s="22"/>
      <c r="BI239" s="22"/>
      <c r="BJ239" s="22"/>
      <c r="BK239" s="22"/>
      <c r="BL239" s="22"/>
      <c r="BM239" s="22"/>
      <c r="BN239" s="22"/>
    </row>
    <row r="240" spans="60:66" x14ac:dyDescent="0.25">
      <c r="BH240" s="22"/>
      <c r="BI240" s="22"/>
      <c r="BJ240" s="22"/>
      <c r="BK240" s="22"/>
      <c r="BL240" s="22"/>
      <c r="BM240" s="22"/>
      <c r="BN240" s="22"/>
    </row>
    <row r="241" spans="60:66" x14ac:dyDescent="0.25">
      <c r="BH241" s="22"/>
      <c r="BI241" s="22"/>
      <c r="BJ241" s="22"/>
      <c r="BK241" s="22"/>
      <c r="BL241" s="22"/>
      <c r="BM241" s="22"/>
      <c r="BN241" s="22"/>
    </row>
    <row r="242" spans="60:66" x14ac:dyDescent="0.25">
      <c r="BH242" s="22"/>
      <c r="BI242" s="22"/>
      <c r="BJ242" s="22"/>
      <c r="BK242" s="22"/>
      <c r="BL242" s="22"/>
      <c r="BM242" s="22"/>
      <c r="BN242" s="22"/>
    </row>
    <row r="243" spans="60:66" x14ac:dyDescent="0.25">
      <c r="BH243" s="22"/>
      <c r="BI243" s="22"/>
      <c r="BJ243" s="22"/>
      <c r="BK243" s="22"/>
      <c r="BL243" s="22"/>
      <c r="BM243" s="22"/>
      <c r="BN243" s="22"/>
    </row>
    <row r="244" spans="60:66" x14ac:dyDescent="0.25">
      <c r="BH244" s="22"/>
      <c r="BI244" s="22"/>
      <c r="BJ244" s="22"/>
      <c r="BK244" s="22"/>
      <c r="BL244" s="22"/>
      <c r="BM244" s="22"/>
      <c r="BN244" s="22"/>
    </row>
    <row r="245" spans="60:66" x14ac:dyDescent="0.25">
      <c r="BH245" s="22"/>
      <c r="BI245" s="22"/>
      <c r="BJ245" s="22"/>
      <c r="BK245" s="22"/>
      <c r="BL245" s="22"/>
      <c r="BM245" s="22"/>
      <c r="BN245" s="22"/>
    </row>
    <row r="246" spans="60:66" x14ac:dyDescent="0.25">
      <c r="BH246" s="22"/>
      <c r="BI246" s="22"/>
      <c r="BJ246" s="22"/>
      <c r="BK246" s="22"/>
      <c r="BL246" s="22"/>
      <c r="BM246" s="22"/>
      <c r="BN246" s="22"/>
    </row>
    <row r="247" spans="60:66" x14ac:dyDescent="0.25">
      <c r="BH247" s="22"/>
      <c r="BI247" s="22"/>
      <c r="BJ247" s="22"/>
      <c r="BK247" s="22"/>
      <c r="BL247" s="22"/>
      <c r="BM247" s="22"/>
      <c r="BN247" s="22"/>
    </row>
  </sheetData>
  <conditionalFormatting sqref="K10:AO29">
    <cfRule type="containsText" dxfId="53" priority="1" operator="containsText" text="L">
      <formula>NOT(ISERROR(SEARCH("L",K10)))</formula>
    </cfRule>
    <cfRule type="containsText" dxfId="52" priority="2" operator="containsText" text="A">
      <formula>NOT(ISERROR(SEARCH("A",K10)))</formula>
    </cfRule>
    <cfRule type="containsText" dxfId="51" priority="3" operator="containsText" text="P">
      <formula>NOT(ISERROR(SEARCH("P",K10)))</formula>
    </cfRule>
  </conditionalFormatting>
  <conditionalFormatting sqref="L10:M10 AH10:AH29 AO10:AO29 J11:M29 J10">
    <cfRule type="containsText" dxfId="50" priority="23" operator="containsText" text="WO">
      <formula>NOT(ISERROR(SEARCH("WO",J10)))</formula>
    </cfRule>
  </conditionalFormatting>
  <conditionalFormatting sqref="N10:N29">
    <cfRule type="containsText" dxfId="49" priority="19" operator="containsText" text="WO">
      <formula>NOT(ISERROR(SEARCH("WO",N10)))</formula>
    </cfRule>
  </conditionalFormatting>
  <conditionalFormatting sqref="S11:S29">
    <cfRule type="containsText" dxfId="48" priority="18" operator="containsText" text="WO">
      <formula>NOT(ISERROR(SEARCH("WO",S11)))</formula>
    </cfRule>
  </conditionalFormatting>
  <conditionalFormatting sqref="T10:U29">
    <cfRule type="containsText" dxfId="47" priority="9" operator="containsText" text="WO">
      <formula>NOT(ISERROR(SEARCH("WO",T10)))</formula>
    </cfRule>
  </conditionalFormatting>
  <conditionalFormatting sqref="Z11:Z29">
    <cfRule type="containsText" dxfId="46" priority="8" operator="containsText" text="WO">
      <formula>NOT(ISERROR(SEARCH("WO",Z11)))</formula>
    </cfRule>
  </conditionalFormatting>
  <conditionalFormatting sqref="AA10:AB29">
    <cfRule type="containsText" dxfId="45" priority="14" operator="containsText" text="WO">
      <formula>NOT(ISERROR(SEARCH("WO",AA10)))</formula>
    </cfRule>
  </conditionalFormatting>
  <conditionalFormatting sqref="AG11:AG29">
    <cfRule type="containsText" dxfId="44" priority="13" operator="containsText" text="WO">
      <formula>NOT(ISERROR(SEARCH("WO",AG11)))</formula>
    </cfRule>
  </conditionalFormatting>
  <conditionalFormatting sqref="AJ10:AK29 AI11:AI29">
    <cfRule type="containsText" dxfId="43" priority="4" operator="containsText" text="WO">
      <formula>NOT(ISERROR(SEARCH("WO",AI10)))</formula>
    </cfRule>
  </conditionalFormatting>
  <dataValidations count="1">
    <dataValidation type="list" allowBlank="1" showInputMessage="1" showErrorMessage="1" sqref="K10:L29 U10:Z29 AB10:AG29 N10:S29 AI10:AN29" xr:uid="{6C12ADE4-B6E4-466C-B515-F17A6570CD2D}">
      <formula1>"P, A, 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2BEADA-8FE2-4255-81DF-BB82127039DF}">
          <x14:formula1>
            <xm:f>Sheet2!$A$1:$A$12</xm:f>
          </x14:formula1>
          <xm:sqref>H6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DC872851-FC18-4982-B881-A24A29FE95F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Aug!AV10:AY10</xm:f>
              <xm:sqref>BF10</xm:sqref>
            </x14:sparkline>
            <x14:sparkline>
              <xm:f>Aug!AV11:AY11</xm:f>
              <xm:sqref>BF11</xm:sqref>
            </x14:sparkline>
            <x14:sparkline>
              <xm:f>Aug!AV12:AY12</xm:f>
              <xm:sqref>BF12</xm:sqref>
            </x14:sparkline>
            <x14:sparkline>
              <xm:f>Aug!AV13:AY13</xm:f>
              <xm:sqref>BF13</xm:sqref>
            </x14:sparkline>
            <x14:sparkline>
              <xm:f>Aug!AV14:AY14</xm:f>
              <xm:sqref>BF14</xm:sqref>
            </x14:sparkline>
            <x14:sparkline>
              <xm:f>Aug!AV15:AY15</xm:f>
              <xm:sqref>BF15</xm:sqref>
            </x14:sparkline>
            <x14:sparkline>
              <xm:f>Aug!AV16:AY16</xm:f>
              <xm:sqref>BF16</xm:sqref>
            </x14:sparkline>
            <x14:sparkline>
              <xm:f>Aug!AV17:AY17</xm:f>
              <xm:sqref>BF17</xm:sqref>
            </x14:sparkline>
            <x14:sparkline>
              <xm:f>Aug!AV18:AY18</xm:f>
              <xm:sqref>BF18</xm:sqref>
            </x14:sparkline>
            <x14:sparkline>
              <xm:f>Aug!AV19:AY19</xm:f>
              <xm:sqref>BF19</xm:sqref>
            </x14:sparkline>
            <x14:sparkline>
              <xm:f>Aug!AV20:AY20</xm:f>
              <xm:sqref>BF20</xm:sqref>
            </x14:sparkline>
            <x14:sparkline>
              <xm:f>Aug!AV21:AY21</xm:f>
              <xm:sqref>BF21</xm:sqref>
            </x14:sparkline>
            <x14:sparkline>
              <xm:f>Aug!AV22:AY22</xm:f>
              <xm:sqref>BF22</xm:sqref>
            </x14:sparkline>
            <x14:sparkline>
              <xm:f>Aug!AV23:AY23</xm:f>
              <xm:sqref>BF23</xm:sqref>
            </x14:sparkline>
            <x14:sparkline>
              <xm:f>Aug!AV24:AY24</xm:f>
              <xm:sqref>BF24</xm:sqref>
            </x14:sparkline>
            <x14:sparkline>
              <xm:f>Aug!AV25:AY25</xm:f>
              <xm:sqref>BF25</xm:sqref>
            </x14:sparkline>
            <x14:sparkline>
              <xm:f>Aug!AV26:AY26</xm:f>
              <xm:sqref>BF26</xm:sqref>
            </x14:sparkline>
            <x14:sparkline>
              <xm:f>Aug!AV27:AY27</xm:f>
              <xm:sqref>BF27</xm:sqref>
            </x14:sparkline>
            <x14:sparkline>
              <xm:f>Aug!AV28:AY28</xm:f>
              <xm:sqref>BF28</xm:sqref>
            </x14:sparkline>
            <x14:sparkline>
              <xm:f>Aug!AV29:AY29</xm:f>
              <xm:sqref>BF29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CBCEC-B438-4C43-B731-1F18E07AC8D4}">
  <dimension ref="E1:BO247"/>
  <sheetViews>
    <sheetView zoomScale="85" zoomScaleNormal="85" workbookViewId="0"/>
  </sheetViews>
  <sheetFormatPr defaultRowHeight="15.75" x14ac:dyDescent="0.25"/>
  <cols>
    <col min="1" max="4" width="9.140625" style="3"/>
    <col min="5" max="5" width="9.140625" style="22"/>
    <col min="6" max="6" width="9.140625" style="3"/>
    <col min="7" max="7" width="9.28515625" style="3" bestFit="1" customWidth="1"/>
    <col min="8" max="8" width="26.85546875" style="3" customWidth="1"/>
    <col min="9" max="9" width="15" style="3" customWidth="1"/>
    <col min="10" max="10" width="19.28515625" style="3" customWidth="1"/>
    <col min="11" max="11" width="9.140625" style="3"/>
    <col min="12" max="12" width="9.28515625" style="3" bestFit="1" customWidth="1"/>
    <col min="13" max="13" width="13.7109375" style="3" customWidth="1"/>
    <col min="14" max="41" width="9.28515625" style="3" bestFit="1" customWidth="1"/>
    <col min="42" max="42" width="9.140625" style="3"/>
    <col min="43" max="43" width="9.140625" style="22"/>
    <col min="44" max="44" width="9.140625" style="3"/>
    <col min="45" max="46" width="15.42578125" style="3" customWidth="1"/>
    <col min="47" max="47" width="15.5703125" style="3" customWidth="1"/>
    <col min="48" max="48" width="10.7109375" style="3" customWidth="1"/>
    <col min="49" max="49" width="10.28515625" style="3" customWidth="1"/>
    <col min="50" max="50" width="9.140625" style="3"/>
    <col min="51" max="51" width="11.5703125" style="3" customWidth="1"/>
    <col min="52" max="52" width="9.140625" style="3"/>
    <col min="53" max="53" width="13.7109375" style="3" customWidth="1"/>
    <col min="54" max="54" width="13.5703125" style="3" customWidth="1"/>
    <col min="55" max="55" width="17.85546875" style="3" customWidth="1"/>
    <col min="56" max="56" width="15" style="3" customWidth="1"/>
    <col min="57" max="57" width="18.140625" style="3" customWidth="1"/>
    <col min="58" max="58" width="25.140625" style="3" customWidth="1"/>
    <col min="59" max="59" width="9.140625" style="22"/>
    <col min="60" max="16384" width="9.140625" style="3"/>
  </cols>
  <sheetData>
    <row r="1" spans="6:67" x14ac:dyDescent="0.25">
      <c r="BH1" s="22"/>
      <c r="BI1" s="22"/>
      <c r="BJ1" s="22"/>
      <c r="BK1" s="22"/>
      <c r="BL1" s="22"/>
      <c r="BM1" s="22"/>
      <c r="BN1" s="22"/>
      <c r="BO1" s="22"/>
    </row>
    <row r="2" spans="6:67" x14ac:dyDescent="0.25">
      <c r="BH2" s="22"/>
      <c r="BI2" s="22"/>
      <c r="BJ2" s="22"/>
      <c r="BK2" s="22"/>
      <c r="BL2" s="22"/>
      <c r="BM2" s="22"/>
      <c r="BN2" s="22"/>
    </row>
    <row r="3" spans="6:67" x14ac:dyDescent="0.25">
      <c r="BH3" s="22"/>
      <c r="BI3" s="22"/>
      <c r="BJ3" s="22"/>
      <c r="BK3" s="22"/>
      <c r="BL3" s="22"/>
      <c r="BM3" s="22"/>
      <c r="BN3" s="22"/>
    </row>
    <row r="4" spans="6:67" s="22" customFormat="1" x14ac:dyDescent="0.25"/>
    <row r="5" spans="6:67" s="22" customFormat="1" x14ac:dyDescent="0.25"/>
    <row r="6" spans="6:67" s="22" customFormat="1" x14ac:dyDescent="0.25">
      <c r="G6" s="25" t="s">
        <v>22</v>
      </c>
      <c r="H6" s="26">
        <v>45901</v>
      </c>
      <c r="I6" s="27">
        <f>(DATEDIF($H$6,$M$6,"D"))+1</f>
        <v>30</v>
      </c>
      <c r="J6" s="25" t="str">
        <f>TEXT(H6,"MMMM")</f>
        <v>September</v>
      </c>
      <c r="K6" s="25"/>
      <c r="L6" s="25" t="s">
        <v>23</v>
      </c>
      <c r="M6" s="26">
        <f>EOMONTH(H6,0)</f>
        <v>45930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6:67" x14ac:dyDescent="0.25"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2"/>
      <c r="BI7" s="22"/>
      <c r="BJ7" s="22"/>
      <c r="BK7" s="22"/>
      <c r="BL7" s="22"/>
      <c r="BM7" s="22"/>
      <c r="BN7" s="22"/>
    </row>
    <row r="8" spans="6:67" x14ac:dyDescent="0.25">
      <c r="F8" s="21"/>
      <c r="G8" s="5"/>
      <c r="H8" s="5" t="s">
        <v>25</v>
      </c>
      <c r="I8" s="5"/>
      <c r="J8" s="5" t="s">
        <v>26</v>
      </c>
      <c r="K8" s="5" t="str">
        <f>TEXT(K9,"DDD")</f>
        <v>Mon</v>
      </c>
      <c r="L8" s="5" t="str">
        <f t="shared" ref="L8:AO8" si="0">TEXT(L9,"DDD")</f>
        <v>Tue</v>
      </c>
      <c r="M8" s="5" t="str">
        <f t="shared" si="0"/>
        <v>Wed</v>
      </c>
      <c r="N8" s="5" t="str">
        <f t="shared" si="0"/>
        <v>Thu</v>
      </c>
      <c r="O8" s="5" t="str">
        <f t="shared" si="0"/>
        <v>Fri</v>
      </c>
      <c r="P8" s="5" t="str">
        <f t="shared" si="0"/>
        <v>Sat</v>
      </c>
      <c r="Q8" s="5" t="str">
        <f t="shared" si="0"/>
        <v>Sun</v>
      </c>
      <c r="R8" s="5" t="str">
        <f t="shared" si="0"/>
        <v>Mon</v>
      </c>
      <c r="S8" s="5" t="str">
        <f t="shared" si="0"/>
        <v>Tue</v>
      </c>
      <c r="T8" s="5" t="str">
        <f t="shared" si="0"/>
        <v>Wed</v>
      </c>
      <c r="U8" s="5" t="str">
        <f t="shared" si="0"/>
        <v>Thu</v>
      </c>
      <c r="V8" s="5" t="str">
        <f t="shared" si="0"/>
        <v>Fri</v>
      </c>
      <c r="W8" s="5" t="str">
        <f t="shared" si="0"/>
        <v>Sat</v>
      </c>
      <c r="X8" s="5" t="str">
        <f t="shared" si="0"/>
        <v>Sun</v>
      </c>
      <c r="Y8" s="5" t="str">
        <f t="shared" si="0"/>
        <v>Mon</v>
      </c>
      <c r="Z8" s="5" t="str">
        <f t="shared" si="0"/>
        <v>Tue</v>
      </c>
      <c r="AA8" s="5" t="str">
        <f t="shared" si="0"/>
        <v>Wed</v>
      </c>
      <c r="AB8" s="5" t="str">
        <f t="shared" si="0"/>
        <v>Thu</v>
      </c>
      <c r="AC8" s="5" t="str">
        <f t="shared" si="0"/>
        <v>Fri</v>
      </c>
      <c r="AD8" s="5" t="str">
        <f t="shared" si="0"/>
        <v>Sat</v>
      </c>
      <c r="AE8" s="5" t="str">
        <f t="shared" si="0"/>
        <v>Sun</v>
      </c>
      <c r="AF8" s="5" t="str">
        <f t="shared" si="0"/>
        <v>Mon</v>
      </c>
      <c r="AG8" s="5" t="str">
        <f t="shared" si="0"/>
        <v>Tue</v>
      </c>
      <c r="AH8" s="5" t="str">
        <f t="shared" si="0"/>
        <v>Wed</v>
      </c>
      <c r="AI8" s="5" t="str">
        <f t="shared" si="0"/>
        <v>Thu</v>
      </c>
      <c r="AJ8" s="5" t="str">
        <f t="shared" si="0"/>
        <v>Fri</v>
      </c>
      <c r="AK8" s="5" t="str">
        <f t="shared" si="0"/>
        <v>Sat</v>
      </c>
      <c r="AL8" s="5" t="str">
        <f t="shared" si="0"/>
        <v>Sun</v>
      </c>
      <c r="AM8" s="5" t="str">
        <f t="shared" si="0"/>
        <v>Mon</v>
      </c>
      <c r="AN8" s="5" t="str">
        <f t="shared" si="0"/>
        <v>Tue</v>
      </c>
      <c r="AO8" s="5" t="str">
        <f t="shared" si="0"/>
        <v/>
      </c>
      <c r="AP8" s="21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2"/>
      <c r="BI8" s="22"/>
      <c r="BJ8" s="22"/>
      <c r="BK8" s="22"/>
      <c r="BL8" s="22"/>
      <c r="BM8" s="22"/>
      <c r="BN8" s="22"/>
    </row>
    <row r="9" spans="6:67" ht="16.5" thickBot="1" x14ac:dyDescent="0.3">
      <c r="F9" s="21"/>
      <c r="G9" s="13" t="s">
        <v>0</v>
      </c>
      <c r="H9" s="13" t="s">
        <v>1</v>
      </c>
      <c r="I9" s="13" t="s">
        <v>2</v>
      </c>
      <c r="J9" s="14" t="s">
        <v>21</v>
      </c>
      <c r="K9" s="15">
        <f>H6</f>
        <v>45901</v>
      </c>
      <c r="L9" s="15">
        <f>IF(K9&lt;$M$6,K9+1,"")</f>
        <v>45902</v>
      </c>
      <c r="M9" s="15">
        <f t="shared" ref="M9:AO9" si="1">IF(L9&lt;$M$6,L9+1,"")</f>
        <v>45903</v>
      </c>
      <c r="N9" s="15">
        <f t="shared" si="1"/>
        <v>45904</v>
      </c>
      <c r="O9" s="15">
        <f t="shared" si="1"/>
        <v>45905</v>
      </c>
      <c r="P9" s="15">
        <f t="shared" si="1"/>
        <v>45906</v>
      </c>
      <c r="Q9" s="15">
        <f t="shared" si="1"/>
        <v>45907</v>
      </c>
      <c r="R9" s="15">
        <f t="shared" si="1"/>
        <v>45908</v>
      </c>
      <c r="S9" s="15">
        <f t="shared" si="1"/>
        <v>45909</v>
      </c>
      <c r="T9" s="15">
        <f t="shared" si="1"/>
        <v>45910</v>
      </c>
      <c r="U9" s="15">
        <f t="shared" si="1"/>
        <v>45911</v>
      </c>
      <c r="V9" s="15">
        <f t="shared" si="1"/>
        <v>45912</v>
      </c>
      <c r="W9" s="15">
        <f t="shared" si="1"/>
        <v>45913</v>
      </c>
      <c r="X9" s="15">
        <f t="shared" si="1"/>
        <v>45914</v>
      </c>
      <c r="Y9" s="15">
        <f t="shared" si="1"/>
        <v>45915</v>
      </c>
      <c r="Z9" s="15">
        <f t="shared" si="1"/>
        <v>45916</v>
      </c>
      <c r="AA9" s="15">
        <f t="shared" si="1"/>
        <v>45917</v>
      </c>
      <c r="AB9" s="15">
        <f t="shared" si="1"/>
        <v>45918</v>
      </c>
      <c r="AC9" s="15">
        <f t="shared" si="1"/>
        <v>45919</v>
      </c>
      <c r="AD9" s="15">
        <f t="shared" si="1"/>
        <v>45920</v>
      </c>
      <c r="AE9" s="15">
        <f t="shared" si="1"/>
        <v>45921</v>
      </c>
      <c r="AF9" s="15">
        <f t="shared" si="1"/>
        <v>45922</v>
      </c>
      <c r="AG9" s="15">
        <f t="shared" si="1"/>
        <v>45923</v>
      </c>
      <c r="AH9" s="15">
        <f t="shared" si="1"/>
        <v>45924</v>
      </c>
      <c r="AI9" s="15">
        <f t="shared" si="1"/>
        <v>45925</v>
      </c>
      <c r="AJ9" s="15">
        <f t="shared" si="1"/>
        <v>45926</v>
      </c>
      <c r="AK9" s="15">
        <f t="shared" si="1"/>
        <v>45927</v>
      </c>
      <c r="AL9" s="15">
        <f t="shared" si="1"/>
        <v>45928</v>
      </c>
      <c r="AM9" s="15">
        <f t="shared" si="1"/>
        <v>45929</v>
      </c>
      <c r="AN9" s="15">
        <f t="shared" si="1"/>
        <v>45930</v>
      </c>
      <c r="AO9" s="15" t="str">
        <f t="shared" si="1"/>
        <v/>
      </c>
      <c r="AP9" s="21"/>
      <c r="AQ9" s="24"/>
      <c r="AR9" s="18" t="s">
        <v>0</v>
      </c>
      <c r="AS9" s="18" t="s">
        <v>1</v>
      </c>
      <c r="AT9" s="18" t="s">
        <v>37</v>
      </c>
      <c r="AU9" s="18" t="s">
        <v>2</v>
      </c>
      <c r="AV9" s="18" t="s">
        <v>27</v>
      </c>
      <c r="AW9" s="18" t="s">
        <v>28</v>
      </c>
      <c r="AX9" s="18" t="s">
        <v>29</v>
      </c>
      <c r="AY9" s="18" t="s">
        <v>30</v>
      </c>
      <c r="AZ9" s="18" t="s">
        <v>26</v>
      </c>
      <c r="BA9" s="18" t="s">
        <v>31</v>
      </c>
      <c r="BB9" s="18" t="s">
        <v>32</v>
      </c>
      <c r="BC9" s="18" t="s">
        <v>33</v>
      </c>
      <c r="BD9" s="18" t="s">
        <v>34</v>
      </c>
      <c r="BE9" s="18" t="s">
        <v>35</v>
      </c>
      <c r="BF9" s="18" t="s">
        <v>36</v>
      </c>
      <c r="BG9" s="24"/>
      <c r="BH9" s="22"/>
      <c r="BI9" s="22"/>
      <c r="BJ9" s="22"/>
      <c r="BK9" s="22"/>
      <c r="BL9" s="22"/>
      <c r="BM9" s="22"/>
      <c r="BN9" s="22"/>
    </row>
    <row r="10" spans="6:67" x14ac:dyDescent="0.25">
      <c r="F10" s="21"/>
      <c r="G10" s="6">
        <v>1</v>
      </c>
      <c r="H10" s="7" t="s">
        <v>3</v>
      </c>
      <c r="I10" s="7">
        <v>1001</v>
      </c>
      <c r="J10" s="46">
        <f>COUNTIF($J$8:$AO$8,"SUN")</f>
        <v>4</v>
      </c>
      <c r="K10" s="56" t="s">
        <v>38</v>
      </c>
      <c r="L10" s="51" t="s">
        <v>38</v>
      </c>
      <c r="M10" s="51" t="s">
        <v>39</v>
      </c>
      <c r="N10" s="51" t="s">
        <v>38</v>
      </c>
      <c r="O10" s="51" t="s">
        <v>38</v>
      </c>
      <c r="P10" s="51" t="s">
        <v>38</v>
      </c>
      <c r="Q10" s="43" t="str">
        <f t="shared" ref="Q10:AL20" si="2">IF(Q$8="SUN","WO","")</f>
        <v>WO</v>
      </c>
      <c r="R10" s="52" t="s">
        <v>38</v>
      </c>
      <c r="S10" s="51" t="s">
        <v>38</v>
      </c>
      <c r="T10" s="51" t="s">
        <v>38</v>
      </c>
      <c r="U10" s="51" t="s">
        <v>38</v>
      </c>
      <c r="V10" s="51" t="s">
        <v>38</v>
      </c>
      <c r="W10" s="51" t="s">
        <v>39</v>
      </c>
      <c r="X10" s="43" t="str">
        <f t="shared" ref="Q10:X29" si="3">IF(X$8="SUN","WO","")</f>
        <v>WO</v>
      </c>
      <c r="Y10" s="52" t="s">
        <v>38</v>
      </c>
      <c r="Z10" s="51" t="s">
        <v>38</v>
      </c>
      <c r="AA10" s="51" t="s">
        <v>38</v>
      </c>
      <c r="AB10" s="51" t="s">
        <v>38</v>
      </c>
      <c r="AC10" s="51" t="s">
        <v>38</v>
      </c>
      <c r="AD10" s="51" t="s">
        <v>39</v>
      </c>
      <c r="AE10" s="43" t="str">
        <f t="shared" si="2"/>
        <v>WO</v>
      </c>
      <c r="AF10" s="52" t="s">
        <v>38</v>
      </c>
      <c r="AG10" s="51" t="s">
        <v>38</v>
      </c>
      <c r="AH10" s="51" t="s">
        <v>38</v>
      </c>
      <c r="AI10" s="51" t="s">
        <v>38</v>
      </c>
      <c r="AJ10" s="51" t="s">
        <v>38</v>
      </c>
      <c r="AK10" s="51" t="s">
        <v>39</v>
      </c>
      <c r="AL10" s="43" t="str">
        <f t="shared" si="2"/>
        <v>WO</v>
      </c>
      <c r="AM10" s="52" t="s">
        <v>39</v>
      </c>
      <c r="AN10" s="62" t="s">
        <v>38</v>
      </c>
      <c r="AO10" s="30"/>
      <c r="AP10" s="21"/>
      <c r="AQ10" s="24"/>
      <c r="AR10" s="10">
        <v>1</v>
      </c>
      <c r="AS10" s="9" t="s">
        <v>3</v>
      </c>
      <c r="AT10" s="9" t="str">
        <f t="shared" ref="AT10:AT29" si="4">$J$6</f>
        <v>September</v>
      </c>
      <c r="AU10" s="9">
        <v>1001</v>
      </c>
      <c r="AV10" s="9">
        <f t="shared" ref="AV10:AV29" si="5">COUNTIF($K10:$AO10,"P")</f>
        <v>21</v>
      </c>
      <c r="AW10" s="9">
        <f t="shared" ref="AW10:AW29" si="6">COUNTIF($K10:$AO10,"A")</f>
        <v>5</v>
      </c>
      <c r="AX10" s="9">
        <f t="shared" ref="AX10:AX29" si="7">COUNTIF($K10:$AO10,"L")</f>
        <v>0</v>
      </c>
      <c r="AY10" s="16">
        <f t="shared" ref="AY10:AY29" si="8">$J$10</f>
        <v>4</v>
      </c>
      <c r="AZ10" s="16">
        <f t="shared" ref="AZ10:AZ29" si="9">$I$6</f>
        <v>30</v>
      </c>
      <c r="BA10" s="16">
        <f>SepReport[[#This Row],[Days]]-SepReport[[#This Row],[Absent]]</f>
        <v>25</v>
      </c>
      <c r="BB10" s="19">
        <v>10000</v>
      </c>
      <c r="BC10" s="20">
        <f>SepReport[[#This Row],[Salary ]]/SepReport[[#This Row],[Days]]</f>
        <v>333.33333333333331</v>
      </c>
      <c r="BD10" s="20">
        <f>SepReport[[#This Row],[Per Day Salary ]]*SepReport[[#This Row],[Absent]]</f>
        <v>1666.6666666666665</v>
      </c>
      <c r="BE10" s="20">
        <f>SepReport[[#This Row],[Salary ]]-SepReport[[#This Row],[Deduction]]</f>
        <v>8333.3333333333339</v>
      </c>
      <c r="BF10" s="20"/>
      <c r="BG10" s="24"/>
      <c r="BH10" s="22"/>
      <c r="BI10" s="22"/>
      <c r="BJ10" s="22"/>
      <c r="BK10" s="22"/>
      <c r="BL10" s="22"/>
      <c r="BM10" s="22"/>
      <c r="BN10" s="22"/>
    </row>
    <row r="11" spans="6:67" x14ac:dyDescent="0.25">
      <c r="F11" s="21"/>
      <c r="G11" s="8">
        <v>2</v>
      </c>
      <c r="H11" s="9" t="s">
        <v>4</v>
      </c>
      <c r="I11" s="10">
        <v>1002</v>
      </c>
      <c r="J11" s="47">
        <f t="shared" ref="J11:J29" si="10">COUNTIF($J$8:$AO$8,"SUN")</f>
        <v>4</v>
      </c>
      <c r="K11" s="10" t="s">
        <v>38</v>
      </c>
      <c r="L11" s="10" t="s">
        <v>38</v>
      </c>
      <c r="M11" s="10" t="s">
        <v>38</v>
      </c>
      <c r="N11" s="10" t="s">
        <v>38</v>
      </c>
      <c r="O11" s="10" t="s">
        <v>39</v>
      </c>
      <c r="P11" s="10" t="s">
        <v>38</v>
      </c>
      <c r="Q11" s="44" t="str">
        <f t="shared" si="3"/>
        <v>WO</v>
      </c>
      <c r="R11" s="16" t="s">
        <v>39</v>
      </c>
      <c r="S11" s="10" t="s">
        <v>38</v>
      </c>
      <c r="T11" s="10" t="s">
        <v>38</v>
      </c>
      <c r="U11" s="10" t="s">
        <v>38</v>
      </c>
      <c r="V11" s="10" t="s">
        <v>38</v>
      </c>
      <c r="W11" s="16" t="s">
        <v>38</v>
      </c>
      <c r="X11" s="44" t="str">
        <f t="shared" si="3"/>
        <v>WO</v>
      </c>
      <c r="Y11" s="16" t="s">
        <v>39</v>
      </c>
      <c r="Z11" s="10" t="s">
        <v>38</v>
      </c>
      <c r="AA11" s="10" t="s">
        <v>38</v>
      </c>
      <c r="AB11" s="10" t="s">
        <v>38</v>
      </c>
      <c r="AC11" s="10" t="s">
        <v>38</v>
      </c>
      <c r="AD11" s="16" t="s">
        <v>38</v>
      </c>
      <c r="AE11" s="44" t="str">
        <f t="shared" si="2"/>
        <v>WO</v>
      </c>
      <c r="AF11" s="16" t="s">
        <v>39</v>
      </c>
      <c r="AG11" s="10" t="s">
        <v>38</v>
      </c>
      <c r="AH11" s="10" t="s">
        <v>38</v>
      </c>
      <c r="AI11" s="10" t="s">
        <v>38</v>
      </c>
      <c r="AJ11" s="10" t="s">
        <v>38</v>
      </c>
      <c r="AK11" s="16" t="s">
        <v>38</v>
      </c>
      <c r="AL11" s="44" t="str">
        <f t="shared" si="2"/>
        <v>WO</v>
      </c>
      <c r="AM11" s="16" t="s">
        <v>38</v>
      </c>
      <c r="AN11" s="60" t="s">
        <v>38</v>
      </c>
      <c r="AO11" s="30"/>
      <c r="AP11" s="21"/>
      <c r="AQ11" s="24"/>
      <c r="AR11" s="10">
        <v>2</v>
      </c>
      <c r="AS11" s="9" t="s">
        <v>4</v>
      </c>
      <c r="AT11" s="9" t="str">
        <f t="shared" si="4"/>
        <v>September</v>
      </c>
      <c r="AU11" s="9">
        <v>1002</v>
      </c>
      <c r="AV11" s="9">
        <f t="shared" si="5"/>
        <v>22</v>
      </c>
      <c r="AW11" s="16">
        <f t="shared" si="6"/>
        <v>4</v>
      </c>
      <c r="AX11" s="16">
        <f t="shared" si="7"/>
        <v>0</v>
      </c>
      <c r="AY11" s="16">
        <f t="shared" si="8"/>
        <v>4</v>
      </c>
      <c r="AZ11" s="16">
        <f t="shared" si="9"/>
        <v>30</v>
      </c>
      <c r="BA11" s="16">
        <f>SepReport[[#This Row],[Days]]-SepReport[[#This Row],[Absent]]</f>
        <v>26</v>
      </c>
      <c r="BB11" s="19">
        <v>20000</v>
      </c>
      <c r="BC11" s="20">
        <f>SepReport[[#This Row],[Salary ]]/SepReport[[#This Row],[Days]]</f>
        <v>666.66666666666663</v>
      </c>
      <c r="BD11" s="20">
        <f>SepReport[[#This Row],[Per Day Salary ]]*SepReport[[#This Row],[Absent]]</f>
        <v>2666.6666666666665</v>
      </c>
      <c r="BE11" s="20">
        <f>SepReport[[#This Row],[Salary ]]-SepReport[[#This Row],[Deduction]]</f>
        <v>17333.333333333332</v>
      </c>
      <c r="BF11" s="20"/>
      <c r="BG11" s="24"/>
      <c r="BH11" s="22"/>
      <c r="BI11" s="22"/>
      <c r="BJ11" s="22"/>
      <c r="BK11" s="22"/>
      <c r="BL11" s="22"/>
      <c r="BM11" s="22"/>
      <c r="BN11" s="22"/>
    </row>
    <row r="12" spans="6:67" x14ac:dyDescent="0.25">
      <c r="F12" s="21"/>
      <c r="G12" s="8">
        <v>3</v>
      </c>
      <c r="H12" s="10" t="s">
        <v>5</v>
      </c>
      <c r="I12" s="10">
        <v>1003</v>
      </c>
      <c r="J12" s="47">
        <f t="shared" si="10"/>
        <v>4</v>
      </c>
      <c r="K12" s="10" t="s">
        <v>38</v>
      </c>
      <c r="L12" s="10" t="s">
        <v>40</v>
      </c>
      <c r="M12" s="10" t="s">
        <v>38</v>
      </c>
      <c r="N12" s="10" t="s">
        <v>38</v>
      </c>
      <c r="O12" s="10" t="s">
        <v>38</v>
      </c>
      <c r="P12" s="10" t="s">
        <v>38</v>
      </c>
      <c r="Q12" s="44" t="str">
        <f t="shared" si="2"/>
        <v>WO</v>
      </c>
      <c r="R12" s="16" t="s">
        <v>38</v>
      </c>
      <c r="S12" s="10" t="s">
        <v>38</v>
      </c>
      <c r="T12" s="10" t="s">
        <v>40</v>
      </c>
      <c r="U12" s="10" t="s">
        <v>38</v>
      </c>
      <c r="V12" s="10" t="s">
        <v>38</v>
      </c>
      <c r="W12" s="16" t="s">
        <v>38</v>
      </c>
      <c r="X12" s="44" t="str">
        <f t="shared" si="2"/>
        <v>WO</v>
      </c>
      <c r="Y12" s="16" t="s">
        <v>38</v>
      </c>
      <c r="Z12" s="10" t="s">
        <v>38</v>
      </c>
      <c r="AA12" s="10" t="s">
        <v>40</v>
      </c>
      <c r="AB12" s="10" t="s">
        <v>38</v>
      </c>
      <c r="AC12" s="10" t="s">
        <v>38</v>
      </c>
      <c r="AD12" s="16" t="s">
        <v>38</v>
      </c>
      <c r="AE12" s="44" t="str">
        <f t="shared" si="2"/>
        <v>WO</v>
      </c>
      <c r="AF12" s="16" t="s">
        <v>38</v>
      </c>
      <c r="AG12" s="10" t="s">
        <v>38</v>
      </c>
      <c r="AH12" s="10" t="s">
        <v>40</v>
      </c>
      <c r="AI12" s="10" t="s">
        <v>38</v>
      </c>
      <c r="AJ12" s="10" t="s">
        <v>38</v>
      </c>
      <c r="AK12" s="16" t="s">
        <v>38</v>
      </c>
      <c r="AL12" s="44" t="str">
        <f t="shared" si="2"/>
        <v>WO</v>
      </c>
      <c r="AM12" s="16" t="s">
        <v>38</v>
      </c>
      <c r="AN12" s="60" t="s">
        <v>38</v>
      </c>
      <c r="AO12" s="30"/>
      <c r="AP12" s="21"/>
      <c r="AQ12" s="24"/>
      <c r="AR12" s="10">
        <v>3</v>
      </c>
      <c r="AS12" s="10" t="s">
        <v>5</v>
      </c>
      <c r="AT12" s="10" t="str">
        <f t="shared" si="4"/>
        <v>September</v>
      </c>
      <c r="AU12" s="10">
        <v>1003</v>
      </c>
      <c r="AV12" s="9">
        <f t="shared" si="5"/>
        <v>22</v>
      </c>
      <c r="AW12" s="16">
        <f t="shared" si="6"/>
        <v>0</v>
      </c>
      <c r="AX12" s="16">
        <f t="shared" si="7"/>
        <v>4</v>
      </c>
      <c r="AY12" s="16">
        <f t="shared" si="8"/>
        <v>4</v>
      </c>
      <c r="AZ12" s="16">
        <f t="shared" si="9"/>
        <v>30</v>
      </c>
      <c r="BA12" s="16">
        <f>SepReport[[#This Row],[Days]]-SepReport[[#This Row],[Absent]]</f>
        <v>30</v>
      </c>
      <c r="BB12" s="19">
        <v>30000</v>
      </c>
      <c r="BC12" s="20">
        <f>SepReport[[#This Row],[Salary ]]/SepReport[[#This Row],[Days]]</f>
        <v>1000</v>
      </c>
      <c r="BD12" s="20">
        <f>SepReport[[#This Row],[Per Day Salary ]]*SepReport[[#This Row],[Absent]]</f>
        <v>0</v>
      </c>
      <c r="BE12" s="20">
        <f>SepReport[[#This Row],[Salary ]]-SepReport[[#This Row],[Deduction]]</f>
        <v>30000</v>
      </c>
      <c r="BF12" s="20"/>
      <c r="BG12" s="24"/>
      <c r="BH12" s="22"/>
      <c r="BI12" s="22"/>
      <c r="BJ12" s="22"/>
      <c r="BK12" s="22"/>
      <c r="BL12" s="22"/>
      <c r="BM12" s="22"/>
      <c r="BN12" s="22"/>
    </row>
    <row r="13" spans="6:67" x14ac:dyDescent="0.25">
      <c r="F13" s="21"/>
      <c r="G13" s="8">
        <v>4</v>
      </c>
      <c r="H13" s="10" t="s">
        <v>6</v>
      </c>
      <c r="I13" s="10">
        <v>1004</v>
      </c>
      <c r="J13" s="47">
        <f t="shared" si="10"/>
        <v>4</v>
      </c>
      <c r="K13" s="10" t="s">
        <v>38</v>
      </c>
      <c r="L13" s="10" t="s">
        <v>38</v>
      </c>
      <c r="M13" s="10" t="s">
        <v>38</v>
      </c>
      <c r="N13" s="10" t="s">
        <v>38</v>
      </c>
      <c r="O13" s="10" t="s">
        <v>38</v>
      </c>
      <c r="P13" s="10" t="s">
        <v>38</v>
      </c>
      <c r="Q13" s="44" t="str">
        <f t="shared" si="2"/>
        <v>WO</v>
      </c>
      <c r="R13" s="16" t="s">
        <v>38</v>
      </c>
      <c r="S13" s="10" t="s">
        <v>38</v>
      </c>
      <c r="T13" s="10" t="s">
        <v>38</v>
      </c>
      <c r="U13" s="10" t="s">
        <v>38</v>
      </c>
      <c r="V13" s="10" t="s">
        <v>38</v>
      </c>
      <c r="W13" s="16" t="s">
        <v>38</v>
      </c>
      <c r="X13" s="44" t="str">
        <f t="shared" si="2"/>
        <v>WO</v>
      </c>
      <c r="Y13" s="16" t="s">
        <v>38</v>
      </c>
      <c r="Z13" s="10" t="s">
        <v>38</v>
      </c>
      <c r="AA13" s="10" t="s">
        <v>38</v>
      </c>
      <c r="AB13" s="10" t="s">
        <v>38</v>
      </c>
      <c r="AC13" s="10" t="s">
        <v>38</v>
      </c>
      <c r="AD13" s="16" t="s">
        <v>38</v>
      </c>
      <c r="AE13" s="44" t="str">
        <f t="shared" si="2"/>
        <v>WO</v>
      </c>
      <c r="AF13" s="16" t="s">
        <v>38</v>
      </c>
      <c r="AG13" s="10" t="s">
        <v>38</v>
      </c>
      <c r="AH13" s="10" t="s">
        <v>38</v>
      </c>
      <c r="AI13" s="10" t="s">
        <v>38</v>
      </c>
      <c r="AJ13" s="10" t="s">
        <v>38</v>
      </c>
      <c r="AK13" s="16" t="s">
        <v>38</v>
      </c>
      <c r="AL13" s="44" t="str">
        <f t="shared" si="2"/>
        <v>WO</v>
      </c>
      <c r="AM13" s="16" t="s">
        <v>38</v>
      </c>
      <c r="AN13" s="60" t="s">
        <v>38</v>
      </c>
      <c r="AO13" s="30"/>
      <c r="AP13" s="21"/>
      <c r="AQ13" s="24"/>
      <c r="AR13" s="10">
        <v>4</v>
      </c>
      <c r="AS13" s="10" t="s">
        <v>6</v>
      </c>
      <c r="AT13" s="10" t="str">
        <f t="shared" si="4"/>
        <v>September</v>
      </c>
      <c r="AU13" s="10">
        <v>1004</v>
      </c>
      <c r="AV13" s="9">
        <f t="shared" si="5"/>
        <v>26</v>
      </c>
      <c r="AW13" s="16">
        <f t="shared" si="6"/>
        <v>0</v>
      </c>
      <c r="AX13" s="16">
        <f t="shared" si="7"/>
        <v>0</v>
      </c>
      <c r="AY13" s="16">
        <f t="shared" si="8"/>
        <v>4</v>
      </c>
      <c r="AZ13" s="16">
        <f t="shared" si="9"/>
        <v>30</v>
      </c>
      <c r="BA13" s="16">
        <f>SepReport[[#This Row],[Days]]-SepReport[[#This Row],[Absent]]</f>
        <v>30</v>
      </c>
      <c r="BB13" s="19">
        <v>45000</v>
      </c>
      <c r="BC13" s="20">
        <f>SepReport[[#This Row],[Salary ]]/SepReport[[#This Row],[Days]]</f>
        <v>1500</v>
      </c>
      <c r="BD13" s="20">
        <f>SepReport[[#This Row],[Per Day Salary ]]*SepReport[[#This Row],[Absent]]</f>
        <v>0</v>
      </c>
      <c r="BE13" s="20">
        <f>SepReport[[#This Row],[Salary ]]-SepReport[[#This Row],[Deduction]]</f>
        <v>45000</v>
      </c>
      <c r="BF13" s="20"/>
      <c r="BG13" s="24"/>
      <c r="BH13" s="22"/>
      <c r="BI13" s="22"/>
      <c r="BJ13" s="22"/>
      <c r="BK13" s="22"/>
      <c r="BL13" s="22"/>
      <c r="BM13" s="22"/>
      <c r="BN13" s="22"/>
    </row>
    <row r="14" spans="6:67" x14ac:dyDescent="0.25">
      <c r="F14" s="21"/>
      <c r="G14" s="8">
        <v>5</v>
      </c>
      <c r="H14" s="10" t="s">
        <v>7</v>
      </c>
      <c r="I14" s="10">
        <v>1005</v>
      </c>
      <c r="J14" s="47">
        <f t="shared" si="10"/>
        <v>4</v>
      </c>
      <c r="K14" s="10" t="s">
        <v>38</v>
      </c>
      <c r="L14" s="10" t="s">
        <v>40</v>
      </c>
      <c r="M14" s="10" t="s">
        <v>38</v>
      </c>
      <c r="N14" s="10" t="s">
        <v>38</v>
      </c>
      <c r="O14" s="10" t="s">
        <v>38</v>
      </c>
      <c r="P14" s="10" t="s">
        <v>38</v>
      </c>
      <c r="Q14" s="44" t="str">
        <f t="shared" si="2"/>
        <v>WO</v>
      </c>
      <c r="R14" s="16" t="s">
        <v>38</v>
      </c>
      <c r="S14" s="10" t="s">
        <v>38</v>
      </c>
      <c r="T14" s="10" t="s">
        <v>38</v>
      </c>
      <c r="U14" s="10" t="s">
        <v>38</v>
      </c>
      <c r="V14" s="10" t="s">
        <v>39</v>
      </c>
      <c r="W14" s="16" t="s">
        <v>38</v>
      </c>
      <c r="X14" s="44" t="str">
        <f t="shared" si="2"/>
        <v>WO</v>
      </c>
      <c r="Y14" s="16" t="s">
        <v>38</v>
      </c>
      <c r="Z14" s="10" t="s">
        <v>38</v>
      </c>
      <c r="AA14" s="10" t="s">
        <v>38</v>
      </c>
      <c r="AB14" s="10" t="s">
        <v>38</v>
      </c>
      <c r="AC14" s="10" t="s">
        <v>39</v>
      </c>
      <c r="AD14" s="16" t="s">
        <v>38</v>
      </c>
      <c r="AE14" s="44" t="str">
        <f t="shared" si="2"/>
        <v>WO</v>
      </c>
      <c r="AF14" s="16" t="s">
        <v>38</v>
      </c>
      <c r="AG14" s="10" t="s">
        <v>38</v>
      </c>
      <c r="AH14" s="10" t="s">
        <v>38</v>
      </c>
      <c r="AI14" s="10" t="s">
        <v>38</v>
      </c>
      <c r="AJ14" s="10" t="s">
        <v>39</v>
      </c>
      <c r="AK14" s="16" t="s">
        <v>38</v>
      </c>
      <c r="AL14" s="44" t="str">
        <f t="shared" si="2"/>
        <v>WO</v>
      </c>
      <c r="AM14" s="16" t="s">
        <v>38</v>
      </c>
      <c r="AN14" s="60" t="s">
        <v>38</v>
      </c>
      <c r="AO14" s="30"/>
      <c r="AP14" s="21"/>
      <c r="AQ14" s="24"/>
      <c r="AR14" s="10">
        <v>5</v>
      </c>
      <c r="AS14" s="10" t="s">
        <v>7</v>
      </c>
      <c r="AT14" s="10" t="str">
        <f t="shared" si="4"/>
        <v>September</v>
      </c>
      <c r="AU14" s="10">
        <v>1005</v>
      </c>
      <c r="AV14" s="9">
        <f t="shared" si="5"/>
        <v>22</v>
      </c>
      <c r="AW14" s="16">
        <f t="shared" si="6"/>
        <v>3</v>
      </c>
      <c r="AX14" s="16">
        <f t="shared" si="7"/>
        <v>1</v>
      </c>
      <c r="AY14" s="16">
        <f t="shared" si="8"/>
        <v>4</v>
      </c>
      <c r="AZ14" s="16">
        <f t="shared" si="9"/>
        <v>30</v>
      </c>
      <c r="BA14" s="16">
        <f>SepReport[[#This Row],[Days]]-SepReport[[#This Row],[Absent]]</f>
        <v>27</v>
      </c>
      <c r="BB14" s="19">
        <v>62000</v>
      </c>
      <c r="BC14" s="20">
        <f>SepReport[[#This Row],[Salary ]]/SepReport[[#This Row],[Days]]</f>
        <v>2066.6666666666665</v>
      </c>
      <c r="BD14" s="20">
        <f>SepReport[[#This Row],[Per Day Salary ]]*SepReport[[#This Row],[Absent]]</f>
        <v>6200</v>
      </c>
      <c r="BE14" s="20">
        <f>SepReport[[#This Row],[Salary ]]-SepReport[[#This Row],[Deduction]]</f>
        <v>55800</v>
      </c>
      <c r="BF14" s="20"/>
      <c r="BG14" s="24"/>
      <c r="BH14" s="22"/>
      <c r="BI14" s="22"/>
      <c r="BJ14" s="22"/>
      <c r="BK14" s="22"/>
      <c r="BL14" s="22"/>
      <c r="BM14" s="22"/>
      <c r="BN14" s="22"/>
    </row>
    <row r="15" spans="6:67" x14ac:dyDescent="0.25">
      <c r="F15" s="21"/>
      <c r="G15" s="8">
        <v>6</v>
      </c>
      <c r="H15" s="10" t="s">
        <v>8</v>
      </c>
      <c r="I15" s="10">
        <v>1006</v>
      </c>
      <c r="J15" s="47">
        <f t="shared" si="10"/>
        <v>4</v>
      </c>
      <c r="K15" s="10" t="s">
        <v>38</v>
      </c>
      <c r="L15" s="10" t="s">
        <v>38</v>
      </c>
      <c r="M15" s="10" t="s">
        <v>38</v>
      </c>
      <c r="N15" s="10" t="s">
        <v>38</v>
      </c>
      <c r="O15" s="10" t="s">
        <v>38</v>
      </c>
      <c r="P15" s="10" t="s">
        <v>39</v>
      </c>
      <c r="Q15" s="44" t="str">
        <f t="shared" si="2"/>
        <v>WO</v>
      </c>
      <c r="R15" s="16" t="s">
        <v>38</v>
      </c>
      <c r="S15" s="10" t="s">
        <v>38</v>
      </c>
      <c r="T15" s="10" t="s">
        <v>38</v>
      </c>
      <c r="U15" s="10" t="s">
        <v>38</v>
      </c>
      <c r="V15" s="10" t="s">
        <v>38</v>
      </c>
      <c r="W15" s="16" t="s">
        <v>38</v>
      </c>
      <c r="X15" s="44" t="str">
        <f t="shared" si="2"/>
        <v>WO</v>
      </c>
      <c r="Y15" s="16" t="s">
        <v>38</v>
      </c>
      <c r="Z15" s="10" t="s">
        <v>38</v>
      </c>
      <c r="AA15" s="10" t="s">
        <v>38</v>
      </c>
      <c r="AB15" s="10" t="s">
        <v>38</v>
      </c>
      <c r="AC15" s="10" t="s">
        <v>38</v>
      </c>
      <c r="AD15" s="16" t="s">
        <v>38</v>
      </c>
      <c r="AE15" s="44" t="str">
        <f t="shared" si="2"/>
        <v>WO</v>
      </c>
      <c r="AF15" s="16" t="s">
        <v>38</v>
      </c>
      <c r="AG15" s="10" t="s">
        <v>38</v>
      </c>
      <c r="AH15" s="10" t="s">
        <v>38</v>
      </c>
      <c r="AI15" s="10" t="s">
        <v>38</v>
      </c>
      <c r="AJ15" s="10" t="s">
        <v>38</v>
      </c>
      <c r="AK15" s="16" t="s">
        <v>38</v>
      </c>
      <c r="AL15" s="44" t="str">
        <f>IF(AL$8="SUN","WO","")</f>
        <v>WO</v>
      </c>
      <c r="AM15" s="16" t="s">
        <v>38</v>
      </c>
      <c r="AN15" s="60" t="s">
        <v>38</v>
      </c>
      <c r="AO15" s="30"/>
      <c r="AP15" s="21"/>
      <c r="AQ15" s="24"/>
      <c r="AR15" s="10">
        <v>6</v>
      </c>
      <c r="AS15" s="10" t="s">
        <v>8</v>
      </c>
      <c r="AT15" s="10" t="str">
        <f t="shared" si="4"/>
        <v>September</v>
      </c>
      <c r="AU15" s="10">
        <v>1006</v>
      </c>
      <c r="AV15" s="9">
        <f t="shared" si="5"/>
        <v>25</v>
      </c>
      <c r="AW15" s="16">
        <f t="shared" si="6"/>
        <v>1</v>
      </c>
      <c r="AX15" s="16">
        <f t="shared" si="7"/>
        <v>0</v>
      </c>
      <c r="AY15" s="16">
        <f t="shared" si="8"/>
        <v>4</v>
      </c>
      <c r="AZ15" s="16">
        <f t="shared" si="9"/>
        <v>30</v>
      </c>
      <c r="BA15" s="16">
        <f>SepReport[[#This Row],[Days]]-SepReport[[#This Row],[Absent]]</f>
        <v>29</v>
      </c>
      <c r="BB15" s="19">
        <v>13000</v>
      </c>
      <c r="BC15" s="20">
        <f>SepReport[[#This Row],[Salary ]]/SepReport[[#This Row],[Days]]</f>
        <v>433.33333333333331</v>
      </c>
      <c r="BD15" s="20">
        <f>SepReport[[#This Row],[Per Day Salary ]]*SepReport[[#This Row],[Absent]]</f>
        <v>433.33333333333331</v>
      </c>
      <c r="BE15" s="20">
        <f>SepReport[[#This Row],[Salary ]]-SepReport[[#This Row],[Deduction]]</f>
        <v>12566.666666666666</v>
      </c>
      <c r="BF15" s="20"/>
      <c r="BG15" s="24"/>
      <c r="BH15" s="22"/>
      <c r="BI15" s="22"/>
      <c r="BJ15" s="22"/>
      <c r="BK15" s="22"/>
      <c r="BL15" s="22"/>
      <c r="BM15" s="22"/>
      <c r="BN15" s="22"/>
    </row>
    <row r="16" spans="6:67" x14ac:dyDescent="0.25">
      <c r="F16" s="21"/>
      <c r="G16" s="8">
        <v>7</v>
      </c>
      <c r="H16" s="10" t="s">
        <v>9</v>
      </c>
      <c r="I16" s="10">
        <v>1007</v>
      </c>
      <c r="J16" s="47">
        <f t="shared" si="10"/>
        <v>4</v>
      </c>
      <c r="K16" s="10" t="s">
        <v>38</v>
      </c>
      <c r="L16" s="10" t="s">
        <v>39</v>
      </c>
      <c r="M16" s="10" t="s">
        <v>38</v>
      </c>
      <c r="N16" s="10" t="s">
        <v>38</v>
      </c>
      <c r="O16" s="10" t="s">
        <v>38</v>
      </c>
      <c r="P16" s="10" t="s">
        <v>38</v>
      </c>
      <c r="Q16" s="44" t="str">
        <f t="shared" si="2"/>
        <v>WO</v>
      </c>
      <c r="R16" s="16" t="s">
        <v>38</v>
      </c>
      <c r="S16" s="10" t="s">
        <v>39</v>
      </c>
      <c r="T16" s="10" t="s">
        <v>38</v>
      </c>
      <c r="U16" s="10" t="s">
        <v>38</v>
      </c>
      <c r="V16" s="10" t="s">
        <v>38</v>
      </c>
      <c r="W16" s="16" t="s">
        <v>38</v>
      </c>
      <c r="X16" s="44" t="str">
        <f t="shared" si="2"/>
        <v>WO</v>
      </c>
      <c r="Y16" s="16" t="s">
        <v>38</v>
      </c>
      <c r="Z16" s="10" t="s">
        <v>39</v>
      </c>
      <c r="AA16" s="10" t="s">
        <v>38</v>
      </c>
      <c r="AB16" s="10" t="s">
        <v>38</v>
      </c>
      <c r="AC16" s="10" t="s">
        <v>38</v>
      </c>
      <c r="AD16" s="16" t="s">
        <v>38</v>
      </c>
      <c r="AE16" s="44" t="str">
        <f t="shared" si="2"/>
        <v>WO</v>
      </c>
      <c r="AF16" s="16" t="s">
        <v>38</v>
      </c>
      <c r="AG16" s="10" t="s">
        <v>39</v>
      </c>
      <c r="AH16" s="10" t="s">
        <v>38</v>
      </c>
      <c r="AI16" s="10" t="s">
        <v>38</v>
      </c>
      <c r="AJ16" s="10" t="s">
        <v>38</v>
      </c>
      <c r="AK16" s="16" t="s">
        <v>38</v>
      </c>
      <c r="AL16" s="44" t="str">
        <f t="shared" si="2"/>
        <v>WO</v>
      </c>
      <c r="AM16" s="16" t="s">
        <v>38</v>
      </c>
      <c r="AN16" s="60" t="s">
        <v>38</v>
      </c>
      <c r="AO16" s="30"/>
      <c r="AP16" s="21"/>
      <c r="AQ16" s="24"/>
      <c r="AR16" s="10">
        <v>7</v>
      </c>
      <c r="AS16" s="10" t="s">
        <v>9</v>
      </c>
      <c r="AT16" s="10" t="str">
        <f t="shared" si="4"/>
        <v>September</v>
      </c>
      <c r="AU16" s="10">
        <v>1007</v>
      </c>
      <c r="AV16" s="9">
        <f t="shared" si="5"/>
        <v>22</v>
      </c>
      <c r="AW16" s="16">
        <f t="shared" si="6"/>
        <v>4</v>
      </c>
      <c r="AX16" s="16">
        <f t="shared" si="7"/>
        <v>0</v>
      </c>
      <c r="AY16" s="16">
        <f t="shared" si="8"/>
        <v>4</v>
      </c>
      <c r="AZ16" s="16">
        <f t="shared" si="9"/>
        <v>30</v>
      </c>
      <c r="BA16" s="16">
        <f>SepReport[[#This Row],[Days]]-SepReport[[#This Row],[Absent]]</f>
        <v>26</v>
      </c>
      <c r="BB16" s="19">
        <v>48000</v>
      </c>
      <c r="BC16" s="20">
        <f>SepReport[[#This Row],[Salary ]]/SepReport[[#This Row],[Days]]</f>
        <v>1600</v>
      </c>
      <c r="BD16" s="20">
        <f>SepReport[[#This Row],[Per Day Salary ]]*SepReport[[#This Row],[Absent]]</f>
        <v>6400</v>
      </c>
      <c r="BE16" s="20">
        <f>SepReport[[#This Row],[Salary ]]-SepReport[[#This Row],[Deduction]]</f>
        <v>41600</v>
      </c>
      <c r="BF16" s="20"/>
      <c r="BG16" s="24"/>
      <c r="BH16" s="22"/>
      <c r="BI16" s="22"/>
      <c r="BJ16" s="22"/>
      <c r="BK16" s="22"/>
      <c r="BL16" s="22"/>
      <c r="BM16" s="22"/>
      <c r="BN16" s="22"/>
    </row>
    <row r="17" spans="6:66" x14ac:dyDescent="0.25">
      <c r="F17" s="21"/>
      <c r="G17" s="8">
        <v>8</v>
      </c>
      <c r="H17" s="10" t="s">
        <v>10</v>
      </c>
      <c r="I17" s="10">
        <v>1008</v>
      </c>
      <c r="J17" s="47">
        <f t="shared" si="10"/>
        <v>4</v>
      </c>
      <c r="K17" s="10" t="s">
        <v>38</v>
      </c>
      <c r="L17" s="10" t="s">
        <v>38</v>
      </c>
      <c r="M17" s="10" t="s">
        <v>38</v>
      </c>
      <c r="N17" s="10" t="s">
        <v>38</v>
      </c>
      <c r="O17" s="10" t="s">
        <v>39</v>
      </c>
      <c r="P17" s="10" t="s">
        <v>38</v>
      </c>
      <c r="Q17" s="44" t="str">
        <f t="shared" si="2"/>
        <v>WO</v>
      </c>
      <c r="R17" s="16" t="s">
        <v>38</v>
      </c>
      <c r="S17" s="10" t="s">
        <v>38</v>
      </c>
      <c r="T17" s="10" t="s">
        <v>38</v>
      </c>
      <c r="U17" s="10" t="s">
        <v>38</v>
      </c>
      <c r="V17" s="10" t="s">
        <v>38</v>
      </c>
      <c r="W17" s="16" t="s">
        <v>38</v>
      </c>
      <c r="X17" s="44" t="str">
        <f t="shared" si="2"/>
        <v>WO</v>
      </c>
      <c r="Y17" s="16" t="s">
        <v>38</v>
      </c>
      <c r="Z17" s="10" t="s">
        <v>38</v>
      </c>
      <c r="AA17" s="10" t="s">
        <v>38</v>
      </c>
      <c r="AB17" s="10" t="s">
        <v>38</v>
      </c>
      <c r="AC17" s="10" t="s">
        <v>38</v>
      </c>
      <c r="AD17" s="16" t="s">
        <v>38</v>
      </c>
      <c r="AE17" s="44" t="str">
        <f t="shared" si="2"/>
        <v>WO</v>
      </c>
      <c r="AF17" s="16" t="s">
        <v>38</v>
      </c>
      <c r="AG17" s="10" t="s">
        <v>38</v>
      </c>
      <c r="AH17" s="10" t="s">
        <v>38</v>
      </c>
      <c r="AI17" s="10" t="s">
        <v>38</v>
      </c>
      <c r="AJ17" s="10" t="s">
        <v>38</v>
      </c>
      <c r="AK17" s="16" t="s">
        <v>38</v>
      </c>
      <c r="AL17" s="44" t="str">
        <f>IF(AL$8="SUN","WO","")</f>
        <v>WO</v>
      </c>
      <c r="AM17" s="16" t="s">
        <v>38</v>
      </c>
      <c r="AN17" s="60" t="s">
        <v>38</v>
      </c>
      <c r="AO17" s="30"/>
      <c r="AP17" s="21"/>
      <c r="AQ17" s="24"/>
      <c r="AR17" s="10">
        <v>8</v>
      </c>
      <c r="AS17" s="10" t="s">
        <v>10</v>
      </c>
      <c r="AT17" s="10" t="str">
        <f t="shared" si="4"/>
        <v>September</v>
      </c>
      <c r="AU17" s="10">
        <v>1008</v>
      </c>
      <c r="AV17" s="9">
        <f t="shared" si="5"/>
        <v>25</v>
      </c>
      <c r="AW17" s="16">
        <f t="shared" si="6"/>
        <v>1</v>
      </c>
      <c r="AX17" s="16">
        <f t="shared" si="7"/>
        <v>0</v>
      </c>
      <c r="AY17" s="16">
        <f t="shared" si="8"/>
        <v>4</v>
      </c>
      <c r="AZ17" s="16">
        <f t="shared" si="9"/>
        <v>30</v>
      </c>
      <c r="BA17" s="16">
        <f>SepReport[[#This Row],[Days]]-SepReport[[#This Row],[Absent]]</f>
        <v>29</v>
      </c>
      <c r="BB17" s="19">
        <v>17000</v>
      </c>
      <c r="BC17" s="20">
        <f>SepReport[[#This Row],[Salary ]]/SepReport[[#This Row],[Days]]</f>
        <v>566.66666666666663</v>
      </c>
      <c r="BD17" s="20">
        <f>SepReport[[#This Row],[Per Day Salary ]]*SepReport[[#This Row],[Absent]]</f>
        <v>566.66666666666663</v>
      </c>
      <c r="BE17" s="20">
        <f>SepReport[[#This Row],[Salary ]]-SepReport[[#This Row],[Deduction]]</f>
        <v>16433.333333333332</v>
      </c>
      <c r="BF17" s="20"/>
      <c r="BG17" s="24"/>
      <c r="BH17" s="22"/>
      <c r="BI17" s="22"/>
      <c r="BJ17" s="22"/>
      <c r="BK17" s="22"/>
      <c r="BL17" s="22"/>
      <c r="BM17" s="22"/>
      <c r="BN17" s="22"/>
    </row>
    <row r="18" spans="6:66" x14ac:dyDescent="0.25">
      <c r="F18" s="21"/>
      <c r="G18" s="8">
        <v>9</v>
      </c>
      <c r="H18" s="10" t="s">
        <v>11</v>
      </c>
      <c r="I18" s="10">
        <v>1009</v>
      </c>
      <c r="J18" s="47">
        <f t="shared" si="10"/>
        <v>4</v>
      </c>
      <c r="K18" s="10" t="s">
        <v>38</v>
      </c>
      <c r="L18" s="10" t="s">
        <v>38</v>
      </c>
      <c r="M18" s="10" t="s">
        <v>38</v>
      </c>
      <c r="N18" s="10" t="s">
        <v>38</v>
      </c>
      <c r="O18" s="10" t="s">
        <v>38</v>
      </c>
      <c r="P18" s="10" t="s">
        <v>38</v>
      </c>
      <c r="Q18" s="44" t="str">
        <f t="shared" si="2"/>
        <v>WO</v>
      </c>
      <c r="R18" s="16" t="s">
        <v>38</v>
      </c>
      <c r="S18" s="10" t="s">
        <v>38</v>
      </c>
      <c r="T18" s="10" t="s">
        <v>38</v>
      </c>
      <c r="U18" s="10" t="s">
        <v>40</v>
      </c>
      <c r="V18" s="10" t="s">
        <v>38</v>
      </c>
      <c r="W18" s="16" t="s">
        <v>38</v>
      </c>
      <c r="X18" s="44" t="str">
        <f t="shared" si="2"/>
        <v>WO</v>
      </c>
      <c r="Y18" s="16" t="s">
        <v>38</v>
      </c>
      <c r="Z18" s="10" t="s">
        <v>38</v>
      </c>
      <c r="AA18" s="10" t="s">
        <v>38</v>
      </c>
      <c r="AB18" s="10" t="s">
        <v>40</v>
      </c>
      <c r="AC18" s="10" t="s">
        <v>38</v>
      </c>
      <c r="AD18" s="16" t="s">
        <v>38</v>
      </c>
      <c r="AE18" s="44" t="str">
        <f t="shared" si="2"/>
        <v>WO</v>
      </c>
      <c r="AF18" s="16" t="s">
        <v>38</v>
      </c>
      <c r="AG18" s="10" t="s">
        <v>38</v>
      </c>
      <c r="AH18" s="10" t="s">
        <v>38</v>
      </c>
      <c r="AI18" s="10" t="s">
        <v>40</v>
      </c>
      <c r="AJ18" s="10" t="s">
        <v>38</v>
      </c>
      <c r="AK18" s="16" t="s">
        <v>38</v>
      </c>
      <c r="AL18" s="44" t="str">
        <f t="shared" si="2"/>
        <v>WO</v>
      </c>
      <c r="AM18" s="16" t="s">
        <v>38</v>
      </c>
      <c r="AN18" s="60" t="s">
        <v>39</v>
      </c>
      <c r="AO18" s="30"/>
      <c r="AP18" s="21"/>
      <c r="AQ18" s="24"/>
      <c r="AR18" s="10">
        <v>9</v>
      </c>
      <c r="AS18" s="10" t="s">
        <v>11</v>
      </c>
      <c r="AT18" s="10" t="str">
        <f t="shared" si="4"/>
        <v>September</v>
      </c>
      <c r="AU18" s="10">
        <v>1009</v>
      </c>
      <c r="AV18" s="9">
        <f t="shared" si="5"/>
        <v>22</v>
      </c>
      <c r="AW18" s="16">
        <f t="shared" si="6"/>
        <v>1</v>
      </c>
      <c r="AX18" s="16">
        <f t="shared" si="7"/>
        <v>3</v>
      </c>
      <c r="AY18" s="16">
        <f t="shared" si="8"/>
        <v>4</v>
      </c>
      <c r="AZ18" s="16">
        <f t="shared" si="9"/>
        <v>30</v>
      </c>
      <c r="BA18" s="16">
        <f>SepReport[[#This Row],[Days]]-SepReport[[#This Row],[Absent]]</f>
        <v>29</v>
      </c>
      <c r="BB18" s="19">
        <v>39000</v>
      </c>
      <c r="BC18" s="20">
        <f>SepReport[[#This Row],[Salary ]]/SepReport[[#This Row],[Days]]</f>
        <v>1300</v>
      </c>
      <c r="BD18" s="20">
        <f>SepReport[[#This Row],[Per Day Salary ]]*SepReport[[#This Row],[Absent]]</f>
        <v>1300</v>
      </c>
      <c r="BE18" s="20">
        <f>SepReport[[#This Row],[Salary ]]-SepReport[[#This Row],[Deduction]]</f>
        <v>37700</v>
      </c>
      <c r="BF18" s="20"/>
      <c r="BG18" s="24"/>
      <c r="BH18" s="22"/>
      <c r="BI18" s="22"/>
      <c r="BJ18" s="22"/>
      <c r="BK18" s="22"/>
      <c r="BL18" s="22"/>
      <c r="BM18" s="22"/>
      <c r="BN18" s="22"/>
    </row>
    <row r="19" spans="6:66" x14ac:dyDescent="0.25">
      <c r="F19" s="21"/>
      <c r="G19" s="8">
        <v>10</v>
      </c>
      <c r="H19" s="10" t="s">
        <v>3</v>
      </c>
      <c r="I19" s="10">
        <v>1010</v>
      </c>
      <c r="J19" s="47">
        <f t="shared" si="10"/>
        <v>4</v>
      </c>
      <c r="K19" s="10" t="s">
        <v>39</v>
      </c>
      <c r="L19" s="10" t="s">
        <v>38</v>
      </c>
      <c r="M19" s="10" t="s">
        <v>38</v>
      </c>
      <c r="N19" s="10" t="s">
        <v>38</v>
      </c>
      <c r="O19" s="10" t="s">
        <v>38</v>
      </c>
      <c r="P19" s="10" t="s">
        <v>38</v>
      </c>
      <c r="Q19" s="44" t="str">
        <f t="shared" si="2"/>
        <v>WO</v>
      </c>
      <c r="R19" s="16" t="s">
        <v>38</v>
      </c>
      <c r="S19" s="10" t="s">
        <v>38</v>
      </c>
      <c r="T19" s="10" t="s">
        <v>38</v>
      </c>
      <c r="U19" s="10" t="s">
        <v>38</v>
      </c>
      <c r="V19" s="10" t="s">
        <v>38</v>
      </c>
      <c r="W19" s="16" t="s">
        <v>38</v>
      </c>
      <c r="X19" s="44" t="str">
        <f t="shared" si="2"/>
        <v>WO</v>
      </c>
      <c r="Y19" s="16" t="s">
        <v>38</v>
      </c>
      <c r="Z19" s="10" t="s">
        <v>38</v>
      </c>
      <c r="AA19" s="10" t="s">
        <v>38</v>
      </c>
      <c r="AB19" s="10" t="s">
        <v>38</v>
      </c>
      <c r="AC19" s="10" t="s">
        <v>38</v>
      </c>
      <c r="AD19" s="16" t="s">
        <v>38</v>
      </c>
      <c r="AE19" s="44" t="str">
        <f t="shared" si="2"/>
        <v>WO</v>
      </c>
      <c r="AF19" s="16" t="s">
        <v>38</v>
      </c>
      <c r="AG19" s="10" t="s">
        <v>38</v>
      </c>
      <c r="AH19" s="10" t="s">
        <v>38</v>
      </c>
      <c r="AI19" s="10" t="s">
        <v>38</v>
      </c>
      <c r="AJ19" s="10" t="s">
        <v>38</v>
      </c>
      <c r="AK19" s="16" t="s">
        <v>38</v>
      </c>
      <c r="AL19" s="44" t="str">
        <f t="shared" si="2"/>
        <v>WO</v>
      </c>
      <c r="AM19" s="16" t="s">
        <v>38</v>
      </c>
      <c r="AN19" s="60" t="s">
        <v>38</v>
      </c>
      <c r="AO19" s="30"/>
      <c r="AP19" s="21"/>
      <c r="AQ19" s="24"/>
      <c r="AR19" s="10">
        <v>10</v>
      </c>
      <c r="AS19" s="10" t="s">
        <v>3</v>
      </c>
      <c r="AT19" s="10" t="str">
        <f t="shared" si="4"/>
        <v>September</v>
      </c>
      <c r="AU19" s="10">
        <v>1010</v>
      </c>
      <c r="AV19" s="9">
        <f t="shared" si="5"/>
        <v>25</v>
      </c>
      <c r="AW19" s="16">
        <f t="shared" si="6"/>
        <v>1</v>
      </c>
      <c r="AX19" s="16">
        <f t="shared" si="7"/>
        <v>0</v>
      </c>
      <c r="AY19" s="16">
        <f t="shared" si="8"/>
        <v>4</v>
      </c>
      <c r="AZ19" s="16">
        <f t="shared" si="9"/>
        <v>30</v>
      </c>
      <c r="BA19" s="16">
        <f>SepReport[[#This Row],[Days]]-SepReport[[#This Row],[Absent]]</f>
        <v>29</v>
      </c>
      <c r="BB19" s="19">
        <v>72000</v>
      </c>
      <c r="BC19" s="20">
        <f>SepReport[[#This Row],[Salary ]]/SepReport[[#This Row],[Days]]</f>
        <v>2400</v>
      </c>
      <c r="BD19" s="20">
        <f>SepReport[[#This Row],[Per Day Salary ]]*SepReport[[#This Row],[Absent]]</f>
        <v>2400</v>
      </c>
      <c r="BE19" s="20">
        <f>SepReport[[#This Row],[Salary ]]-SepReport[[#This Row],[Deduction]]</f>
        <v>69600</v>
      </c>
      <c r="BF19" s="20"/>
      <c r="BG19" s="24"/>
      <c r="BH19" s="22"/>
      <c r="BI19" s="22"/>
      <c r="BJ19" s="22"/>
      <c r="BK19" s="22"/>
      <c r="BL19" s="22"/>
      <c r="BM19" s="22"/>
      <c r="BN19" s="22"/>
    </row>
    <row r="20" spans="6:66" x14ac:dyDescent="0.25">
      <c r="F20" s="21"/>
      <c r="G20" s="8">
        <v>11</v>
      </c>
      <c r="H20" s="9" t="s">
        <v>12</v>
      </c>
      <c r="I20" s="10">
        <v>1011</v>
      </c>
      <c r="J20" s="47">
        <f t="shared" si="10"/>
        <v>4</v>
      </c>
      <c r="K20" s="10" t="s">
        <v>38</v>
      </c>
      <c r="L20" s="10" t="s">
        <v>38</v>
      </c>
      <c r="M20" s="10" t="s">
        <v>38</v>
      </c>
      <c r="N20" s="10" t="s">
        <v>38</v>
      </c>
      <c r="O20" s="10" t="s">
        <v>38</v>
      </c>
      <c r="P20" s="10" t="s">
        <v>38</v>
      </c>
      <c r="Q20" s="44" t="str">
        <f t="shared" si="2"/>
        <v>WO</v>
      </c>
      <c r="R20" s="16" t="s">
        <v>38</v>
      </c>
      <c r="S20" s="10" t="s">
        <v>38</v>
      </c>
      <c r="T20" s="10" t="s">
        <v>38</v>
      </c>
      <c r="U20" s="10" t="s">
        <v>40</v>
      </c>
      <c r="V20" s="10" t="s">
        <v>38</v>
      </c>
      <c r="W20" s="16" t="s">
        <v>38</v>
      </c>
      <c r="X20" s="44" t="str">
        <f t="shared" si="2"/>
        <v>WO</v>
      </c>
      <c r="Y20" s="16" t="s">
        <v>38</v>
      </c>
      <c r="Z20" s="10" t="s">
        <v>38</v>
      </c>
      <c r="AA20" s="10" t="s">
        <v>38</v>
      </c>
      <c r="AB20" s="10" t="s">
        <v>40</v>
      </c>
      <c r="AC20" s="10" t="s">
        <v>38</v>
      </c>
      <c r="AD20" s="16" t="s">
        <v>38</v>
      </c>
      <c r="AE20" s="44" t="str">
        <f t="shared" ref="AE20:AL20" si="11">IF(AE$8="SUN","WO","")</f>
        <v>WO</v>
      </c>
      <c r="AF20" s="16" t="s">
        <v>38</v>
      </c>
      <c r="AG20" s="10" t="s">
        <v>38</v>
      </c>
      <c r="AH20" s="10" t="s">
        <v>38</v>
      </c>
      <c r="AI20" s="10" t="s">
        <v>40</v>
      </c>
      <c r="AJ20" s="10" t="s">
        <v>38</v>
      </c>
      <c r="AK20" s="16" t="s">
        <v>38</v>
      </c>
      <c r="AL20" s="44" t="str">
        <f t="shared" si="11"/>
        <v>WO</v>
      </c>
      <c r="AM20" s="16" t="s">
        <v>38</v>
      </c>
      <c r="AN20" s="60" t="s">
        <v>38</v>
      </c>
      <c r="AO20" s="30"/>
      <c r="AP20" s="21"/>
      <c r="AQ20" s="24"/>
      <c r="AR20" s="10">
        <v>11</v>
      </c>
      <c r="AS20" s="9" t="s">
        <v>12</v>
      </c>
      <c r="AT20" s="9" t="str">
        <f t="shared" si="4"/>
        <v>September</v>
      </c>
      <c r="AU20" s="10">
        <v>1011</v>
      </c>
      <c r="AV20" s="9">
        <f t="shared" si="5"/>
        <v>23</v>
      </c>
      <c r="AW20" s="16">
        <f t="shared" si="6"/>
        <v>0</v>
      </c>
      <c r="AX20" s="16">
        <f t="shared" si="7"/>
        <v>3</v>
      </c>
      <c r="AY20" s="16">
        <f t="shared" si="8"/>
        <v>4</v>
      </c>
      <c r="AZ20" s="16">
        <f t="shared" si="9"/>
        <v>30</v>
      </c>
      <c r="BA20" s="16">
        <f>SepReport[[#This Row],[Days]]-SepReport[[#This Row],[Absent]]</f>
        <v>30</v>
      </c>
      <c r="BB20" s="19">
        <v>13000</v>
      </c>
      <c r="BC20" s="20">
        <f>SepReport[[#This Row],[Salary ]]/SepReport[[#This Row],[Days]]</f>
        <v>433.33333333333331</v>
      </c>
      <c r="BD20" s="20">
        <f>SepReport[[#This Row],[Per Day Salary ]]*SepReport[[#This Row],[Absent]]</f>
        <v>0</v>
      </c>
      <c r="BE20" s="20">
        <f>SepReport[[#This Row],[Salary ]]-SepReport[[#This Row],[Deduction]]</f>
        <v>13000</v>
      </c>
      <c r="BF20" s="20"/>
      <c r="BG20" s="24"/>
      <c r="BH20" s="22"/>
      <c r="BI20" s="22"/>
      <c r="BJ20" s="22"/>
      <c r="BK20" s="22"/>
      <c r="BL20" s="22"/>
      <c r="BM20" s="22"/>
      <c r="BN20" s="22"/>
    </row>
    <row r="21" spans="6:66" x14ac:dyDescent="0.25">
      <c r="F21" s="21"/>
      <c r="G21" s="8">
        <v>12</v>
      </c>
      <c r="H21" s="10" t="s">
        <v>13</v>
      </c>
      <c r="I21" s="10">
        <v>1012</v>
      </c>
      <c r="J21" s="47">
        <f t="shared" si="10"/>
        <v>4</v>
      </c>
      <c r="K21" s="10" t="s">
        <v>38</v>
      </c>
      <c r="L21" s="10" t="s">
        <v>38</v>
      </c>
      <c r="M21" s="10" t="s">
        <v>38</v>
      </c>
      <c r="N21" s="10" t="s">
        <v>38</v>
      </c>
      <c r="O21" s="10" t="s">
        <v>38</v>
      </c>
      <c r="P21" s="10" t="s">
        <v>38</v>
      </c>
      <c r="Q21" s="44" t="str">
        <f t="shared" si="3"/>
        <v>WO</v>
      </c>
      <c r="R21" s="16" t="s">
        <v>38</v>
      </c>
      <c r="S21" s="10" t="s">
        <v>38</v>
      </c>
      <c r="T21" s="10" t="s">
        <v>38</v>
      </c>
      <c r="U21" s="10" t="s">
        <v>38</v>
      </c>
      <c r="V21" s="10" t="s">
        <v>38</v>
      </c>
      <c r="W21" s="16" t="s">
        <v>38</v>
      </c>
      <c r="X21" s="44" t="str">
        <f t="shared" si="3"/>
        <v>WO</v>
      </c>
      <c r="Y21" s="16" t="s">
        <v>38</v>
      </c>
      <c r="Z21" s="10" t="s">
        <v>38</v>
      </c>
      <c r="AA21" s="10" t="s">
        <v>38</v>
      </c>
      <c r="AB21" s="10" t="s">
        <v>38</v>
      </c>
      <c r="AC21" s="10" t="s">
        <v>38</v>
      </c>
      <c r="AD21" s="16" t="s">
        <v>38</v>
      </c>
      <c r="AE21" s="44" t="str">
        <f t="shared" ref="AE21:AL29" si="12">IF(AE$8="SUN","WO","")</f>
        <v>WO</v>
      </c>
      <c r="AF21" s="16" t="s">
        <v>38</v>
      </c>
      <c r="AG21" s="10" t="s">
        <v>38</v>
      </c>
      <c r="AH21" s="10" t="s">
        <v>38</v>
      </c>
      <c r="AI21" s="10" t="s">
        <v>38</v>
      </c>
      <c r="AJ21" s="10" t="s">
        <v>38</v>
      </c>
      <c r="AK21" s="16" t="s">
        <v>38</v>
      </c>
      <c r="AL21" s="44" t="str">
        <f t="shared" si="12"/>
        <v>WO</v>
      </c>
      <c r="AM21" s="16" t="s">
        <v>38</v>
      </c>
      <c r="AN21" s="60" t="s">
        <v>38</v>
      </c>
      <c r="AO21" s="30"/>
      <c r="AP21" s="21"/>
      <c r="AQ21" s="24"/>
      <c r="AR21" s="10">
        <v>12</v>
      </c>
      <c r="AS21" s="10" t="s">
        <v>13</v>
      </c>
      <c r="AT21" s="10" t="str">
        <f t="shared" si="4"/>
        <v>September</v>
      </c>
      <c r="AU21" s="10">
        <v>1012</v>
      </c>
      <c r="AV21" s="9">
        <f t="shared" si="5"/>
        <v>26</v>
      </c>
      <c r="AW21" s="16">
        <f t="shared" si="6"/>
        <v>0</v>
      </c>
      <c r="AX21" s="16">
        <f t="shared" si="7"/>
        <v>0</v>
      </c>
      <c r="AY21" s="16">
        <f t="shared" si="8"/>
        <v>4</v>
      </c>
      <c r="AZ21" s="16">
        <f t="shared" si="9"/>
        <v>30</v>
      </c>
      <c r="BA21" s="16">
        <f>SepReport[[#This Row],[Days]]-SepReport[[#This Row],[Absent]]</f>
        <v>30</v>
      </c>
      <c r="BB21" s="19">
        <v>22000</v>
      </c>
      <c r="BC21" s="20">
        <f>SepReport[[#This Row],[Salary ]]/SepReport[[#This Row],[Days]]</f>
        <v>733.33333333333337</v>
      </c>
      <c r="BD21" s="20">
        <f>SepReport[[#This Row],[Per Day Salary ]]*SepReport[[#This Row],[Absent]]</f>
        <v>0</v>
      </c>
      <c r="BE21" s="20">
        <f>SepReport[[#This Row],[Salary ]]-SepReport[[#This Row],[Deduction]]</f>
        <v>22000</v>
      </c>
      <c r="BF21" s="20"/>
      <c r="BG21" s="24"/>
      <c r="BH21" s="22"/>
      <c r="BI21" s="22"/>
      <c r="BJ21" s="22"/>
      <c r="BK21" s="22"/>
      <c r="BL21" s="22"/>
      <c r="BM21" s="22"/>
      <c r="BN21" s="22"/>
    </row>
    <row r="22" spans="6:66" x14ac:dyDescent="0.25">
      <c r="F22" s="21"/>
      <c r="G22" s="8">
        <v>13</v>
      </c>
      <c r="H22" s="10" t="s">
        <v>14</v>
      </c>
      <c r="I22" s="10">
        <v>1013</v>
      </c>
      <c r="J22" s="47">
        <f t="shared" si="10"/>
        <v>4</v>
      </c>
      <c r="K22" s="10" t="s">
        <v>38</v>
      </c>
      <c r="L22" s="10" t="s">
        <v>38</v>
      </c>
      <c r="M22" s="10" t="s">
        <v>38</v>
      </c>
      <c r="N22" s="10" t="s">
        <v>38</v>
      </c>
      <c r="O22" s="10" t="s">
        <v>38</v>
      </c>
      <c r="P22" s="10" t="s">
        <v>38</v>
      </c>
      <c r="Q22" s="44" t="str">
        <f t="shared" si="3"/>
        <v>WO</v>
      </c>
      <c r="R22" s="16" t="s">
        <v>40</v>
      </c>
      <c r="S22" s="10" t="s">
        <v>38</v>
      </c>
      <c r="T22" s="10" t="s">
        <v>38</v>
      </c>
      <c r="U22" s="10" t="s">
        <v>38</v>
      </c>
      <c r="V22" s="10" t="s">
        <v>38</v>
      </c>
      <c r="W22" s="16" t="s">
        <v>38</v>
      </c>
      <c r="X22" s="44" t="str">
        <f t="shared" si="3"/>
        <v>WO</v>
      </c>
      <c r="Y22" s="16" t="s">
        <v>40</v>
      </c>
      <c r="Z22" s="10" t="s">
        <v>38</v>
      </c>
      <c r="AA22" s="10" t="s">
        <v>38</v>
      </c>
      <c r="AB22" s="10" t="s">
        <v>38</v>
      </c>
      <c r="AC22" s="10" t="s">
        <v>38</v>
      </c>
      <c r="AD22" s="16" t="s">
        <v>38</v>
      </c>
      <c r="AE22" s="44" t="str">
        <f t="shared" si="12"/>
        <v>WO</v>
      </c>
      <c r="AF22" s="16" t="s">
        <v>40</v>
      </c>
      <c r="AG22" s="10" t="s">
        <v>38</v>
      </c>
      <c r="AH22" s="10" t="s">
        <v>38</v>
      </c>
      <c r="AI22" s="10" t="s">
        <v>38</v>
      </c>
      <c r="AJ22" s="10" t="s">
        <v>38</v>
      </c>
      <c r="AK22" s="16" t="s">
        <v>38</v>
      </c>
      <c r="AL22" s="44" t="str">
        <f t="shared" si="12"/>
        <v>WO</v>
      </c>
      <c r="AM22" s="16" t="s">
        <v>38</v>
      </c>
      <c r="AN22" s="60" t="s">
        <v>38</v>
      </c>
      <c r="AO22" s="30"/>
      <c r="AP22" s="21"/>
      <c r="AQ22" s="24"/>
      <c r="AR22" s="10">
        <v>13</v>
      </c>
      <c r="AS22" s="10" t="s">
        <v>14</v>
      </c>
      <c r="AT22" s="10" t="str">
        <f t="shared" si="4"/>
        <v>September</v>
      </c>
      <c r="AU22" s="10">
        <v>1013</v>
      </c>
      <c r="AV22" s="9">
        <f t="shared" si="5"/>
        <v>23</v>
      </c>
      <c r="AW22" s="16">
        <f t="shared" si="6"/>
        <v>0</v>
      </c>
      <c r="AX22" s="16">
        <f t="shared" si="7"/>
        <v>3</v>
      </c>
      <c r="AY22" s="16">
        <f t="shared" si="8"/>
        <v>4</v>
      </c>
      <c r="AZ22" s="16">
        <f t="shared" si="9"/>
        <v>30</v>
      </c>
      <c r="BA22" s="16">
        <f>SepReport[[#This Row],[Days]]-SepReport[[#This Row],[Absent]]</f>
        <v>30</v>
      </c>
      <c r="BB22" s="19">
        <v>35000</v>
      </c>
      <c r="BC22" s="20">
        <f>SepReport[[#This Row],[Salary ]]/SepReport[[#This Row],[Days]]</f>
        <v>1166.6666666666667</v>
      </c>
      <c r="BD22" s="20">
        <f>SepReport[[#This Row],[Per Day Salary ]]*SepReport[[#This Row],[Absent]]</f>
        <v>0</v>
      </c>
      <c r="BE22" s="20">
        <f>SepReport[[#This Row],[Salary ]]-SepReport[[#This Row],[Deduction]]</f>
        <v>35000</v>
      </c>
      <c r="BF22" s="20"/>
      <c r="BG22" s="24"/>
      <c r="BH22" s="22"/>
      <c r="BI22" s="22"/>
      <c r="BJ22" s="22"/>
      <c r="BK22" s="22"/>
      <c r="BL22" s="22"/>
      <c r="BM22" s="22"/>
      <c r="BN22" s="22"/>
    </row>
    <row r="23" spans="6:66" x14ac:dyDescent="0.25">
      <c r="F23" s="21"/>
      <c r="G23" s="8">
        <v>14</v>
      </c>
      <c r="H23" s="10" t="s">
        <v>15</v>
      </c>
      <c r="I23" s="10">
        <v>1014</v>
      </c>
      <c r="J23" s="47">
        <f t="shared" si="10"/>
        <v>4</v>
      </c>
      <c r="K23" s="10" t="s">
        <v>40</v>
      </c>
      <c r="L23" s="10" t="s">
        <v>38</v>
      </c>
      <c r="M23" s="10" t="s">
        <v>38</v>
      </c>
      <c r="N23" s="10" t="s">
        <v>39</v>
      </c>
      <c r="O23" s="10" t="s">
        <v>38</v>
      </c>
      <c r="P23" s="10" t="s">
        <v>38</v>
      </c>
      <c r="Q23" s="44" t="str">
        <f t="shared" si="3"/>
        <v>WO</v>
      </c>
      <c r="R23" s="16" t="s">
        <v>38</v>
      </c>
      <c r="S23" s="10" t="s">
        <v>38</v>
      </c>
      <c r="T23" s="10" t="s">
        <v>38</v>
      </c>
      <c r="U23" s="10" t="s">
        <v>38</v>
      </c>
      <c r="V23" s="10" t="s">
        <v>38</v>
      </c>
      <c r="W23" s="16" t="s">
        <v>38</v>
      </c>
      <c r="X23" s="44" t="str">
        <f t="shared" si="3"/>
        <v>WO</v>
      </c>
      <c r="Y23" s="16" t="s">
        <v>38</v>
      </c>
      <c r="Z23" s="10" t="s">
        <v>38</v>
      </c>
      <c r="AA23" s="10" t="s">
        <v>38</v>
      </c>
      <c r="AB23" s="10" t="s">
        <v>38</v>
      </c>
      <c r="AC23" s="10" t="s">
        <v>38</v>
      </c>
      <c r="AD23" s="16" t="s">
        <v>38</v>
      </c>
      <c r="AE23" s="44" t="str">
        <f t="shared" si="12"/>
        <v>WO</v>
      </c>
      <c r="AF23" s="16" t="s">
        <v>38</v>
      </c>
      <c r="AG23" s="10" t="s">
        <v>38</v>
      </c>
      <c r="AH23" s="10" t="s">
        <v>38</v>
      </c>
      <c r="AI23" s="10" t="s">
        <v>38</v>
      </c>
      <c r="AJ23" s="10" t="s">
        <v>38</v>
      </c>
      <c r="AK23" s="16" t="s">
        <v>38</v>
      </c>
      <c r="AL23" s="44" t="str">
        <f t="shared" si="12"/>
        <v>WO</v>
      </c>
      <c r="AM23" s="16" t="s">
        <v>38</v>
      </c>
      <c r="AN23" s="60" t="s">
        <v>38</v>
      </c>
      <c r="AO23" s="30"/>
      <c r="AP23" s="21"/>
      <c r="AQ23" s="24"/>
      <c r="AR23" s="10">
        <v>14</v>
      </c>
      <c r="AS23" s="10" t="s">
        <v>15</v>
      </c>
      <c r="AT23" s="10" t="str">
        <f t="shared" si="4"/>
        <v>September</v>
      </c>
      <c r="AU23" s="10">
        <v>1014</v>
      </c>
      <c r="AV23" s="9">
        <f t="shared" si="5"/>
        <v>24</v>
      </c>
      <c r="AW23" s="16">
        <f t="shared" si="6"/>
        <v>1</v>
      </c>
      <c r="AX23" s="16">
        <f t="shared" si="7"/>
        <v>1</v>
      </c>
      <c r="AY23" s="16">
        <f t="shared" si="8"/>
        <v>4</v>
      </c>
      <c r="AZ23" s="16">
        <f t="shared" si="9"/>
        <v>30</v>
      </c>
      <c r="BA23" s="16">
        <f>SepReport[[#This Row],[Days]]-SepReport[[#This Row],[Absent]]</f>
        <v>29</v>
      </c>
      <c r="BB23" s="19">
        <v>14000</v>
      </c>
      <c r="BC23" s="20">
        <f>SepReport[[#This Row],[Salary ]]/SepReport[[#This Row],[Days]]</f>
        <v>466.66666666666669</v>
      </c>
      <c r="BD23" s="20">
        <f>SepReport[[#This Row],[Per Day Salary ]]*SepReport[[#This Row],[Absent]]</f>
        <v>466.66666666666669</v>
      </c>
      <c r="BE23" s="20">
        <f>SepReport[[#This Row],[Salary ]]-SepReport[[#This Row],[Deduction]]</f>
        <v>13533.333333333334</v>
      </c>
      <c r="BF23" s="20"/>
      <c r="BG23" s="24"/>
      <c r="BH23" s="22"/>
      <c r="BI23" s="22"/>
      <c r="BJ23" s="22"/>
      <c r="BK23" s="22"/>
      <c r="BL23" s="22"/>
      <c r="BM23" s="22"/>
      <c r="BN23" s="22"/>
    </row>
    <row r="24" spans="6:66" x14ac:dyDescent="0.25">
      <c r="F24" s="21"/>
      <c r="G24" s="8">
        <v>15</v>
      </c>
      <c r="H24" s="10" t="s">
        <v>16</v>
      </c>
      <c r="I24" s="10">
        <v>1015</v>
      </c>
      <c r="J24" s="47">
        <f t="shared" si="10"/>
        <v>4</v>
      </c>
      <c r="K24" s="10" t="s">
        <v>38</v>
      </c>
      <c r="L24" s="10" t="s">
        <v>38</v>
      </c>
      <c r="M24" s="10" t="s">
        <v>38</v>
      </c>
      <c r="N24" s="10" t="s">
        <v>38</v>
      </c>
      <c r="O24" s="10" t="s">
        <v>38</v>
      </c>
      <c r="P24" s="10" t="s">
        <v>38</v>
      </c>
      <c r="Q24" s="44" t="str">
        <f t="shared" si="3"/>
        <v>WO</v>
      </c>
      <c r="R24" s="16" t="s">
        <v>38</v>
      </c>
      <c r="S24" s="10" t="s">
        <v>39</v>
      </c>
      <c r="T24" s="10" t="s">
        <v>38</v>
      </c>
      <c r="U24" s="10" t="s">
        <v>38</v>
      </c>
      <c r="V24" s="10" t="s">
        <v>38</v>
      </c>
      <c r="W24" s="16" t="s">
        <v>40</v>
      </c>
      <c r="X24" s="44" t="str">
        <f t="shared" si="3"/>
        <v>WO</v>
      </c>
      <c r="Y24" s="16" t="s">
        <v>38</v>
      </c>
      <c r="Z24" s="10" t="s">
        <v>39</v>
      </c>
      <c r="AA24" s="10" t="s">
        <v>38</v>
      </c>
      <c r="AB24" s="10" t="s">
        <v>38</v>
      </c>
      <c r="AC24" s="10" t="s">
        <v>38</v>
      </c>
      <c r="AD24" s="16" t="s">
        <v>40</v>
      </c>
      <c r="AE24" s="44" t="str">
        <f t="shared" si="12"/>
        <v>WO</v>
      </c>
      <c r="AF24" s="16" t="s">
        <v>38</v>
      </c>
      <c r="AG24" s="10" t="s">
        <v>39</v>
      </c>
      <c r="AH24" s="10" t="s">
        <v>38</v>
      </c>
      <c r="AI24" s="10" t="s">
        <v>38</v>
      </c>
      <c r="AJ24" s="10" t="s">
        <v>38</v>
      </c>
      <c r="AK24" s="16" t="s">
        <v>40</v>
      </c>
      <c r="AL24" s="44" t="str">
        <f t="shared" si="12"/>
        <v>WO</v>
      </c>
      <c r="AM24" s="16" t="s">
        <v>38</v>
      </c>
      <c r="AN24" s="60" t="s">
        <v>38</v>
      </c>
      <c r="AO24" s="30"/>
      <c r="AP24" s="21"/>
      <c r="AQ24" s="24"/>
      <c r="AR24" s="10">
        <v>15</v>
      </c>
      <c r="AS24" s="10" t="s">
        <v>16</v>
      </c>
      <c r="AT24" s="10" t="str">
        <f t="shared" si="4"/>
        <v>September</v>
      </c>
      <c r="AU24" s="10">
        <v>1015</v>
      </c>
      <c r="AV24" s="9">
        <f t="shared" si="5"/>
        <v>20</v>
      </c>
      <c r="AW24" s="16">
        <f t="shared" si="6"/>
        <v>3</v>
      </c>
      <c r="AX24" s="16">
        <f t="shared" si="7"/>
        <v>3</v>
      </c>
      <c r="AY24" s="16">
        <f t="shared" si="8"/>
        <v>4</v>
      </c>
      <c r="AZ24" s="16">
        <f t="shared" si="9"/>
        <v>30</v>
      </c>
      <c r="BA24" s="16">
        <f>SepReport[[#This Row],[Days]]-SepReport[[#This Row],[Absent]]</f>
        <v>27</v>
      </c>
      <c r="BB24" s="19">
        <v>72000</v>
      </c>
      <c r="BC24" s="20">
        <f>SepReport[[#This Row],[Salary ]]/SepReport[[#This Row],[Days]]</f>
        <v>2400</v>
      </c>
      <c r="BD24" s="20">
        <f>SepReport[[#This Row],[Per Day Salary ]]*SepReport[[#This Row],[Absent]]</f>
        <v>7200</v>
      </c>
      <c r="BE24" s="20">
        <f>SepReport[[#This Row],[Salary ]]-SepReport[[#This Row],[Deduction]]</f>
        <v>64800</v>
      </c>
      <c r="BF24" s="20"/>
      <c r="BG24" s="24"/>
      <c r="BH24" s="22"/>
      <c r="BI24" s="22"/>
      <c r="BJ24" s="22"/>
      <c r="BK24" s="22"/>
      <c r="BL24" s="22"/>
      <c r="BM24" s="22"/>
      <c r="BN24" s="22"/>
    </row>
    <row r="25" spans="6:66" x14ac:dyDescent="0.25">
      <c r="F25" s="21"/>
      <c r="G25" s="8">
        <v>16</v>
      </c>
      <c r="H25" s="10" t="s">
        <v>17</v>
      </c>
      <c r="I25" s="10">
        <v>1016</v>
      </c>
      <c r="J25" s="47">
        <f t="shared" si="10"/>
        <v>4</v>
      </c>
      <c r="K25" s="10" t="s">
        <v>38</v>
      </c>
      <c r="L25" s="10" t="s">
        <v>38</v>
      </c>
      <c r="M25" s="10" t="s">
        <v>38</v>
      </c>
      <c r="N25" s="10" t="s">
        <v>38</v>
      </c>
      <c r="O25" s="10" t="s">
        <v>38</v>
      </c>
      <c r="P25" s="10" t="s">
        <v>38</v>
      </c>
      <c r="Q25" s="44" t="str">
        <f t="shared" si="3"/>
        <v>WO</v>
      </c>
      <c r="R25" s="16" t="s">
        <v>38</v>
      </c>
      <c r="S25" s="10" t="s">
        <v>38</v>
      </c>
      <c r="T25" s="10" t="s">
        <v>38</v>
      </c>
      <c r="U25" s="10" t="s">
        <v>38</v>
      </c>
      <c r="V25" s="10" t="s">
        <v>38</v>
      </c>
      <c r="W25" s="16" t="s">
        <v>38</v>
      </c>
      <c r="X25" s="44" t="str">
        <f t="shared" si="3"/>
        <v>WO</v>
      </c>
      <c r="Y25" s="16" t="s">
        <v>38</v>
      </c>
      <c r="Z25" s="10" t="s">
        <v>38</v>
      </c>
      <c r="AA25" s="10" t="s">
        <v>38</v>
      </c>
      <c r="AB25" s="10" t="s">
        <v>38</v>
      </c>
      <c r="AC25" s="10" t="s">
        <v>38</v>
      </c>
      <c r="AD25" s="16" t="s">
        <v>38</v>
      </c>
      <c r="AE25" s="44" t="str">
        <f t="shared" si="12"/>
        <v>WO</v>
      </c>
      <c r="AF25" s="16" t="s">
        <v>38</v>
      </c>
      <c r="AG25" s="10" t="s">
        <v>38</v>
      </c>
      <c r="AH25" s="10" t="s">
        <v>38</v>
      </c>
      <c r="AI25" s="10" t="s">
        <v>38</v>
      </c>
      <c r="AJ25" s="10" t="s">
        <v>38</v>
      </c>
      <c r="AK25" s="16" t="s">
        <v>38</v>
      </c>
      <c r="AL25" s="44" t="str">
        <f t="shared" si="12"/>
        <v>WO</v>
      </c>
      <c r="AM25" s="16" t="s">
        <v>38</v>
      </c>
      <c r="AN25" s="60" t="s">
        <v>38</v>
      </c>
      <c r="AO25" s="30"/>
      <c r="AP25" s="21"/>
      <c r="AQ25" s="24"/>
      <c r="AR25" s="10">
        <v>16</v>
      </c>
      <c r="AS25" s="10" t="s">
        <v>17</v>
      </c>
      <c r="AT25" s="10" t="str">
        <f t="shared" si="4"/>
        <v>September</v>
      </c>
      <c r="AU25" s="10">
        <v>1016</v>
      </c>
      <c r="AV25" s="9">
        <f t="shared" si="5"/>
        <v>26</v>
      </c>
      <c r="AW25" s="16">
        <f t="shared" si="6"/>
        <v>0</v>
      </c>
      <c r="AX25" s="16">
        <f t="shared" si="7"/>
        <v>0</v>
      </c>
      <c r="AY25" s="16">
        <f t="shared" si="8"/>
        <v>4</v>
      </c>
      <c r="AZ25" s="16">
        <f t="shared" si="9"/>
        <v>30</v>
      </c>
      <c r="BA25" s="16">
        <f>SepReport[[#This Row],[Days]]-SepReport[[#This Row],[Absent]]</f>
        <v>30</v>
      </c>
      <c r="BB25" s="19">
        <v>79000</v>
      </c>
      <c r="BC25" s="20">
        <f>SepReport[[#This Row],[Salary ]]/SepReport[[#This Row],[Days]]</f>
        <v>2633.3333333333335</v>
      </c>
      <c r="BD25" s="20">
        <f>SepReport[[#This Row],[Per Day Salary ]]*SepReport[[#This Row],[Absent]]</f>
        <v>0</v>
      </c>
      <c r="BE25" s="20">
        <f>SepReport[[#This Row],[Salary ]]-SepReport[[#This Row],[Deduction]]</f>
        <v>79000</v>
      </c>
      <c r="BF25" s="20"/>
      <c r="BG25" s="24"/>
      <c r="BH25" s="22"/>
      <c r="BI25" s="22"/>
      <c r="BJ25" s="22"/>
      <c r="BK25" s="22"/>
      <c r="BL25" s="22"/>
      <c r="BM25" s="22"/>
      <c r="BN25" s="22"/>
    </row>
    <row r="26" spans="6:66" x14ac:dyDescent="0.25">
      <c r="F26" s="21"/>
      <c r="G26" s="8">
        <v>17</v>
      </c>
      <c r="H26" s="10" t="s">
        <v>18</v>
      </c>
      <c r="I26" s="10">
        <v>1017</v>
      </c>
      <c r="J26" s="47">
        <f t="shared" si="10"/>
        <v>4</v>
      </c>
      <c r="K26" s="10" t="s">
        <v>38</v>
      </c>
      <c r="L26" s="10" t="s">
        <v>38</v>
      </c>
      <c r="M26" s="10" t="s">
        <v>38</v>
      </c>
      <c r="N26" s="10" t="s">
        <v>38</v>
      </c>
      <c r="O26" s="10" t="s">
        <v>38</v>
      </c>
      <c r="P26" s="10" t="s">
        <v>38</v>
      </c>
      <c r="Q26" s="44" t="str">
        <f t="shared" si="3"/>
        <v>WO</v>
      </c>
      <c r="R26" s="16" t="s">
        <v>38</v>
      </c>
      <c r="S26" s="10" t="s">
        <v>38</v>
      </c>
      <c r="T26" s="10" t="s">
        <v>38</v>
      </c>
      <c r="U26" s="10" t="s">
        <v>38</v>
      </c>
      <c r="V26" s="10" t="s">
        <v>38</v>
      </c>
      <c r="W26" s="16" t="s">
        <v>38</v>
      </c>
      <c r="X26" s="44" t="str">
        <f t="shared" si="3"/>
        <v>WO</v>
      </c>
      <c r="Y26" s="16" t="s">
        <v>38</v>
      </c>
      <c r="Z26" s="10" t="s">
        <v>38</v>
      </c>
      <c r="AA26" s="10" t="s">
        <v>38</v>
      </c>
      <c r="AB26" s="10" t="s">
        <v>38</v>
      </c>
      <c r="AC26" s="10" t="s">
        <v>38</v>
      </c>
      <c r="AD26" s="16" t="s">
        <v>38</v>
      </c>
      <c r="AE26" s="44" t="str">
        <f t="shared" si="12"/>
        <v>WO</v>
      </c>
      <c r="AF26" s="16" t="s">
        <v>38</v>
      </c>
      <c r="AG26" s="10" t="s">
        <v>38</v>
      </c>
      <c r="AH26" s="10" t="s">
        <v>38</v>
      </c>
      <c r="AI26" s="10" t="s">
        <v>38</v>
      </c>
      <c r="AJ26" s="10" t="s">
        <v>38</v>
      </c>
      <c r="AK26" s="16" t="s">
        <v>38</v>
      </c>
      <c r="AL26" s="44" t="str">
        <f>IF(AL$8="SUN","WO","")</f>
        <v>WO</v>
      </c>
      <c r="AM26" s="16" t="s">
        <v>39</v>
      </c>
      <c r="AN26" s="60" t="s">
        <v>38</v>
      </c>
      <c r="AO26" s="30"/>
      <c r="AP26" s="21"/>
      <c r="AQ26" s="24"/>
      <c r="AR26" s="10">
        <v>17</v>
      </c>
      <c r="AS26" s="10" t="s">
        <v>18</v>
      </c>
      <c r="AT26" s="10" t="str">
        <f t="shared" si="4"/>
        <v>September</v>
      </c>
      <c r="AU26" s="10">
        <v>1017</v>
      </c>
      <c r="AV26" s="9">
        <f t="shared" si="5"/>
        <v>25</v>
      </c>
      <c r="AW26" s="16">
        <f t="shared" si="6"/>
        <v>1</v>
      </c>
      <c r="AX26" s="16">
        <f t="shared" si="7"/>
        <v>0</v>
      </c>
      <c r="AY26" s="16">
        <f t="shared" si="8"/>
        <v>4</v>
      </c>
      <c r="AZ26" s="16">
        <f t="shared" si="9"/>
        <v>30</v>
      </c>
      <c r="BA26" s="16">
        <f>SepReport[[#This Row],[Days]]-SepReport[[#This Row],[Absent]]</f>
        <v>29</v>
      </c>
      <c r="BB26" s="19">
        <v>33000</v>
      </c>
      <c r="BC26" s="20">
        <f>SepReport[[#This Row],[Salary ]]/SepReport[[#This Row],[Days]]</f>
        <v>1100</v>
      </c>
      <c r="BD26" s="20">
        <f>SepReport[[#This Row],[Per Day Salary ]]*SepReport[[#This Row],[Absent]]</f>
        <v>1100</v>
      </c>
      <c r="BE26" s="20">
        <f>SepReport[[#This Row],[Salary ]]-SepReport[[#This Row],[Deduction]]</f>
        <v>31900</v>
      </c>
      <c r="BF26" s="20"/>
      <c r="BG26" s="24"/>
      <c r="BH26" s="22"/>
      <c r="BI26" s="22"/>
      <c r="BJ26" s="22"/>
      <c r="BK26" s="22"/>
      <c r="BL26" s="22"/>
      <c r="BM26" s="22"/>
      <c r="BN26" s="22"/>
    </row>
    <row r="27" spans="6:66" x14ac:dyDescent="0.25">
      <c r="F27" s="21"/>
      <c r="G27" s="8">
        <v>18</v>
      </c>
      <c r="H27" s="10" t="s">
        <v>41</v>
      </c>
      <c r="I27" s="10">
        <v>1018</v>
      </c>
      <c r="J27" s="47">
        <f t="shared" si="10"/>
        <v>4</v>
      </c>
      <c r="K27" s="10" t="s">
        <v>38</v>
      </c>
      <c r="L27" s="10" t="s">
        <v>38</v>
      </c>
      <c r="M27" s="10" t="s">
        <v>40</v>
      </c>
      <c r="N27" s="10" t="s">
        <v>38</v>
      </c>
      <c r="O27" s="10" t="s">
        <v>38</v>
      </c>
      <c r="P27" s="10" t="s">
        <v>40</v>
      </c>
      <c r="Q27" s="44" t="str">
        <f t="shared" si="3"/>
        <v>WO</v>
      </c>
      <c r="R27" s="16" t="s">
        <v>38</v>
      </c>
      <c r="S27" s="10" t="s">
        <v>38</v>
      </c>
      <c r="T27" s="10" t="s">
        <v>38</v>
      </c>
      <c r="U27" s="10" t="s">
        <v>38</v>
      </c>
      <c r="V27" s="10" t="s">
        <v>38</v>
      </c>
      <c r="W27" s="16" t="s">
        <v>38</v>
      </c>
      <c r="X27" s="44" t="str">
        <f t="shared" si="3"/>
        <v>WO</v>
      </c>
      <c r="Y27" s="16" t="s">
        <v>38</v>
      </c>
      <c r="Z27" s="10" t="s">
        <v>38</v>
      </c>
      <c r="AA27" s="10" t="s">
        <v>38</v>
      </c>
      <c r="AB27" s="10" t="s">
        <v>38</v>
      </c>
      <c r="AC27" s="10" t="s">
        <v>38</v>
      </c>
      <c r="AD27" s="16" t="s">
        <v>38</v>
      </c>
      <c r="AE27" s="44" t="str">
        <f t="shared" si="12"/>
        <v>WO</v>
      </c>
      <c r="AF27" s="16" t="s">
        <v>38</v>
      </c>
      <c r="AG27" s="10" t="s">
        <v>38</v>
      </c>
      <c r="AH27" s="10" t="s">
        <v>38</v>
      </c>
      <c r="AI27" s="10" t="s">
        <v>38</v>
      </c>
      <c r="AJ27" s="10" t="s">
        <v>38</v>
      </c>
      <c r="AK27" s="16" t="s">
        <v>38</v>
      </c>
      <c r="AL27" s="44" t="str">
        <f t="shared" si="12"/>
        <v>WO</v>
      </c>
      <c r="AM27" s="16" t="s">
        <v>38</v>
      </c>
      <c r="AN27" s="60" t="s">
        <v>38</v>
      </c>
      <c r="AO27" s="30"/>
      <c r="AP27" s="21"/>
      <c r="AQ27" s="24"/>
      <c r="AR27" s="10">
        <v>18</v>
      </c>
      <c r="AS27" s="10" t="s">
        <v>41</v>
      </c>
      <c r="AT27" s="10" t="str">
        <f t="shared" si="4"/>
        <v>September</v>
      </c>
      <c r="AU27" s="10">
        <v>1018</v>
      </c>
      <c r="AV27" s="9">
        <f t="shared" si="5"/>
        <v>24</v>
      </c>
      <c r="AW27" s="16">
        <f t="shared" si="6"/>
        <v>0</v>
      </c>
      <c r="AX27" s="16">
        <f t="shared" si="7"/>
        <v>2</v>
      </c>
      <c r="AY27" s="16">
        <f t="shared" si="8"/>
        <v>4</v>
      </c>
      <c r="AZ27" s="16">
        <f t="shared" si="9"/>
        <v>30</v>
      </c>
      <c r="BA27" s="16">
        <f>SepReport[[#This Row],[Days]]-SepReport[[#This Row],[Absent]]</f>
        <v>30</v>
      </c>
      <c r="BB27" s="19">
        <v>12000</v>
      </c>
      <c r="BC27" s="20">
        <f>SepReport[[#This Row],[Salary ]]/SepReport[[#This Row],[Days]]</f>
        <v>400</v>
      </c>
      <c r="BD27" s="20">
        <f>SepReport[[#This Row],[Per Day Salary ]]*SepReport[[#This Row],[Absent]]</f>
        <v>0</v>
      </c>
      <c r="BE27" s="20">
        <f>SepReport[[#This Row],[Salary ]]-SepReport[[#This Row],[Deduction]]</f>
        <v>12000</v>
      </c>
      <c r="BF27" s="20"/>
      <c r="BG27" s="24"/>
      <c r="BH27" s="22"/>
      <c r="BI27" s="22"/>
      <c r="BJ27" s="22"/>
      <c r="BK27" s="22"/>
      <c r="BL27" s="22"/>
      <c r="BM27" s="22"/>
      <c r="BN27" s="22"/>
    </row>
    <row r="28" spans="6:66" x14ac:dyDescent="0.25">
      <c r="F28" s="21"/>
      <c r="G28" s="8">
        <v>19</v>
      </c>
      <c r="H28" s="10" t="s">
        <v>19</v>
      </c>
      <c r="I28" s="10">
        <v>1019</v>
      </c>
      <c r="J28" s="47">
        <f t="shared" si="10"/>
        <v>4</v>
      </c>
      <c r="K28" s="10" t="s">
        <v>38</v>
      </c>
      <c r="L28" s="10" t="s">
        <v>38</v>
      </c>
      <c r="M28" s="10" t="s">
        <v>38</v>
      </c>
      <c r="N28" s="10" t="s">
        <v>38</v>
      </c>
      <c r="O28" s="10" t="s">
        <v>40</v>
      </c>
      <c r="P28" s="10" t="s">
        <v>38</v>
      </c>
      <c r="Q28" s="44" t="str">
        <f t="shared" si="3"/>
        <v>WO</v>
      </c>
      <c r="R28" s="16" t="s">
        <v>38</v>
      </c>
      <c r="S28" s="10" t="s">
        <v>38</v>
      </c>
      <c r="T28" s="10" t="s">
        <v>38</v>
      </c>
      <c r="U28" s="10" t="s">
        <v>38</v>
      </c>
      <c r="V28" s="10" t="s">
        <v>38</v>
      </c>
      <c r="W28" s="16" t="s">
        <v>38</v>
      </c>
      <c r="X28" s="44" t="str">
        <f t="shared" si="3"/>
        <v>WO</v>
      </c>
      <c r="Y28" s="16" t="s">
        <v>38</v>
      </c>
      <c r="Z28" s="10" t="s">
        <v>38</v>
      </c>
      <c r="AA28" s="10" t="s">
        <v>38</v>
      </c>
      <c r="AB28" s="10" t="s">
        <v>38</v>
      </c>
      <c r="AC28" s="10" t="s">
        <v>38</v>
      </c>
      <c r="AD28" s="16" t="s">
        <v>38</v>
      </c>
      <c r="AE28" s="44" t="str">
        <f t="shared" si="12"/>
        <v>WO</v>
      </c>
      <c r="AF28" s="16" t="s">
        <v>38</v>
      </c>
      <c r="AG28" s="10" t="s">
        <v>38</v>
      </c>
      <c r="AH28" s="10" t="s">
        <v>38</v>
      </c>
      <c r="AI28" s="10" t="s">
        <v>38</v>
      </c>
      <c r="AJ28" s="10" t="s">
        <v>38</v>
      </c>
      <c r="AK28" s="16" t="s">
        <v>38</v>
      </c>
      <c r="AL28" s="44" t="str">
        <f t="shared" si="12"/>
        <v>WO</v>
      </c>
      <c r="AM28" s="16" t="s">
        <v>38</v>
      </c>
      <c r="AN28" s="60" t="s">
        <v>38</v>
      </c>
      <c r="AO28" s="30"/>
      <c r="AP28" s="21"/>
      <c r="AQ28" s="24"/>
      <c r="AR28" s="10">
        <v>19</v>
      </c>
      <c r="AS28" s="10" t="s">
        <v>19</v>
      </c>
      <c r="AT28" s="10" t="str">
        <f t="shared" si="4"/>
        <v>September</v>
      </c>
      <c r="AU28" s="10">
        <v>1019</v>
      </c>
      <c r="AV28" s="9">
        <f t="shared" si="5"/>
        <v>25</v>
      </c>
      <c r="AW28" s="16">
        <f t="shared" si="6"/>
        <v>0</v>
      </c>
      <c r="AX28" s="16">
        <f t="shared" si="7"/>
        <v>1</v>
      </c>
      <c r="AY28" s="16">
        <f t="shared" si="8"/>
        <v>4</v>
      </c>
      <c r="AZ28" s="16">
        <f t="shared" si="9"/>
        <v>30</v>
      </c>
      <c r="BA28" s="16">
        <f>SepReport[[#This Row],[Days]]-SepReport[[#This Row],[Absent]]</f>
        <v>30</v>
      </c>
      <c r="BB28" s="19">
        <v>19000</v>
      </c>
      <c r="BC28" s="20">
        <f>SepReport[[#This Row],[Salary ]]/SepReport[[#This Row],[Days]]</f>
        <v>633.33333333333337</v>
      </c>
      <c r="BD28" s="20">
        <f>SepReport[[#This Row],[Per Day Salary ]]*SepReport[[#This Row],[Absent]]</f>
        <v>0</v>
      </c>
      <c r="BE28" s="20">
        <f>SepReport[[#This Row],[Salary ]]-SepReport[[#This Row],[Deduction]]</f>
        <v>19000</v>
      </c>
      <c r="BF28" s="20"/>
      <c r="BG28" s="24"/>
      <c r="BH28" s="22"/>
      <c r="BI28" s="22"/>
      <c r="BJ28" s="22"/>
      <c r="BK28" s="22"/>
      <c r="BL28" s="22"/>
      <c r="BM28" s="22"/>
      <c r="BN28" s="22"/>
    </row>
    <row r="29" spans="6:66" ht="16.5" thickBot="1" x14ac:dyDescent="0.3">
      <c r="F29" s="21"/>
      <c r="G29" s="11">
        <v>20</v>
      </c>
      <c r="H29" s="12" t="s">
        <v>24</v>
      </c>
      <c r="I29" s="12">
        <v>1020</v>
      </c>
      <c r="J29" s="48">
        <f t="shared" si="10"/>
        <v>4</v>
      </c>
      <c r="K29" s="55" t="s">
        <v>39</v>
      </c>
      <c r="L29" s="39" t="s">
        <v>38</v>
      </c>
      <c r="M29" s="39" t="s">
        <v>38</v>
      </c>
      <c r="N29" s="39" t="s">
        <v>38</v>
      </c>
      <c r="O29" s="39" t="s">
        <v>38</v>
      </c>
      <c r="P29" s="39" t="s">
        <v>38</v>
      </c>
      <c r="Q29" s="45" t="str">
        <f t="shared" si="3"/>
        <v>WO</v>
      </c>
      <c r="R29" s="34" t="s">
        <v>38</v>
      </c>
      <c r="S29" s="39" t="s">
        <v>38</v>
      </c>
      <c r="T29" s="39" t="s">
        <v>38</v>
      </c>
      <c r="U29" s="39" t="s">
        <v>39</v>
      </c>
      <c r="V29" s="39" t="s">
        <v>38</v>
      </c>
      <c r="W29" s="34" t="s">
        <v>38</v>
      </c>
      <c r="X29" s="45" t="str">
        <f t="shared" si="3"/>
        <v>WO</v>
      </c>
      <c r="Y29" s="34" t="s">
        <v>38</v>
      </c>
      <c r="Z29" s="39" t="s">
        <v>38</v>
      </c>
      <c r="AA29" s="39" t="s">
        <v>38</v>
      </c>
      <c r="AB29" s="39" t="s">
        <v>39</v>
      </c>
      <c r="AC29" s="39" t="s">
        <v>38</v>
      </c>
      <c r="AD29" s="34" t="s">
        <v>38</v>
      </c>
      <c r="AE29" s="45" t="str">
        <f t="shared" si="12"/>
        <v>WO</v>
      </c>
      <c r="AF29" s="34" t="s">
        <v>38</v>
      </c>
      <c r="AG29" s="39" t="s">
        <v>38</v>
      </c>
      <c r="AH29" s="39" t="s">
        <v>38</v>
      </c>
      <c r="AI29" s="39" t="s">
        <v>39</v>
      </c>
      <c r="AJ29" s="39" t="s">
        <v>38</v>
      </c>
      <c r="AK29" s="34" t="s">
        <v>38</v>
      </c>
      <c r="AL29" s="45" t="str">
        <f t="shared" si="12"/>
        <v>WO</v>
      </c>
      <c r="AM29" s="34" t="s">
        <v>38</v>
      </c>
      <c r="AN29" s="61" t="s">
        <v>40</v>
      </c>
      <c r="AO29" s="30"/>
      <c r="AP29" s="21"/>
      <c r="AQ29" s="24"/>
      <c r="AR29" s="10">
        <v>20</v>
      </c>
      <c r="AS29" s="10" t="s">
        <v>24</v>
      </c>
      <c r="AT29" s="10" t="str">
        <f t="shared" si="4"/>
        <v>September</v>
      </c>
      <c r="AU29" s="10">
        <v>1020</v>
      </c>
      <c r="AV29" s="9">
        <f t="shared" si="5"/>
        <v>21</v>
      </c>
      <c r="AW29" s="16">
        <f t="shared" si="6"/>
        <v>4</v>
      </c>
      <c r="AX29" s="16">
        <f t="shared" si="7"/>
        <v>1</v>
      </c>
      <c r="AY29" s="16">
        <f t="shared" si="8"/>
        <v>4</v>
      </c>
      <c r="AZ29" s="16">
        <f t="shared" si="9"/>
        <v>30</v>
      </c>
      <c r="BA29" s="16">
        <f>SepReport[[#This Row],[Days]]-SepReport[[#This Row],[Absent]]</f>
        <v>26</v>
      </c>
      <c r="BB29" s="19">
        <v>17000</v>
      </c>
      <c r="BC29" s="20">
        <f>SepReport[[#This Row],[Salary ]]/SepReport[[#This Row],[Days]]</f>
        <v>566.66666666666663</v>
      </c>
      <c r="BD29" s="20">
        <f>SepReport[[#This Row],[Per Day Salary ]]*SepReport[[#This Row],[Absent]]</f>
        <v>2266.6666666666665</v>
      </c>
      <c r="BE29" s="20">
        <f>SepReport[[#This Row],[Salary ]]-SepReport[[#This Row],[Deduction]]</f>
        <v>14733.333333333334</v>
      </c>
      <c r="BF29" s="20"/>
      <c r="BG29" s="24"/>
      <c r="BH29" s="22"/>
      <c r="BI29" s="22"/>
      <c r="BJ29" s="22"/>
      <c r="BK29" s="22"/>
      <c r="BL29" s="22"/>
      <c r="BM29" s="22"/>
      <c r="BN29" s="22"/>
    </row>
    <row r="30" spans="6:66" x14ac:dyDescent="0.25"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2"/>
      <c r="BI30" s="22"/>
      <c r="BJ30" s="22"/>
      <c r="BK30" s="22"/>
      <c r="BL30" s="22"/>
      <c r="BM30" s="22"/>
      <c r="BN30" s="22"/>
    </row>
    <row r="31" spans="6:66" s="22" customFormat="1" x14ac:dyDescent="0.25"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</row>
    <row r="32" spans="6:66" s="22" customFormat="1" x14ac:dyDescent="0.25"/>
    <row r="33" spans="6:66" x14ac:dyDescent="0.25"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H33" s="22"/>
      <c r="BI33" s="22"/>
      <c r="BJ33" s="22"/>
      <c r="BK33" s="22"/>
      <c r="BL33" s="22"/>
      <c r="BM33" s="22"/>
      <c r="BN33" s="22"/>
    </row>
    <row r="34" spans="6:66" x14ac:dyDescent="0.25"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H34" s="22"/>
      <c r="BI34" s="22"/>
      <c r="BJ34" s="22"/>
      <c r="BK34" s="22"/>
      <c r="BL34" s="22"/>
      <c r="BM34" s="22"/>
      <c r="BN34" s="22"/>
    </row>
    <row r="35" spans="6:66" x14ac:dyDescent="0.25"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H35" s="22"/>
      <c r="BI35" s="22"/>
      <c r="BJ35" s="22"/>
      <c r="BK35" s="22"/>
      <c r="BL35" s="22"/>
      <c r="BM35" s="22"/>
      <c r="BN35" s="22"/>
    </row>
    <row r="36" spans="6:66" x14ac:dyDescent="0.25"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H36" s="22"/>
      <c r="BI36" s="22"/>
      <c r="BJ36" s="22"/>
      <c r="BK36" s="22"/>
      <c r="BL36" s="22"/>
      <c r="BM36" s="22"/>
      <c r="BN36" s="22"/>
    </row>
    <row r="37" spans="6:66" x14ac:dyDescent="0.25"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H37" s="22"/>
      <c r="BI37" s="22"/>
      <c r="BJ37" s="22"/>
      <c r="BK37" s="22"/>
      <c r="BL37" s="22"/>
      <c r="BM37" s="22"/>
      <c r="BN37" s="22"/>
    </row>
    <row r="38" spans="6:66" x14ac:dyDescent="0.25"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H38" s="22"/>
      <c r="BI38" s="22"/>
      <c r="BJ38" s="22"/>
      <c r="BK38" s="22"/>
      <c r="BL38" s="22"/>
      <c r="BM38" s="22"/>
      <c r="BN38" s="22"/>
    </row>
    <row r="39" spans="6:66" x14ac:dyDescent="0.25"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H39" s="22"/>
      <c r="BI39" s="22"/>
      <c r="BJ39" s="22"/>
      <c r="BK39" s="22"/>
      <c r="BL39" s="22"/>
      <c r="BM39" s="22"/>
      <c r="BN39" s="22"/>
    </row>
    <row r="40" spans="6:66" x14ac:dyDescent="0.25"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H40" s="22"/>
      <c r="BI40" s="22"/>
      <c r="BJ40" s="22"/>
      <c r="BK40" s="22"/>
      <c r="BL40" s="22"/>
      <c r="BM40" s="22"/>
      <c r="BN40" s="22"/>
    </row>
    <row r="41" spans="6:66" x14ac:dyDescent="0.25"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H41" s="22"/>
      <c r="BI41" s="22"/>
      <c r="BJ41" s="22"/>
      <c r="BK41" s="22"/>
      <c r="BL41" s="22"/>
      <c r="BM41" s="22"/>
      <c r="BN41" s="22"/>
    </row>
    <row r="42" spans="6:66" x14ac:dyDescent="0.25"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H42" s="22"/>
      <c r="BI42" s="22"/>
      <c r="BJ42" s="22"/>
      <c r="BK42" s="22"/>
      <c r="BL42" s="22"/>
      <c r="BM42" s="22"/>
      <c r="BN42" s="22"/>
    </row>
    <row r="43" spans="6:66" x14ac:dyDescent="0.25"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H43" s="22"/>
      <c r="BI43" s="22"/>
      <c r="BJ43" s="22"/>
      <c r="BK43" s="22"/>
      <c r="BL43" s="22"/>
      <c r="BM43" s="22"/>
      <c r="BN43" s="22"/>
    </row>
    <row r="44" spans="6:66" x14ac:dyDescent="0.25"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H44" s="22"/>
      <c r="BI44" s="22"/>
      <c r="BJ44" s="22"/>
      <c r="BK44" s="22"/>
      <c r="BL44" s="22"/>
      <c r="BM44" s="22"/>
      <c r="BN44" s="22"/>
    </row>
    <row r="45" spans="6:66" x14ac:dyDescent="0.25"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H45" s="22"/>
      <c r="BI45" s="22"/>
      <c r="BJ45" s="22"/>
      <c r="BK45" s="22"/>
      <c r="BL45" s="22"/>
      <c r="BM45" s="22"/>
      <c r="BN45" s="22"/>
    </row>
    <row r="46" spans="6:66" x14ac:dyDescent="0.25"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H46" s="22"/>
      <c r="BI46" s="22"/>
      <c r="BJ46" s="22"/>
      <c r="BK46" s="22"/>
      <c r="BL46" s="22"/>
      <c r="BM46" s="22"/>
      <c r="BN46" s="22"/>
    </row>
    <row r="47" spans="6:66" x14ac:dyDescent="0.25"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H47" s="22"/>
      <c r="BI47" s="22"/>
      <c r="BJ47" s="22"/>
      <c r="BK47" s="22"/>
      <c r="BL47" s="22"/>
      <c r="BM47" s="22"/>
      <c r="BN47" s="22"/>
    </row>
    <row r="48" spans="6:66" x14ac:dyDescent="0.25"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H48" s="22"/>
      <c r="BI48" s="22"/>
      <c r="BJ48" s="22"/>
      <c r="BK48" s="22"/>
      <c r="BL48" s="22"/>
      <c r="BM48" s="22"/>
      <c r="BN48" s="22"/>
    </row>
    <row r="49" spans="6:66" x14ac:dyDescent="0.25"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H49" s="22"/>
      <c r="BI49" s="22"/>
      <c r="BJ49" s="22"/>
      <c r="BK49" s="22"/>
      <c r="BL49" s="22"/>
      <c r="BM49" s="22"/>
      <c r="BN49" s="22"/>
    </row>
    <row r="50" spans="6:66" x14ac:dyDescent="0.25"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H50" s="22"/>
      <c r="BI50" s="22"/>
      <c r="BJ50" s="22"/>
      <c r="BK50" s="22"/>
      <c r="BL50" s="22"/>
      <c r="BM50" s="22"/>
      <c r="BN50" s="22"/>
    </row>
    <row r="51" spans="6:66" x14ac:dyDescent="0.25"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H51" s="22"/>
      <c r="BI51" s="22"/>
      <c r="BJ51" s="22"/>
      <c r="BK51" s="22"/>
      <c r="BL51" s="22"/>
      <c r="BM51" s="22"/>
      <c r="BN51" s="22"/>
    </row>
    <row r="52" spans="6:66" x14ac:dyDescent="0.25"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H52" s="22"/>
      <c r="BI52" s="22"/>
      <c r="BJ52" s="22"/>
      <c r="BK52" s="22"/>
      <c r="BL52" s="22"/>
      <c r="BM52" s="22"/>
      <c r="BN52" s="22"/>
    </row>
    <row r="53" spans="6:66" x14ac:dyDescent="0.25"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H53" s="22"/>
      <c r="BI53" s="22"/>
      <c r="BJ53" s="22"/>
      <c r="BK53" s="22"/>
      <c r="BL53" s="22"/>
      <c r="BM53" s="22"/>
      <c r="BN53" s="22"/>
    </row>
    <row r="54" spans="6:66" x14ac:dyDescent="0.25"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H54" s="22"/>
      <c r="BI54" s="22"/>
      <c r="BJ54" s="22"/>
      <c r="BK54" s="22"/>
      <c r="BL54" s="22"/>
      <c r="BM54" s="22"/>
      <c r="BN54" s="22"/>
    </row>
    <row r="55" spans="6:66" x14ac:dyDescent="0.25"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H55" s="22"/>
      <c r="BI55" s="22"/>
      <c r="BJ55" s="22"/>
      <c r="BK55" s="22"/>
      <c r="BL55" s="22"/>
      <c r="BM55" s="22"/>
      <c r="BN55" s="22"/>
    </row>
    <row r="56" spans="6:66" x14ac:dyDescent="0.25"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H56" s="22"/>
      <c r="BI56" s="22"/>
      <c r="BJ56" s="22"/>
      <c r="BK56" s="22"/>
      <c r="BL56" s="22"/>
      <c r="BM56" s="22"/>
      <c r="BN56" s="22"/>
    </row>
    <row r="57" spans="6:66" x14ac:dyDescent="0.25"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H57" s="22"/>
      <c r="BI57" s="22"/>
      <c r="BJ57" s="22"/>
      <c r="BK57" s="22"/>
      <c r="BL57" s="22"/>
      <c r="BM57" s="22"/>
      <c r="BN57" s="22"/>
    </row>
    <row r="58" spans="6:66" x14ac:dyDescent="0.25"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H58" s="22"/>
      <c r="BI58" s="22"/>
      <c r="BJ58" s="22"/>
      <c r="BK58" s="22"/>
      <c r="BL58" s="22"/>
      <c r="BM58" s="22"/>
      <c r="BN58" s="22"/>
    </row>
    <row r="59" spans="6:66" x14ac:dyDescent="0.25"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H59" s="22"/>
      <c r="BI59" s="22"/>
      <c r="BJ59" s="22"/>
      <c r="BK59" s="22"/>
      <c r="BL59" s="22"/>
      <c r="BM59" s="22"/>
      <c r="BN59" s="22"/>
    </row>
    <row r="60" spans="6:66" x14ac:dyDescent="0.25"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H60" s="22"/>
      <c r="BI60" s="22"/>
      <c r="BJ60" s="22"/>
      <c r="BK60" s="22"/>
      <c r="BL60" s="22"/>
      <c r="BM60" s="22"/>
      <c r="BN60" s="22"/>
    </row>
    <row r="61" spans="6:66" x14ac:dyDescent="0.25"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H61" s="22"/>
      <c r="BI61" s="22"/>
      <c r="BJ61" s="22"/>
      <c r="BK61" s="22"/>
      <c r="BL61" s="22"/>
      <c r="BM61" s="22"/>
      <c r="BN61" s="22"/>
    </row>
    <row r="62" spans="6:66" x14ac:dyDescent="0.25"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H62" s="22"/>
      <c r="BI62" s="22"/>
      <c r="BJ62" s="22"/>
      <c r="BK62" s="22"/>
      <c r="BL62" s="22"/>
      <c r="BM62" s="22"/>
      <c r="BN62" s="22"/>
    </row>
    <row r="63" spans="6:66" x14ac:dyDescent="0.25"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H63" s="22"/>
      <c r="BI63" s="22"/>
      <c r="BJ63" s="22"/>
      <c r="BK63" s="22"/>
      <c r="BL63" s="22"/>
      <c r="BM63" s="22"/>
      <c r="BN63" s="22"/>
    </row>
    <row r="64" spans="6:66" x14ac:dyDescent="0.25"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H64" s="22"/>
      <c r="BI64" s="22"/>
      <c r="BJ64" s="22"/>
      <c r="BK64" s="22"/>
      <c r="BL64" s="22"/>
      <c r="BM64" s="22"/>
      <c r="BN64" s="22"/>
    </row>
    <row r="65" spans="6:66" x14ac:dyDescent="0.25"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H65" s="22"/>
      <c r="BI65" s="22"/>
      <c r="BJ65" s="22"/>
      <c r="BK65" s="22"/>
      <c r="BL65" s="22"/>
      <c r="BM65" s="22"/>
      <c r="BN65" s="22"/>
    </row>
    <row r="66" spans="6:66" x14ac:dyDescent="0.25"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H66" s="22"/>
      <c r="BI66" s="22"/>
      <c r="BJ66" s="22"/>
      <c r="BK66" s="22"/>
      <c r="BL66" s="22"/>
      <c r="BM66" s="22"/>
      <c r="BN66" s="22"/>
    </row>
    <row r="67" spans="6:66" x14ac:dyDescent="0.25"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H67" s="22"/>
      <c r="BI67" s="22"/>
      <c r="BJ67" s="22"/>
      <c r="BK67" s="22"/>
      <c r="BL67" s="22"/>
      <c r="BM67" s="22"/>
      <c r="BN67" s="22"/>
    </row>
    <row r="68" spans="6:66" x14ac:dyDescent="0.25"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H68" s="22"/>
      <c r="BI68" s="22"/>
      <c r="BJ68" s="22"/>
      <c r="BK68" s="22"/>
      <c r="BL68" s="22"/>
      <c r="BM68" s="22"/>
      <c r="BN68" s="22"/>
    </row>
    <row r="69" spans="6:66" x14ac:dyDescent="0.25"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H69" s="22"/>
      <c r="BI69" s="22"/>
      <c r="BJ69" s="22"/>
      <c r="BK69" s="22"/>
      <c r="BL69" s="22"/>
      <c r="BM69" s="22"/>
      <c r="BN69" s="22"/>
    </row>
    <row r="70" spans="6:66" x14ac:dyDescent="0.25"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H70" s="22"/>
      <c r="BI70" s="22"/>
      <c r="BJ70" s="22"/>
      <c r="BK70" s="22"/>
      <c r="BL70" s="22"/>
      <c r="BM70" s="22"/>
      <c r="BN70" s="22"/>
    </row>
    <row r="71" spans="6:66" x14ac:dyDescent="0.25"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H71" s="22"/>
      <c r="BI71" s="22"/>
      <c r="BJ71" s="22"/>
      <c r="BK71" s="22"/>
      <c r="BL71" s="22"/>
      <c r="BM71" s="22"/>
      <c r="BN71" s="22"/>
    </row>
    <row r="72" spans="6:66" x14ac:dyDescent="0.25"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H72" s="22"/>
      <c r="BI72" s="22"/>
      <c r="BJ72" s="22"/>
      <c r="BK72" s="22"/>
      <c r="BL72" s="22"/>
      <c r="BM72" s="22"/>
      <c r="BN72" s="22"/>
    </row>
    <row r="73" spans="6:66" x14ac:dyDescent="0.25"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H73" s="22"/>
      <c r="BI73" s="22"/>
      <c r="BJ73" s="22"/>
      <c r="BK73" s="22"/>
      <c r="BL73" s="22"/>
      <c r="BM73" s="22"/>
      <c r="BN73" s="22"/>
    </row>
    <row r="74" spans="6:66" x14ac:dyDescent="0.25"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H74" s="22"/>
      <c r="BI74" s="22"/>
      <c r="BJ74" s="22"/>
      <c r="BK74" s="22"/>
      <c r="BL74" s="22"/>
      <c r="BM74" s="22"/>
      <c r="BN74" s="22"/>
    </row>
    <row r="75" spans="6:66" x14ac:dyDescent="0.25"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H75" s="22"/>
      <c r="BI75" s="22"/>
      <c r="BJ75" s="22"/>
      <c r="BK75" s="22"/>
      <c r="BL75" s="22"/>
      <c r="BM75" s="22"/>
      <c r="BN75" s="22"/>
    </row>
    <row r="76" spans="6:66" x14ac:dyDescent="0.25"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H76" s="22"/>
      <c r="BI76" s="22"/>
      <c r="BJ76" s="22"/>
      <c r="BK76" s="22"/>
      <c r="BL76" s="22"/>
      <c r="BM76" s="22"/>
      <c r="BN76" s="22"/>
    </row>
    <row r="77" spans="6:66" x14ac:dyDescent="0.25"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H77" s="22"/>
      <c r="BI77" s="22"/>
      <c r="BJ77" s="22"/>
      <c r="BK77" s="22"/>
      <c r="BL77" s="22"/>
      <c r="BM77" s="22"/>
      <c r="BN77" s="22"/>
    </row>
    <row r="78" spans="6:66" x14ac:dyDescent="0.25"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H78" s="22"/>
      <c r="BI78" s="22"/>
      <c r="BJ78" s="22"/>
      <c r="BK78" s="22"/>
      <c r="BL78" s="22"/>
      <c r="BM78" s="22"/>
      <c r="BN78" s="22"/>
    </row>
    <row r="79" spans="6:66" x14ac:dyDescent="0.25"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H79" s="22"/>
      <c r="BI79" s="22"/>
      <c r="BJ79" s="22"/>
      <c r="BK79" s="22"/>
      <c r="BL79" s="22"/>
      <c r="BM79" s="22"/>
      <c r="BN79" s="22"/>
    </row>
    <row r="80" spans="6:66" x14ac:dyDescent="0.25"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H80" s="22"/>
      <c r="BI80" s="22"/>
      <c r="BJ80" s="22"/>
      <c r="BK80" s="22"/>
      <c r="BL80" s="22"/>
      <c r="BM80" s="22"/>
      <c r="BN80" s="22"/>
    </row>
    <row r="81" spans="6:66" x14ac:dyDescent="0.25"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H81" s="22"/>
      <c r="BI81" s="22"/>
      <c r="BJ81" s="22"/>
      <c r="BK81" s="22"/>
      <c r="BL81" s="22"/>
      <c r="BM81" s="22"/>
      <c r="BN81" s="22"/>
    </row>
    <row r="82" spans="6:66" x14ac:dyDescent="0.25"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H82" s="22"/>
      <c r="BI82" s="22"/>
      <c r="BJ82" s="22"/>
      <c r="BK82" s="22"/>
      <c r="BL82" s="22"/>
      <c r="BM82" s="22"/>
      <c r="BN82" s="22"/>
    </row>
    <row r="83" spans="6:66" x14ac:dyDescent="0.25"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H83" s="22"/>
      <c r="BI83" s="22"/>
      <c r="BJ83" s="22"/>
      <c r="BK83" s="22"/>
      <c r="BL83" s="22"/>
      <c r="BM83" s="22"/>
      <c r="BN83" s="22"/>
    </row>
    <row r="84" spans="6:66" x14ac:dyDescent="0.25"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H84" s="22"/>
      <c r="BI84" s="22"/>
      <c r="BJ84" s="22"/>
      <c r="BK84" s="22"/>
      <c r="BL84" s="22"/>
      <c r="BM84" s="22"/>
      <c r="BN84" s="22"/>
    </row>
    <row r="85" spans="6:66" x14ac:dyDescent="0.25"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H85" s="22"/>
      <c r="BI85" s="22"/>
      <c r="BJ85" s="22"/>
      <c r="BK85" s="22"/>
      <c r="BL85" s="22"/>
      <c r="BM85" s="22"/>
      <c r="BN85" s="22"/>
    </row>
    <row r="86" spans="6:66" x14ac:dyDescent="0.25"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H86" s="22"/>
      <c r="BI86" s="22"/>
      <c r="BJ86" s="22"/>
      <c r="BK86" s="22"/>
      <c r="BL86" s="22"/>
      <c r="BM86" s="22"/>
      <c r="BN86" s="22"/>
    </row>
    <row r="87" spans="6:66" x14ac:dyDescent="0.25"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H87" s="22"/>
      <c r="BI87" s="22"/>
      <c r="BJ87" s="22"/>
      <c r="BK87" s="22"/>
      <c r="BL87" s="22"/>
      <c r="BM87" s="22"/>
      <c r="BN87" s="22"/>
    </row>
    <row r="88" spans="6:66" x14ac:dyDescent="0.25"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H88" s="22"/>
      <c r="BI88" s="22"/>
      <c r="BJ88" s="22"/>
      <c r="BK88" s="22"/>
      <c r="BL88" s="22"/>
      <c r="BM88" s="22"/>
      <c r="BN88" s="22"/>
    </row>
    <row r="89" spans="6:66" x14ac:dyDescent="0.25"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H89" s="22"/>
      <c r="BI89" s="22"/>
      <c r="BJ89" s="22"/>
      <c r="BK89" s="22"/>
      <c r="BL89" s="22"/>
      <c r="BM89" s="22"/>
      <c r="BN89" s="22"/>
    </row>
    <row r="90" spans="6:66" x14ac:dyDescent="0.25"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H90" s="22"/>
      <c r="BI90" s="22"/>
      <c r="BJ90" s="22"/>
      <c r="BK90" s="22"/>
      <c r="BL90" s="22"/>
      <c r="BM90" s="22"/>
      <c r="BN90" s="22"/>
    </row>
    <row r="91" spans="6:66" x14ac:dyDescent="0.25"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H91" s="22"/>
      <c r="BI91" s="22"/>
      <c r="BJ91" s="22"/>
      <c r="BK91" s="22"/>
      <c r="BL91" s="22"/>
      <c r="BM91" s="22"/>
      <c r="BN91" s="22"/>
    </row>
    <row r="92" spans="6:66" x14ac:dyDescent="0.25"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H92" s="22"/>
      <c r="BI92" s="22"/>
      <c r="BJ92" s="22"/>
      <c r="BK92" s="22"/>
      <c r="BL92" s="22"/>
      <c r="BM92" s="22"/>
      <c r="BN92" s="22"/>
    </row>
    <row r="93" spans="6:66" x14ac:dyDescent="0.25"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H93" s="22"/>
      <c r="BI93" s="22"/>
      <c r="BJ93" s="22"/>
      <c r="BK93" s="22"/>
      <c r="BL93" s="22"/>
      <c r="BM93" s="22"/>
      <c r="BN93" s="22"/>
    </row>
    <row r="94" spans="6:66" x14ac:dyDescent="0.25"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H94" s="22"/>
      <c r="BI94" s="22"/>
      <c r="BJ94" s="22"/>
      <c r="BK94" s="22"/>
      <c r="BL94" s="22"/>
      <c r="BM94" s="22"/>
      <c r="BN94" s="22"/>
    </row>
    <row r="95" spans="6:66" x14ac:dyDescent="0.25"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H95" s="22"/>
      <c r="BI95" s="22"/>
      <c r="BJ95" s="22"/>
      <c r="BK95" s="22"/>
      <c r="BL95" s="22"/>
      <c r="BM95" s="22"/>
      <c r="BN95" s="22"/>
    </row>
    <row r="96" spans="6:66" x14ac:dyDescent="0.25"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H96" s="22"/>
      <c r="BI96" s="22"/>
      <c r="BJ96" s="22"/>
      <c r="BK96" s="22"/>
      <c r="BL96" s="22"/>
      <c r="BM96" s="22"/>
      <c r="BN96" s="22"/>
    </row>
    <row r="97" spans="6:66" x14ac:dyDescent="0.25"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H97" s="22"/>
      <c r="BI97" s="22"/>
      <c r="BJ97" s="22"/>
      <c r="BK97" s="22"/>
      <c r="BL97" s="22"/>
      <c r="BM97" s="22"/>
      <c r="BN97" s="22"/>
    </row>
    <row r="98" spans="6:66" x14ac:dyDescent="0.25"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H98" s="22"/>
      <c r="BI98" s="22"/>
      <c r="BJ98" s="22"/>
      <c r="BK98" s="22"/>
      <c r="BL98" s="22"/>
      <c r="BM98" s="22"/>
      <c r="BN98" s="22"/>
    </row>
    <row r="99" spans="6:66" x14ac:dyDescent="0.25"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H99" s="22"/>
      <c r="BI99" s="22"/>
      <c r="BJ99" s="22"/>
      <c r="BK99" s="22"/>
      <c r="BL99" s="22"/>
      <c r="BM99" s="22"/>
      <c r="BN99" s="22"/>
    </row>
    <row r="100" spans="6:66" x14ac:dyDescent="0.25"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H100" s="22"/>
      <c r="BI100" s="22"/>
      <c r="BJ100" s="22"/>
      <c r="BK100" s="22"/>
      <c r="BL100" s="22"/>
      <c r="BM100" s="22"/>
      <c r="BN100" s="22"/>
    </row>
    <row r="101" spans="6:66" x14ac:dyDescent="0.25"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H101" s="22"/>
      <c r="BI101" s="22"/>
      <c r="BJ101" s="22"/>
      <c r="BK101" s="22"/>
      <c r="BL101" s="22"/>
      <c r="BM101" s="22"/>
      <c r="BN101" s="22"/>
    </row>
    <row r="102" spans="6:66" x14ac:dyDescent="0.25"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H102" s="22"/>
      <c r="BI102" s="22"/>
      <c r="BJ102" s="22"/>
      <c r="BK102" s="22"/>
      <c r="BL102" s="22"/>
      <c r="BM102" s="22"/>
      <c r="BN102" s="22"/>
    </row>
    <row r="103" spans="6:66" x14ac:dyDescent="0.25"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H103" s="22"/>
      <c r="BI103" s="22"/>
      <c r="BJ103" s="22"/>
      <c r="BK103" s="22"/>
      <c r="BL103" s="22"/>
      <c r="BM103" s="22"/>
      <c r="BN103" s="22"/>
    </row>
    <row r="104" spans="6:66" x14ac:dyDescent="0.25"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H104" s="22"/>
      <c r="BI104" s="22"/>
      <c r="BJ104" s="22"/>
      <c r="BK104" s="22"/>
      <c r="BL104" s="22"/>
      <c r="BM104" s="22"/>
      <c r="BN104" s="22"/>
    </row>
    <row r="105" spans="6:66" x14ac:dyDescent="0.25"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H105" s="22"/>
      <c r="BI105" s="22"/>
      <c r="BJ105" s="22"/>
      <c r="BK105" s="22"/>
      <c r="BL105" s="22"/>
      <c r="BM105" s="22"/>
      <c r="BN105" s="22"/>
    </row>
    <row r="106" spans="6:66" x14ac:dyDescent="0.25"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H106" s="22"/>
      <c r="BI106" s="22"/>
      <c r="BJ106" s="22"/>
      <c r="BK106" s="22"/>
      <c r="BL106" s="22"/>
      <c r="BM106" s="22"/>
      <c r="BN106" s="22"/>
    </row>
    <row r="107" spans="6:66" x14ac:dyDescent="0.25"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H107" s="22"/>
      <c r="BI107" s="22"/>
      <c r="BJ107" s="22"/>
      <c r="BK107" s="22"/>
      <c r="BL107" s="22"/>
      <c r="BM107" s="22"/>
      <c r="BN107" s="22"/>
    </row>
    <row r="108" spans="6:66" x14ac:dyDescent="0.25"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H108" s="22"/>
      <c r="BI108" s="22"/>
      <c r="BJ108" s="22"/>
      <c r="BK108" s="22"/>
      <c r="BL108" s="22"/>
      <c r="BM108" s="22"/>
      <c r="BN108" s="22"/>
    </row>
    <row r="109" spans="6:66" x14ac:dyDescent="0.25"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H109" s="22"/>
      <c r="BI109" s="22"/>
      <c r="BJ109" s="22"/>
      <c r="BK109" s="22"/>
      <c r="BL109" s="22"/>
      <c r="BM109" s="22"/>
      <c r="BN109" s="22"/>
    </row>
    <row r="110" spans="6:66" x14ac:dyDescent="0.25"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H110" s="22"/>
      <c r="BI110" s="22"/>
      <c r="BJ110" s="22"/>
      <c r="BK110" s="22"/>
      <c r="BL110" s="22"/>
      <c r="BM110" s="22"/>
      <c r="BN110" s="22"/>
    </row>
    <row r="111" spans="6:66" x14ac:dyDescent="0.25"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H111" s="22"/>
      <c r="BI111" s="22"/>
      <c r="BJ111" s="22"/>
      <c r="BK111" s="22"/>
      <c r="BL111" s="22"/>
      <c r="BM111" s="22"/>
      <c r="BN111" s="22"/>
    </row>
    <row r="112" spans="6:66" x14ac:dyDescent="0.25"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H112" s="22"/>
      <c r="BI112" s="22"/>
      <c r="BJ112" s="22"/>
      <c r="BK112" s="22"/>
      <c r="BL112" s="22"/>
      <c r="BM112" s="22"/>
      <c r="BN112" s="22"/>
    </row>
    <row r="113" spans="6:66" x14ac:dyDescent="0.25"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H113" s="22"/>
      <c r="BI113" s="22"/>
      <c r="BJ113" s="22"/>
      <c r="BK113" s="22"/>
      <c r="BL113" s="22"/>
      <c r="BM113" s="22"/>
      <c r="BN113" s="22"/>
    </row>
    <row r="114" spans="6:66" x14ac:dyDescent="0.25"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H114" s="22"/>
      <c r="BI114" s="22"/>
      <c r="BJ114" s="22"/>
      <c r="BK114" s="22"/>
      <c r="BL114" s="22"/>
      <c r="BM114" s="22"/>
      <c r="BN114" s="22"/>
    </row>
    <row r="115" spans="6:66" x14ac:dyDescent="0.25"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H115" s="22"/>
      <c r="BI115" s="22"/>
      <c r="BJ115" s="22"/>
      <c r="BK115" s="22"/>
      <c r="BL115" s="22"/>
      <c r="BM115" s="22"/>
      <c r="BN115" s="22"/>
    </row>
    <row r="116" spans="6:66" x14ac:dyDescent="0.25"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H116" s="22"/>
      <c r="BI116" s="22"/>
      <c r="BJ116" s="22"/>
      <c r="BK116" s="22"/>
      <c r="BL116" s="22"/>
      <c r="BM116" s="22"/>
      <c r="BN116" s="22"/>
    </row>
    <row r="117" spans="6:66" x14ac:dyDescent="0.25"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H117" s="22"/>
      <c r="BI117" s="22"/>
      <c r="BJ117" s="22"/>
      <c r="BK117" s="22"/>
      <c r="BL117" s="22"/>
      <c r="BM117" s="22"/>
      <c r="BN117" s="22"/>
    </row>
    <row r="118" spans="6:66" x14ac:dyDescent="0.25"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H118" s="22"/>
      <c r="BI118" s="22"/>
      <c r="BJ118" s="22"/>
      <c r="BK118" s="22"/>
      <c r="BL118" s="22"/>
      <c r="BM118" s="22"/>
      <c r="BN118" s="22"/>
    </row>
    <row r="119" spans="6:66" x14ac:dyDescent="0.25"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H119" s="22"/>
      <c r="BI119" s="22"/>
      <c r="BJ119" s="22"/>
      <c r="BK119" s="22"/>
      <c r="BL119" s="22"/>
      <c r="BM119" s="22"/>
      <c r="BN119" s="22"/>
    </row>
    <row r="120" spans="6:66" x14ac:dyDescent="0.25"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H120" s="22"/>
      <c r="BI120" s="22"/>
      <c r="BJ120" s="22"/>
      <c r="BK120" s="22"/>
      <c r="BL120" s="22"/>
      <c r="BM120" s="22"/>
      <c r="BN120" s="22"/>
    </row>
    <row r="121" spans="6:66" x14ac:dyDescent="0.25"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H121" s="22"/>
      <c r="BI121" s="22"/>
      <c r="BJ121" s="22"/>
      <c r="BK121" s="22"/>
      <c r="BL121" s="22"/>
      <c r="BM121" s="22"/>
      <c r="BN121" s="22"/>
    </row>
    <row r="122" spans="6:66" x14ac:dyDescent="0.25"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H122" s="22"/>
      <c r="BI122" s="22"/>
      <c r="BJ122" s="22"/>
      <c r="BK122" s="22"/>
      <c r="BL122" s="22"/>
      <c r="BM122" s="22"/>
      <c r="BN122" s="22"/>
    </row>
    <row r="123" spans="6:66" x14ac:dyDescent="0.25"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H123" s="22"/>
      <c r="BI123" s="22"/>
      <c r="BJ123" s="22"/>
      <c r="BK123" s="22"/>
      <c r="BL123" s="22"/>
      <c r="BM123" s="22"/>
      <c r="BN123" s="22"/>
    </row>
    <row r="124" spans="6:66" x14ac:dyDescent="0.25"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H124" s="22"/>
      <c r="BI124" s="22"/>
      <c r="BJ124" s="22"/>
      <c r="BK124" s="22"/>
      <c r="BL124" s="22"/>
      <c r="BM124" s="22"/>
      <c r="BN124" s="22"/>
    </row>
    <row r="125" spans="6:66" x14ac:dyDescent="0.25"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H125" s="22"/>
      <c r="BI125" s="22"/>
      <c r="BJ125" s="22"/>
      <c r="BK125" s="22"/>
      <c r="BL125" s="22"/>
      <c r="BM125" s="22"/>
      <c r="BN125" s="22"/>
    </row>
    <row r="126" spans="6:66" x14ac:dyDescent="0.25"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H126" s="22"/>
      <c r="BI126" s="22"/>
      <c r="BJ126" s="22"/>
      <c r="BK126" s="22"/>
      <c r="BL126" s="22"/>
      <c r="BM126" s="22"/>
      <c r="BN126" s="22"/>
    </row>
    <row r="127" spans="6:66" x14ac:dyDescent="0.25"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H127" s="22"/>
      <c r="BI127" s="22"/>
      <c r="BJ127" s="22"/>
      <c r="BK127" s="22"/>
      <c r="BL127" s="22"/>
      <c r="BM127" s="22"/>
      <c r="BN127" s="22"/>
    </row>
    <row r="128" spans="6:66" x14ac:dyDescent="0.25"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H128" s="22"/>
      <c r="BI128" s="22"/>
      <c r="BJ128" s="22"/>
      <c r="BK128" s="22"/>
      <c r="BL128" s="22"/>
      <c r="BM128" s="22"/>
      <c r="BN128" s="22"/>
    </row>
    <row r="129" spans="6:66" x14ac:dyDescent="0.25"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H129" s="22"/>
      <c r="BI129" s="22"/>
      <c r="BJ129" s="22"/>
      <c r="BK129" s="22"/>
      <c r="BL129" s="22"/>
      <c r="BM129" s="22"/>
      <c r="BN129" s="22"/>
    </row>
    <row r="130" spans="6:66" x14ac:dyDescent="0.25"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H130" s="22"/>
      <c r="BI130" s="22"/>
      <c r="BJ130" s="22"/>
      <c r="BK130" s="22"/>
      <c r="BL130" s="22"/>
      <c r="BM130" s="22"/>
      <c r="BN130" s="22"/>
    </row>
    <row r="131" spans="6:66" x14ac:dyDescent="0.25"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H131" s="22"/>
      <c r="BI131" s="22"/>
      <c r="BJ131" s="22"/>
      <c r="BK131" s="22"/>
      <c r="BL131" s="22"/>
      <c r="BM131" s="22"/>
      <c r="BN131" s="22"/>
    </row>
    <row r="132" spans="6:66" x14ac:dyDescent="0.25"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H132" s="22"/>
      <c r="BI132" s="22"/>
      <c r="BJ132" s="22"/>
      <c r="BK132" s="22"/>
      <c r="BL132" s="22"/>
      <c r="BM132" s="22"/>
      <c r="BN132" s="22"/>
    </row>
    <row r="133" spans="6:66" x14ac:dyDescent="0.25"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H133" s="22"/>
      <c r="BI133" s="22"/>
      <c r="BJ133" s="22"/>
      <c r="BK133" s="22"/>
      <c r="BL133" s="22"/>
      <c r="BM133" s="22"/>
      <c r="BN133" s="22"/>
    </row>
    <row r="134" spans="6:66" x14ac:dyDescent="0.25"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H134" s="22"/>
      <c r="BI134" s="22"/>
      <c r="BJ134" s="22"/>
      <c r="BK134" s="22"/>
      <c r="BL134" s="22"/>
      <c r="BM134" s="22"/>
      <c r="BN134" s="22"/>
    </row>
    <row r="135" spans="6:66" x14ac:dyDescent="0.25"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H135" s="22"/>
      <c r="BI135" s="22"/>
      <c r="BJ135" s="22"/>
      <c r="BK135" s="22"/>
      <c r="BL135" s="22"/>
      <c r="BM135" s="22"/>
      <c r="BN135" s="22"/>
    </row>
    <row r="136" spans="6:66" x14ac:dyDescent="0.25"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H136" s="22"/>
      <c r="BI136" s="22"/>
      <c r="BJ136" s="22"/>
      <c r="BK136" s="22"/>
      <c r="BL136" s="22"/>
      <c r="BM136" s="22"/>
      <c r="BN136" s="22"/>
    </row>
    <row r="137" spans="6:66" x14ac:dyDescent="0.25"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H137" s="22"/>
      <c r="BI137" s="22"/>
      <c r="BJ137" s="22"/>
      <c r="BK137" s="22"/>
      <c r="BL137" s="22"/>
      <c r="BM137" s="22"/>
      <c r="BN137" s="22"/>
    </row>
    <row r="138" spans="6:66" x14ac:dyDescent="0.25"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H138" s="22"/>
      <c r="BI138" s="22"/>
      <c r="BJ138" s="22"/>
      <c r="BK138" s="22"/>
      <c r="BL138" s="22"/>
      <c r="BM138" s="22"/>
      <c r="BN138" s="22"/>
    </row>
    <row r="139" spans="6:66" x14ac:dyDescent="0.25"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H139" s="22"/>
      <c r="BI139" s="22"/>
      <c r="BJ139" s="22"/>
      <c r="BK139" s="22"/>
      <c r="BL139" s="22"/>
      <c r="BM139" s="22"/>
      <c r="BN139" s="22"/>
    </row>
    <row r="140" spans="6:66" x14ac:dyDescent="0.25"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H140" s="22"/>
      <c r="BI140" s="22"/>
      <c r="BJ140" s="22"/>
      <c r="BK140" s="22"/>
      <c r="BL140" s="22"/>
      <c r="BM140" s="22"/>
      <c r="BN140" s="22"/>
    </row>
    <row r="141" spans="6:66" x14ac:dyDescent="0.25"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H141" s="22"/>
      <c r="BI141" s="22"/>
      <c r="BJ141" s="22"/>
      <c r="BK141" s="22"/>
      <c r="BL141" s="22"/>
      <c r="BM141" s="22"/>
      <c r="BN141" s="22"/>
    </row>
    <row r="142" spans="6:66" x14ac:dyDescent="0.25"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H142" s="22"/>
      <c r="BI142" s="22"/>
      <c r="BJ142" s="22"/>
      <c r="BK142" s="22"/>
      <c r="BL142" s="22"/>
      <c r="BM142" s="22"/>
      <c r="BN142" s="22"/>
    </row>
    <row r="143" spans="6:66" x14ac:dyDescent="0.25"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H143" s="22"/>
      <c r="BI143" s="22"/>
      <c r="BJ143" s="22"/>
      <c r="BK143" s="22"/>
      <c r="BL143" s="22"/>
      <c r="BM143" s="22"/>
      <c r="BN143" s="22"/>
    </row>
    <row r="144" spans="6:66" x14ac:dyDescent="0.25"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H144" s="22"/>
      <c r="BI144" s="22"/>
      <c r="BJ144" s="22"/>
      <c r="BK144" s="22"/>
      <c r="BL144" s="22"/>
      <c r="BM144" s="22"/>
      <c r="BN144" s="22"/>
    </row>
    <row r="145" spans="6:66" x14ac:dyDescent="0.25"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H145" s="22"/>
      <c r="BI145" s="22"/>
      <c r="BJ145" s="22"/>
      <c r="BK145" s="22"/>
      <c r="BL145" s="22"/>
      <c r="BM145" s="22"/>
      <c r="BN145" s="22"/>
    </row>
    <row r="146" spans="6:66" x14ac:dyDescent="0.25"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H146" s="22"/>
      <c r="BI146" s="22"/>
      <c r="BJ146" s="22"/>
      <c r="BK146" s="22"/>
      <c r="BL146" s="22"/>
      <c r="BM146" s="22"/>
      <c r="BN146" s="22"/>
    </row>
    <row r="147" spans="6:66" x14ac:dyDescent="0.25"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H147" s="22"/>
      <c r="BI147" s="22"/>
      <c r="BJ147" s="22"/>
      <c r="BK147" s="22"/>
      <c r="BL147" s="22"/>
      <c r="BM147" s="22"/>
      <c r="BN147" s="22"/>
    </row>
    <row r="148" spans="6:66" x14ac:dyDescent="0.25"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H148" s="22"/>
      <c r="BI148" s="22"/>
      <c r="BJ148" s="22"/>
      <c r="BK148" s="22"/>
      <c r="BL148" s="22"/>
      <c r="BM148" s="22"/>
      <c r="BN148" s="22"/>
    </row>
    <row r="149" spans="6:66" x14ac:dyDescent="0.25"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H149" s="22"/>
      <c r="BI149" s="22"/>
      <c r="BJ149" s="22"/>
      <c r="BK149" s="22"/>
      <c r="BL149" s="22"/>
      <c r="BM149" s="22"/>
      <c r="BN149" s="22"/>
    </row>
    <row r="150" spans="6:66" x14ac:dyDescent="0.25"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H150" s="22"/>
      <c r="BI150" s="22"/>
      <c r="BJ150" s="22"/>
      <c r="BK150" s="22"/>
      <c r="BL150" s="22"/>
      <c r="BM150" s="22"/>
      <c r="BN150" s="22"/>
    </row>
    <row r="151" spans="6:66" x14ac:dyDescent="0.25"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H151" s="22"/>
      <c r="BI151" s="22"/>
      <c r="BJ151" s="22"/>
      <c r="BK151" s="22"/>
      <c r="BL151" s="22"/>
      <c r="BM151" s="22"/>
      <c r="BN151" s="22"/>
    </row>
    <row r="152" spans="6:66" x14ac:dyDescent="0.25"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H152" s="22"/>
      <c r="BI152" s="22"/>
      <c r="BJ152" s="22"/>
      <c r="BK152" s="22"/>
      <c r="BL152" s="22"/>
      <c r="BM152" s="22"/>
      <c r="BN152" s="22"/>
    </row>
    <row r="153" spans="6:66" x14ac:dyDescent="0.25"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H153" s="22"/>
      <c r="BI153" s="22"/>
      <c r="BJ153" s="22"/>
      <c r="BK153" s="22"/>
      <c r="BL153" s="22"/>
      <c r="BM153" s="22"/>
      <c r="BN153" s="22"/>
    </row>
    <row r="154" spans="6:66" x14ac:dyDescent="0.25"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H154" s="22"/>
      <c r="BI154" s="22"/>
      <c r="BJ154" s="22"/>
      <c r="BK154" s="22"/>
      <c r="BL154" s="22"/>
      <c r="BM154" s="22"/>
      <c r="BN154" s="22"/>
    </row>
    <row r="155" spans="6:66" x14ac:dyDescent="0.25"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H155" s="22"/>
      <c r="BI155" s="22"/>
      <c r="BJ155" s="22"/>
      <c r="BK155" s="22"/>
      <c r="BL155" s="22"/>
      <c r="BM155" s="22"/>
      <c r="BN155" s="22"/>
    </row>
    <row r="156" spans="6:66" x14ac:dyDescent="0.25"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H156" s="22"/>
      <c r="BI156" s="22"/>
      <c r="BJ156" s="22"/>
      <c r="BK156" s="22"/>
      <c r="BL156" s="22"/>
      <c r="BM156" s="22"/>
      <c r="BN156" s="22"/>
    </row>
    <row r="157" spans="6:66" x14ac:dyDescent="0.25"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H157" s="22"/>
      <c r="BI157" s="22"/>
      <c r="BJ157" s="22"/>
      <c r="BK157" s="22"/>
      <c r="BL157" s="22"/>
      <c r="BM157" s="22"/>
      <c r="BN157" s="22"/>
    </row>
    <row r="158" spans="6:66" x14ac:dyDescent="0.25"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H158" s="22"/>
      <c r="BI158" s="22"/>
      <c r="BJ158" s="22"/>
      <c r="BK158" s="22"/>
      <c r="BL158" s="22"/>
      <c r="BM158" s="22"/>
      <c r="BN158" s="22"/>
    </row>
    <row r="159" spans="6:66" x14ac:dyDescent="0.25"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H159" s="22"/>
      <c r="BI159" s="22"/>
      <c r="BJ159" s="22"/>
      <c r="BK159" s="22"/>
      <c r="BL159" s="22"/>
      <c r="BM159" s="22"/>
      <c r="BN159" s="22"/>
    </row>
    <row r="160" spans="6:66" x14ac:dyDescent="0.25"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H160" s="22"/>
      <c r="BI160" s="22"/>
      <c r="BJ160" s="22"/>
      <c r="BK160" s="22"/>
      <c r="BL160" s="22"/>
      <c r="BM160" s="22"/>
      <c r="BN160" s="22"/>
    </row>
    <row r="161" spans="6:66" x14ac:dyDescent="0.25"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H161" s="22"/>
      <c r="BI161" s="22"/>
      <c r="BJ161" s="22"/>
      <c r="BK161" s="22"/>
      <c r="BL161" s="22"/>
      <c r="BM161" s="22"/>
      <c r="BN161" s="22"/>
    </row>
    <row r="162" spans="6:66" x14ac:dyDescent="0.25"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H162" s="22"/>
      <c r="BI162" s="22"/>
      <c r="BJ162" s="22"/>
      <c r="BK162" s="22"/>
      <c r="BL162" s="22"/>
      <c r="BM162" s="22"/>
      <c r="BN162" s="22"/>
    </row>
    <row r="163" spans="6:66" x14ac:dyDescent="0.25"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H163" s="22"/>
      <c r="BI163" s="22"/>
      <c r="BJ163" s="22"/>
      <c r="BK163" s="22"/>
      <c r="BL163" s="22"/>
      <c r="BM163" s="22"/>
      <c r="BN163" s="22"/>
    </row>
    <row r="164" spans="6:66" x14ac:dyDescent="0.25"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H164" s="22"/>
      <c r="BI164" s="22"/>
      <c r="BJ164" s="22"/>
      <c r="BK164" s="22"/>
      <c r="BL164" s="22"/>
      <c r="BM164" s="22"/>
      <c r="BN164" s="22"/>
    </row>
    <row r="165" spans="6:66" x14ac:dyDescent="0.25"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H165" s="22"/>
      <c r="BI165" s="22"/>
      <c r="BJ165" s="22"/>
      <c r="BK165" s="22"/>
      <c r="BL165" s="22"/>
      <c r="BM165" s="22"/>
      <c r="BN165" s="22"/>
    </row>
    <row r="166" spans="6:66" x14ac:dyDescent="0.25"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H166" s="22"/>
      <c r="BI166" s="22"/>
      <c r="BJ166" s="22"/>
      <c r="BK166" s="22"/>
      <c r="BL166" s="22"/>
      <c r="BM166" s="22"/>
      <c r="BN166" s="22"/>
    </row>
    <row r="167" spans="6:66" x14ac:dyDescent="0.25"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H167" s="22"/>
      <c r="BI167" s="22"/>
      <c r="BJ167" s="22"/>
      <c r="BK167" s="22"/>
      <c r="BL167" s="22"/>
      <c r="BM167" s="22"/>
      <c r="BN167" s="22"/>
    </row>
    <row r="168" spans="6:66" x14ac:dyDescent="0.25"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H168" s="22"/>
      <c r="BI168" s="22"/>
      <c r="BJ168" s="22"/>
      <c r="BK168" s="22"/>
      <c r="BL168" s="22"/>
      <c r="BM168" s="22"/>
      <c r="BN168" s="22"/>
    </row>
    <row r="169" spans="6:66" x14ac:dyDescent="0.25"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H169" s="22"/>
      <c r="BI169" s="22"/>
      <c r="BJ169" s="22"/>
      <c r="BK169" s="22"/>
      <c r="BL169" s="22"/>
      <c r="BM169" s="22"/>
      <c r="BN169" s="22"/>
    </row>
    <row r="170" spans="6:66" x14ac:dyDescent="0.25"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H170" s="22"/>
      <c r="BI170" s="22"/>
      <c r="BJ170" s="22"/>
      <c r="BK170" s="22"/>
      <c r="BL170" s="22"/>
      <c r="BM170" s="22"/>
      <c r="BN170" s="22"/>
    </row>
    <row r="171" spans="6:66" x14ac:dyDescent="0.25"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H171" s="22"/>
      <c r="BI171" s="22"/>
      <c r="BJ171" s="22"/>
      <c r="BK171" s="22"/>
      <c r="BL171" s="22"/>
      <c r="BM171" s="22"/>
      <c r="BN171" s="22"/>
    </row>
    <row r="172" spans="6:66" x14ac:dyDescent="0.25"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H172" s="22"/>
      <c r="BI172" s="22"/>
      <c r="BJ172" s="22"/>
      <c r="BK172" s="22"/>
      <c r="BL172" s="22"/>
      <c r="BM172" s="22"/>
      <c r="BN172" s="22"/>
    </row>
    <row r="173" spans="6:66" x14ac:dyDescent="0.25"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H173" s="22"/>
      <c r="BI173" s="22"/>
      <c r="BJ173" s="22"/>
      <c r="BK173" s="22"/>
      <c r="BL173" s="22"/>
      <c r="BM173" s="22"/>
      <c r="BN173" s="22"/>
    </row>
    <row r="174" spans="6:66" x14ac:dyDescent="0.25"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H174" s="22"/>
      <c r="BI174" s="22"/>
      <c r="BJ174" s="22"/>
      <c r="BK174" s="22"/>
      <c r="BL174" s="22"/>
      <c r="BM174" s="22"/>
      <c r="BN174" s="22"/>
    </row>
    <row r="175" spans="6:66" x14ac:dyDescent="0.25"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H175" s="22"/>
      <c r="BI175" s="22"/>
      <c r="BJ175" s="22"/>
      <c r="BK175" s="22"/>
      <c r="BL175" s="22"/>
      <c r="BM175" s="22"/>
      <c r="BN175" s="22"/>
    </row>
    <row r="176" spans="6:66" x14ac:dyDescent="0.25"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H176" s="22"/>
      <c r="BI176" s="22"/>
      <c r="BJ176" s="22"/>
      <c r="BK176" s="22"/>
      <c r="BL176" s="22"/>
      <c r="BM176" s="22"/>
      <c r="BN176" s="22"/>
    </row>
    <row r="177" spans="6:66" x14ac:dyDescent="0.25"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H177" s="22"/>
      <c r="BI177" s="22"/>
      <c r="BJ177" s="22"/>
      <c r="BK177" s="22"/>
      <c r="BL177" s="22"/>
      <c r="BM177" s="22"/>
      <c r="BN177" s="22"/>
    </row>
    <row r="178" spans="6:66" x14ac:dyDescent="0.25"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H178" s="22"/>
      <c r="BI178" s="22"/>
      <c r="BJ178" s="22"/>
      <c r="BK178" s="22"/>
      <c r="BL178" s="22"/>
      <c r="BM178" s="22"/>
      <c r="BN178" s="22"/>
    </row>
    <row r="179" spans="6:66" x14ac:dyDescent="0.25"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H179" s="22"/>
      <c r="BI179" s="22"/>
      <c r="BJ179" s="22"/>
      <c r="BK179" s="22"/>
      <c r="BL179" s="22"/>
      <c r="BM179" s="22"/>
      <c r="BN179" s="22"/>
    </row>
    <row r="180" spans="6:66" x14ac:dyDescent="0.25"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H180" s="22"/>
      <c r="BI180" s="22"/>
      <c r="BJ180" s="22"/>
      <c r="BK180" s="22"/>
      <c r="BL180" s="22"/>
      <c r="BM180" s="22"/>
      <c r="BN180" s="22"/>
    </row>
    <row r="181" spans="6:66" x14ac:dyDescent="0.25"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H181" s="22"/>
      <c r="BI181" s="22"/>
      <c r="BJ181" s="22"/>
      <c r="BK181" s="22"/>
      <c r="BL181" s="22"/>
      <c r="BM181" s="22"/>
      <c r="BN181" s="22"/>
    </row>
    <row r="182" spans="6:66" x14ac:dyDescent="0.25"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H182" s="22"/>
      <c r="BI182" s="22"/>
      <c r="BJ182" s="22"/>
      <c r="BK182" s="22"/>
      <c r="BL182" s="22"/>
      <c r="BM182" s="22"/>
      <c r="BN182" s="22"/>
    </row>
    <row r="183" spans="6:66" x14ac:dyDescent="0.25"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H183" s="22"/>
      <c r="BI183" s="22"/>
      <c r="BJ183" s="22"/>
      <c r="BK183" s="22"/>
      <c r="BL183" s="22"/>
      <c r="BM183" s="22"/>
      <c r="BN183" s="22"/>
    </row>
    <row r="184" spans="6:66" x14ac:dyDescent="0.25"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H184" s="22"/>
      <c r="BI184" s="22"/>
      <c r="BJ184" s="22"/>
      <c r="BK184" s="22"/>
      <c r="BL184" s="22"/>
      <c r="BM184" s="22"/>
      <c r="BN184" s="22"/>
    </row>
    <row r="185" spans="6:66" x14ac:dyDescent="0.25"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H185" s="22"/>
      <c r="BI185" s="22"/>
      <c r="BJ185" s="22"/>
      <c r="BK185" s="22"/>
      <c r="BL185" s="22"/>
      <c r="BM185" s="22"/>
      <c r="BN185" s="22"/>
    </row>
    <row r="186" spans="6:66" x14ac:dyDescent="0.25"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H186" s="22"/>
      <c r="BI186" s="22"/>
      <c r="BJ186" s="22"/>
      <c r="BK186" s="22"/>
      <c r="BL186" s="22"/>
      <c r="BM186" s="22"/>
      <c r="BN186" s="22"/>
    </row>
    <row r="187" spans="6:66" x14ac:dyDescent="0.25"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H187" s="22"/>
      <c r="BI187" s="22"/>
      <c r="BJ187" s="22"/>
      <c r="BK187" s="22"/>
      <c r="BL187" s="22"/>
      <c r="BM187" s="22"/>
      <c r="BN187" s="22"/>
    </row>
    <row r="188" spans="6:66" x14ac:dyDescent="0.25"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H188" s="22"/>
      <c r="BI188" s="22"/>
      <c r="BJ188" s="22"/>
      <c r="BK188" s="22"/>
      <c r="BL188" s="22"/>
      <c r="BM188" s="22"/>
      <c r="BN188" s="22"/>
    </row>
    <row r="189" spans="6:66" x14ac:dyDescent="0.25"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H189" s="22"/>
      <c r="BI189" s="22"/>
      <c r="BJ189" s="22"/>
      <c r="BK189" s="22"/>
      <c r="BL189" s="22"/>
      <c r="BM189" s="22"/>
      <c r="BN189" s="22"/>
    </row>
    <row r="190" spans="6:66" x14ac:dyDescent="0.25"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H190" s="22"/>
      <c r="BI190" s="22"/>
      <c r="BJ190" s="22"/>
      <c r="BK190" s="22"/>
      <c r="BL190" s="22"/>
      <c r="BM190" s="22"/>
      <c r="BN190" s="22"/>
    </row>
    <row r="191" spans="6:66" x14ac:dyDescent="0.25"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H191" s="22"/>
      <c r="BI191" s="22"/>
      <c r="BJ191" s="22"/>
      <c r="BK191" s="22"/>
      <c r="BL191" s="22"/>
      <c r="BM191" s="22"/>
      <c r="BN191" s="22"/>
    </row>
    <row r="192" spans="6:66" x14ac:dyDescent="0.25"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H192" s="22"/>
      <c r="BI192" s="22"/>
      <c r="BJ192" s="22"/>
      <c r="BK192" s="22"/>
      <c r="BL192" s="22"/>
      <c r="BM192" s="22"/>
      <c r="BN192" s="22"/>
    </row>
    <row r="193" spans="6:66" x14ac:dyDescent="0.25"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H193" s="22"/>
      <c r="BI193" s="22"/>
      <c r="BJ193" s="22"/>
      <c r="BK193" s="22"/>
      <c r="BL193" s="22"/>
      <c r="BM193" s="22"/>
      <c r="BN193" s="22"/>
    </row>
    <row r="194" spans="6:66" x14ac:dyDescent="0.25"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H194" s="22"/>
      <c r="BI194" s="22"/>
      <c r="BJ194" s="22"/>
      <c r="BK194" s="22"/>
      <c r="BL194" s="22"/>
      <c r="BM194" s="22"/>
      <c r="BN194" s="22"/>
    </row>
    <row r="195" spans="6:66" x14ac:dyDescent="0.25">
      <c r="BH195" s="22"/>
      <c r="BI195" s="22"/>
      <c r="BJ195" s="22"/>
      <c r="BK195" s="22"/>
      <c r="BL195" s="22"/>
      <c r="BM195" s="22"/>
      <c r="BN195" s="22"/>
    </row>
    <row r="196" spans="6:66" x14ac:dyDescent="0.25">
      <c r="BH196" s="22"/>
      <c r="BI196" s="22"/>
      <c r="BJ196" s="22"/>
      <c r="BK196" s="22"/>
      <c r="BL196" s="22"/>
      <c r="BM196" s="22"/>
      <c r="BN196" s="22"/>
    </row>
    <row r="197" spans="6:66" x14ac:dyDescent="0.25">
      <c r="BH197" s="22"/>
      <c r="BI197" s="22"/>
      <c r="BJ197" s="22"/>
      <c r="BK197" s="22"/>
      <c r="BL197" s="22"/>
      <c r="BM197" s="22"/>
      <c r="BN197" s="22"/>
    </row>
    <row r="198" spans="6:66" x14ac:dyDescent="0.25">
      <c r="BH198" s="22"/>
      <c r="BI198" s="22"/>
      <c r="BJ198" s="22"/>
      <c r="BK198" s="22"/>
      <c r="BL198" s="22"/>
      <c r="BM198" s="22"/>
      <c r="BN198" s="22"/>
    </row>
    <row r="199" spans="6:66" x14ac:dyDescent="0.25">
      <c r="BH199" s="22"/>
      <c r="BI199" s="22"/>
      <c r="BJ199" s="22"/>
      <c r="BK199" s="22"/>
      <c r="BL199" s="22"/>
      <c r="BM199" s="22"/>
      <c r="BN199" s="22"/>
    </row>
    <row r="200" spans="6:66" x14ac:dyDescent="0.25">
      <c r="BH200" s="22"/>
      <c r="BI200" s="22"/>
      <c r="BJ200" s="22"/>
      <c r="BK200" s="22"/>
      <c r="BL200" s="22"/>
      <c r="BM200" s="22"/>
      <c r="BN200" s="22"/>
    </row>
    <row r="201" spans="6:66" x14ac:dyDescent="0.25">
      <c r="BH201" s="22"/>
      <c r="BI201" s="22"/>
      <c r="BJ201" s="22"/>
      <c r="BK201" s="22"/>
      <c r="BL201" s="22"/>
      <c r="BM201" s="22"/>
      <c r="BN201" s="22"/>
    </row>
    <row r="202" spans="6:66" x14ac:dyDescent="0.25">
      <c r="BH202" s="22"/>
      <c r="BI202" s="22"/>
      <c r="BJ202" s="22"/>
      <c r="BK202" s="22"/>
      <c r="BL202" s="22"/>
      <c r="BM202" s="22"/>
      <c r="BN202" s="22"/>
    </row>
    <row r="203" spans="6:66" x14ac:dyDescent="0.25">
      <c r="BH203" s="22"/>
      <c r="BI203" s="22"/>
      <c r="BJ203" s="22"/>
      <c r="BK203" s="22"/>
      <c r="BL203" s="22"/>
      <c r="BM203" s="22"/>
      <c r="BN203" s="22"/>
    </row>
    <row r="204" spans="6:66" x14ac:dyDescent="0.25">
      <c r="BH204" s="22"/>
      <c r="BI204" s="22"/>
      <c r="BJ204" s="22"/>
      <c r="BK204" s="22"/>
      <c r="BL204" s="22"/>
      <c r="BM204" s="22"/>
      <c r="BN204" s="22"/>
    </row>
    <row r="205" spans="6:66" x14ac:dyDescent="0.25">
      <c r="BH205" s="22"/>
      <c r="BI205" s="22"/>
      <c r="BJ205" s="22"/>
      <c r="BK205" s="22"/>
      <c r="BL205" s="22"/>
      <c r="BM205" s="22"/>
      <c r="BN205" s="22"/>
    </row>
    <row r="206" spans="6:66" x14ac:dyDescent="0.25">
      <c r="BH206" s="22"/>
      <c r="BI206" s="22"/>
      <c r="BJ206" s="22"/>
      <c r="BK206" s="22"/>
      <c r="BL206" s="22"/>
      <c r="BM206" s="22"/>
      <c r="BN206" s="22"/>
    </row>
    <row r="207" spans="6:66" x14ac:dyDescent="0.25">
      <c r="BH207" s="22"/>
      <c r="BI207" s="22"/>
      <c r="BJ207" s="22"/>
      <c r="BK207" s="22"/>
      <c r="BL207" s="22"/>
      <c r="BM207" s="22"/>
      <c r="BN207" s="22"/>
    </row>
    <row r="208" spans="6:66" x14ac:dyDescent="0.25">
      <c r="BH208" s="22"/>
      <c r="BI208" s="22"/>
      <c r="BJ208" s="22"/>
      <c r="BK208" s="22"/>
      <c r="BL208" s="22"/>
      <c r="BM208" s="22"/>
      <c r="BN208" s="22"/>
    </row>
    <row r="209" spans="60:66" x14ac:dyDescent="0.25">
      <c r="BH209" s="22"/>
      <c r="BI209" s="22"/>
      <c r="BJ209" s="22"/>
      <c r="BK209" s="22"/>
      <c r="BL209" s="22"/>
      <c r="BM209" s="22"/>
      <c r="BN209" s="22"/>
    </row>
    <row r="210" spans="60:66" x14ac:dyDescent="0.25">
      <c r="BH210" s="22"/>
      <c r="BI210" s="22"/>
      <c r="BJ210" s="22"/>
      <c r="BK210" s="22"/>
      <c r="BL210" s="22"/>
      <c r="BM210" s="22"/>
      <c r="BN210" s="22"/>
    </row>
    <row r="211" spans="60:66" x14ac:dyDescent="0.25">
      <c r="BH211" s="22"/>
      <c r="BI211" s="22"/>
      <c r="BJ211" s="22"/>
      <c r="BK211" s="22"/>
      <c r="BL211" s="22"/>
      <c r="BM211" s="22"/>
      <c r="BN211" s="22"/>
    </row>
    <row r="212" spans="60:66" x14ac:dyDescent="0.25">
      <c r="BH212" s="22"/>
      <c r="BI212" s="22"/>
      <c r="BJ212" s="22"/>
      <c r="BK212" s="22"/>
      <c r="BL212" s="22"/>
      <c r="BM212" s="22"/>
      <c r="BN212" s="22"/>
    </row>
    <row r="213" spans="60:66" x14ac:dyDescent="0.25">
      <c r="BH213" s="22"/>
      <c r="BI213" s="22"/>
      <c r="BJ213" s="22"/>
      <c r="BK213" s="22"/>
      <c r="BL213" s="22"/>
      <c r="BM213" s="22"/>
      <c r="BN213" s="22"/>
    </row>
    <row r="214" spans="60:66" x14ac:dyDescent="0.25">
      <c r="BH214" s="22"/>
      <c r="BI214" s="22"/>
      <c r="BJ214" s="22"/>
      <c r="BK214" s="22"/>
      <c r="BL214" s="22"/>
      <c r="BM214" s="22"/>
      <c r="BN214" s="22"/>
    </row>
    <row r="215" spans="60:66" x14ac:dyDescent="0.25">
      <c r="BH215" s="22"/>
      <c r="BI215" s="22"/>
      <c r="BJ215" s="22"/>
      <c r="BK215" s="22"/>
      <c r="BL215" s="22"/>
      <c r="BM215" s="22"/>
      <c r="BN215" s="22"/>
    </row>
    <row r="216" spans="60:66" x14ac:dyDescent="0.25">
      <c r="BH216" s="22"/>
      <c r="BI216" s="22"/>
      <c r="BJ216" s="22"/>
      <c r="BK216" s="22"/>
      <c r="BL216" s="22"/>
      <c r="BM216" s="22"/>
      <c r="BN216" s="22"/>
    </row>
    <row r="217" spans="60:66" x14ac:dyDescent="0.25">
      <c r="BH217" s="22"/>
      <c r="BI217" s="22"/>
      <c r="BJ217" s="22"/>
      <c r="BK217" s="22"/>
      <c r="BL217" s="22"/>
      <c r="BM217" s="22"/>
      <c r="BN217" s="22"/>
    </row>
    <row r="218" spans="60:66" x14ac:dyDescent="0.25">
      <c r="BH218" s="22"/>
      <c r="BI218" s="22"/>
      <c r="BJ218" s="22"/>
      <c r="BK218" s="22"/>
      <c r="BL218" s="22"/>
      <c r="BM218" s="22"/>
      <c r="BN218" s="22"/>
    </row>
    <row r="219" spans="60:66" x14ac:dyDescent="0.25">
      <c r="BH219" s="22"/>
      <c r="BI219" s="22"/>
      <c r="BJ219" s="22"/>
      <c r="BK219" s="22"/>
      <c r="BL219" s="22"/>
      <c r="BM219" s="22"/>
      <c r="BN219" s="22"/>
    </row>
    <row r="220" spans="60:66" x14ac:dyDescent="0.25">
      <c r="BH220" s="22"/>
      <c r="BI220" s="22"/>
      <c r="BJ220" s="22"/>
      <c r="BK220" s="22"/>
      <c r="BL220" s="22"/>
      <c r="BM220" s="22"/>
      <c r="BN220" s="22"/>
    </row>
    <row r="221" spans="60:66" x14ac:dyDescent="0.25">
      <c r="BH221" s="22"/>
      <c r="BI221" s="22"/>
      <c r="BJ221" s="22"/>
      <c r="BK221" s="22"/>
      <c r="BL221" s="22"/>
      <c r="BM221" s="22"/>
      <c r="BN221" s="22"/>
    </row>
    <row r="222" spans="60:66" x14ac:dyDescent="0.25">
      <c r="BH222" s="22"/>
      <c r="BI222" s="22"/>
      <c r="BJ222" s="22"/>
      <c r="BK222" s="22"/>
      <c r="BL222" s="22"/>
      <c r="BM222" s="22"/>
      <c r="BN222" s="22"/>
    </row>
    <row r="223" spans="60:66" x14ac:dyDescent="0.25">
      <c r="BH223" s="22"/>
      <c r="BI223" s="22"/>
      <c r="BJ223" s="22"/>
      <c r="BK223" s="22"/>
      <c r="BL223" s="22"/>
      <c r="BM223" s="22"/>
      <c r="BN223" s="22"/>
    </row>
    <row r="224" spans="60:66" x14ac:dyDescent="0.25">
      <c r="BH224" s="22"/>
      <c r="BI224" s="22"/>
      <c r="BJ224" s="22"/>
      <c r="BK224" s="22"/>
      <c r="BL224" s="22"/>
      <c r="BM224" s="22"/>
      <c r="BN224" s="22"/>
    </row>
    <row r="225" spans="60:66" x14ac:dyDescent="0.25">
      <c r="BH225" s="22"/>
      <c r="BI225" s="22"/>
      <c r="BJ225" s="22"/>
      <c r="BK225" s="22"/>
      <c r="BL225" s="22"/>
      <c r="BM225" s="22"/>
      <c r="BN225" s="22"/>
    </row>
    <row r="226" spans="60:66" x14ac:dyDescent="0.25">
      <c r="BH226" s="22"/>
      <c r="BI226" s="22"/>
      <c r="BJ226" s="22"/>
      <c r="BK226" s="22"/>
      <c r="BL226" s="22"/>
      <c r="BM226" s="22"/>
      <c r="BN226" s="22"/>
    </row>
    <row r="227" spans="60:66" x14ac:dyDescent="0.25">
      <c r="BH227" s="22"/>
      <c r="BI227" s="22"/>
      <c r="BJ227" s="22"/>
      <c r="BK227" s="22"/>
      <c r="BL227" s="22"/>
      <c r="BM227" s="22"/>
      <c r="BN227" s="22"/>
    </row>
    <row r="228" spans="60:66" x14ac:dyDescent="0.25">
      <c r="BH228" s="22"/>
      <c r="BI228" s="22"/>
      <c r="BJ228" s="22"/>
      <c r="BK228" s="22"/>
      <c r="BL228" s="22"/>
      <c r="BM228" s="22"/>
      <c r="BN228" s="22"/>
    </row>
    <row r="229" spans="60:66" x14ac:dyDescent="0.25">
      <c r="BH229" s="22"/>
      <c r="BI229" s="22"/>
      <c r="BJ229" s="22"/>
      <c r="BK229" s="22"/>
      <c r="BL229" s="22"/>
      <c r="BM229" s="22"/>
      <c r="BN229" s="22"/>
    </row>
    <row r="230" spans="60:66" x14ac:dyDescent="0.25">
      <c r="BH230" s="22"/>
      <c r="BI230" s="22"/>
      <c r="BJ230" s="22"/>
      <c r="BK230" s="22"/>
      <c r="BL230" s="22"/>
      <c r="BM230" s="22"/>
      <c r="BN230" s="22"/>
    </row>
    <row r="231" spans="60:66" x14ac:dyDescent="0.25">
      <c r="BH231" s="22"/>
      <c r="BI231" s="22"/>
      <c r="BJ231" s="22"/>
      <c r="BK231" s="22"/>
      <c r="BL231" s="22"/>
      <c r="BM231" s="22"/>
      <c r="BN231" s="22"/>
    </row>
    <row r="232" spans="60:66" x14ac:dyDescent="0.25">
      <c r="BH232" s="22"/>
      <c r="BI232" s="22"/>
      <c r="BJ232" s="22"/>
      <c r="BK232" s="22"/>
      <c r="BL232" s="22"/>
      <c r="BM232" s="22"/>
      <c r="BN232" s="22"/>
    </row>
    <row r="233" spans="60:66" x14ac:dyDescent="0.25">
      <c r="BH233" s="22"/>
      <c r="BI233" s="22"/>
      <c r="BJ233" s="22"/>
      <c r="BK233" s="22"/>
      <c r="BL233" s="22"/>
      <c r="BM233" s="22"/>
      <c r="BN233" s="22"/>
    </row>
    <row r="234" spans="60:66" x14ac:dyDescent="0.25">
      <c r="BH234" s="22"/>
      <c r="BI234" s="22"/>
      <c r="BJ234" s="22"/>
      <c r="BK234" s="22"/>
      <c r="BL234" s="22"/>
      <c r="BM234" s="22"/>
      <c r="BN234" s="22"/>
    </row>
    <row r="235" spans="60:66" x14ac:dyDescent="0.25">
      <c r="BH235" s="22"/>
      <c r="BI235" s="22"/>
      <c r="BJ235" s="22"/>
      <c r="BK235" s="22"/>
      <c r="BL235" s="22"/>
      <c r="BM235" s="22"/>
      <c r="BN235" s="22"/>
    </row>
    <row r="236" spans="60:66" x14ac:dyDescent="0.25">
      <c r="BH236" s="22"/>
      <c r="BI236" s="22"/>
      <c r="BJ236" s="22"/>
      <c r="BK236" s="22"/>
      <c r="BL236" s="22"/>
      <c r="BM236" s="22"/>
      <c r="BN236" s="22"/>
    </row>
    <row r="237" spans="60:66" x14ac:dyDescent="0.25">
      <c r="BH237" s="22"/>
      <c r="BI237" s="22"/>
      <c r="BJ237" s="22"/>
      <c r="BK237" s="22"/>
      <c r="BL237" s="22"/>
      <c r="BM237" s="22"/>
      <c r="BN237" s="22"/>
    </row>
    <row r="238" spans="60:66" x14ac:dyDescent="0.25">
      <c r="BH238" s="22"/>
      <c r="BI238" s="22"/>
      <c r="BJ238" s="22"/>
      <c r="BK238" s="22"/>
      <c r="BL238" s="22"/>
      <c r="BM238" s="22"/>
      <c r="BN238" s="22"/>
    </row>
    <row r="239" spans="60:66" x14ac:dyDescent="0.25">
      <c r="BH239" s="22"/>
      <c r="BI239" s="22"/>
      <c r="BJ239" s="22"/>
      <c r="BK239" s="22"/>
      <c r="BL239" s="22"/>
      <c r="BM239" s="22"/>
      <c r="BN239" s="22"/>
    </row>
    <row r="240" spans="60:66" x14ac:dyDescent="0.25">
      <c r="BH240" s="22"/>
      <c r="BI240" s="22"/>
      <c r="BJ240" s="22"/>
      <c r="BK240" s="22"/>
      <c r="BL240" s="22"/>
      <c r="BM240" s="22"/>
      <c r="BN240" s="22"/>
    </row>
    <row r="241" spans="60:66" x14ac:dyDescent="0.25">
      <c r="BH241" s="22"/>
      <c r="BI241" s="22"/>
      <c r="BJ241" s="22"/>
      <c r="BK241" s="22"/>
      <c r="BL241" s="22"/>
      <c r="BM241" s="22"/>
      <c r="BN241" s="22"/>
    </row>
    <row r="242" spans="60:66" x14ac:dyDescent="0.25">
      <c r="BH242" s="22"/>
      <c r="BI242" s="22"/>
      <c r="BJ242" s="22"/>
      <c r="BK242" s="22"/>
      <c r="BL242" s="22"/>
      <c r="BM242" s="22"/>
      <c r="BN242" s="22"/>
    </row>
    <row r="243" spans="60:66" x14ac:dyDescent="0.25">
      <c r="BH243" s="22"/>
      <c r="BI243" s="22"/>
      <c r="BJ243" s="22"/>
      <c r="BK243" s="22"/>
      <c r="BL243" s="22"/>
      <c r="BM243" s="22"/>
      <c r="BN243" s="22"/>
    </row>
    <row r="244" spans="60:66" x14ac:dyDescent="0.25">
      <c r="BH244" s="22"/>
      <c r="BI244" s="22"/>
      <c r="BJ244" s="22"/>
      <c r="BK244" s="22"/>
      <c r="BL244" s="22"/>
      <c r="BM244" s="22"/>
      <c r="BN244" s="22"/>
    </row>
    <row r="245" spans="60:66" x14ac:dyDescent="0.25">
      <c r="BH245" s="22"/>
      <c r="BI245" s="22"/>
      <c r="BJ245" s="22"/>
      <c r="BK245" s="22"/>
      <c r="BL245" s="22"/>
      <c r="BM245" s="22"/>
      <c r="BN245" s="22"/>
    </row>
    <row r="246" spans="60:66" x14ac:dyDescent="0.25">
      <c r="BH246" s="22"/>
      <c r="BI246" s="22"/>
      <c r="BJ246" s="22"/>
      <c r="BK246" s="22"/>
      <c r="BL246" s="22"/>
      <c r="BM246" s="22"/>
      <c r="BN246" s="22"/>
    </row>
    <row r="247" spans="60:66" x14ac:dyDescent="0.25">
      <c r="BH247" s="22"/>
      <c r="BI247" s="22"/>
      <c r="BJ247" s="22"/>
      <c r="BK247" s="22"/>
      <c r="BL247" s="22"/>
      <c r="BM247" s="22"/>
      <c r="BN247" s="22"/>
    </row>
  </sheetData>
  <conditionalFormatting sqref="K10:AO29">
    <cfRule type="containsText" dxfId="42" priority="1" operator="containsText" text="L">
      <formula>NOT(ISERROR(SEARCH("L",K10)))</formula>
    </cfRule>
    <cfRule type="containsText" dxfId="41" priority="2" operator="containsText" text="A">
      <formula>NOT(ISERROR(SEARCH("A",K10)))</formula>
    </cfRule>
    <cfRule type="containsText" dxfId="40" priority="3" operator="containsText" text="P">
      <formula>NOT(ISERROR(SEARCH("P",K10)))</formula>
    </cfRule>
  </conditionalFormatting>
  <conditionalFormatting sqref="L10:M29 K11:K29">
    <cfRule type="containsText" dxfId="39" priority="4" operator="containsText" text="WO">
      <formula>NOT(ISERROR(SEARCH("WO",K10)))</formula>
    </cfRule>
  </conditionalFormatting>
  <conditionalFormatting sqref="Q10:R29">
    <cfRule type="containsText" dxfId="38" priority="9" operator="containsText" text="WO">
      <formula>NOT(ISERROR(SEARCH("WO",Q10)))</formula>
    </cfRule>
  </conditionalFormatting>
  <conditionalFormatting sqref="W11:W29">
    <cfRule type="containsText" dxfId="37" priority="8" operator="containsText" text="WO">
      <formula>NOT(ISERROR(SEARCH("WO",W11)))</formula>
    </cfRule>
  </conditionalFormatting>
  <conditionalFormatting sqref="X10:Y29">
    <cfRule type="containsText" dxfId="36" priority="14" operator="containsText" text="WO">
      <formula>NOT(ISERROR(SEARCH("WO",X10)))</formula>
    </cfRule>
  </conditionalFormatting>
  <conditionalFormatting sqref="AD11:AD29">
    <cfRule type="containsText" dxfId="35" priority="13" operator="containsText" text="WO">
      <formula>NOT(ISERROR(SEARCH("WO",AD11)))</formula>
    </cfRule>
  </conditionalFormatting>
  <conditionalFormatting sqref="AE10:AF29">
    <cfRule type="containsText" dxfId="34" priority="19" operator="containsText" text="WO">
      <formula>NOT(ISERROR(SEARCH("WO",AE10)))</formula>
    </cfRule>
  </conditionalFormatting>
  <conditionalFormatting sqref="AK11:AK29">
    <cfRule type="containsText" dxfId="33" priority="18" operator="containsText" text="WO">
      <formula>NOT(ISERROR(SEARCH("WO",AK11)))</formula>
    </cfRule>
  </conditionalFormatting>
  <conditionalFormatting sqref="AL10:AO29 J10:J29">
    <cfRule type="containsText" dxfId="32" priority="23" operator="containsText" text="WO">
      <formula>NOT(ISERROR(SEARCH("WO",J10)))</formula>
    </cfRule>
  </conditionalFormatting>
  <dataValidations count="1">
    <dataValidation type="list" allowBlank="1" showInputMessage="1" showErrorMessage="1" sqref="R10:W29 Y10:AD29 AF10:AK29 AM10:AN29 K10:P29" xr:uid="{0AB4177E-0AC3-4D20-9380-E856617D6FC1}">
      <formula1>"P, A, 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BA218A-6298-4F09-83BE-11E40C5289F0}">
          <x14:formula1>
            <xm:f>Sheet2!$A$1:$A$12</xm:f>
          </x14:formula1>
          <xm:sqref>H6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D09D0FEC-0B1A-4AA2-AC91-C291F1D8F86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Sep!AV10:AY10</xm:f>
              <xm:sqref>BF10</xm:sqref>
            </x14:sparkline>
            <x14:sparkline>
              <xm:f>Sep!AV11:AY11</xm:f>
              <xm:sqref>BF11</xm:sqref>
            </x14:sparkline>
            <x14:sparkline>
              <xm:f>Sep!AV12:AY12</xm:f>
              <xm:sqref>BF12</xm:sqref>
            </x14:sparkline>
            <x14:sparkline>
              <xm:f>Sep!AV13:AY13</xm:f>
              <xm:sqref>BF13</xm:sqref>
            </x14:sparkline>
            <x14:sparkline>
              <xm:f>Sep!AV14:AY14</xm:f>
              <xm:sqref>BF14</xm:sqref>
            </x14:sparkline>
            <x14:sparkline>
              <xm:f>Sep!AV15:AY15</xm:f>
              <xm:sqref>BF15</xm:sqref>
            </x14:sparkline>
            <x14:sparkline>
              <xm:f>Sep!AV16:AY16</xm:f>
              <xm:sqref>BF16</xm:sqref>
            </x14:sparkline>
            <x14:sparkline>
              <xm:f>Sep!AV17:AY17</xm:f>
              <xm:sqref>BF17</xm:sqref>
            </x14:sparkline>
            <x14:sparkline>
              <xm:f>Sep!AV18:AY18</xm:f>
              <xm:sqref>BF18</xm:sqref>
            </x14:sparkline>
            <x14:sparkline>
              <xm:f>Sep!AV19:AY19</xm:f>
              <xm:sqref>BF19</xm:sqref>
            </x14:sparkline>
            <x14:sparkline>
              <xm:f>Sep!AV20:AY20</xm:f>
              <xm:sqref>BF20</xm:sqref>
            </x14:sparkline>
            <x14:sparkline>
              <xm:f>Sep!AV21:AY21</xm:f>
              <xm:sqref>BF21</xm:sqref>
            </x14:sparkline>
            <x14:sparkline>
              <xm:f>Sep!AV22:AY22</xm:f>
              <xm:sqref>BF22</xm:sqref>
            </x14:sparkline>
            <x14:sparkline>
              <xm:f>Sep!AV23:AY23</xm:f>
              <xm:sqref>BF23</xm:sqref>
            </x14:sparkline>
            <x14:sparkline>
              <xm:f>Sep!AV24:AY24</xm:f>
              <xm:sqref>BF24</xm:sqref>
            </x14:sparkline>
            <x14:sparkline>
              <xm:f>Sep!AV25:AY25</xm:f>
              <xm:sqref>BF25</xm:sqref>
            </x14:sparkline>
            <x14:sparkline>
              <xm:f>Sep!AV26:AY26</xm:f>
              <xm:sqref>BF26</xm:sqref>
            </x14:sparkline>
            <x14:sparkline>
              <xm:f>Sep!AV27:AY27</xm:f>
              <xm:sqref>BF27</xm:sqref>
            </x14:sparkline>
            <x14:sparkline>
              <xm:f>Sep!AV28:AY28</xm:f>
              <xm:sqref>BF28</xm:sqref>
            </x14:sparkline>
            <x14:sparkline>
              <xm:f>Sep!AV29:AY29</xm:f>
              <xm:sqref>BF29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34EB2-18C3-4E14-B729-FB6BAEC143C0}">
  <dimension ref="E1:BO247"/>
  <sheetViews>
    <sheetView zoomScale="85" zoomScaleNormal="85" workbookViewId="0"/>
  </sheetViews>
  <sheetFormatPr defaultRowHeight="15.75" x14ac:dyDescent="0.25"/>
  <cols>
    <col min="1" max="4" width="9.140625" style="3"/>
    <col min="5" max="5" width="9.140625" style="22"/>
    <col min="6" max="6" width="9.140625" style="3"/>
    <col min="7" max="7" width="9.28515625" style="3" bestFit="1" customWidth="1"/>
    <col min="8" max="8" width="26.85546875" style="3" customWidth="1"/>
    <col min="9" max="9" width="15" style="3" customWidth="1"/>
    <col min="10" max="10" width="19.28515625" style="3" customWidth="1"/>
    <col min="11" max="11" width="9.140625" style="3"/>
    <col min="12" max="12" width="9.28515625" style="3" bestFit="1" customWidth="1"/>
    <col min="13" max="13" width="13.7109375" style="3" customWidth="1"/>
    <col min="14" max="41" width="9.28515625" style="3" bestFit="1" customWidth="1"/>
    <col min="42" max="42" width="9.140625" style="3"/>
    <col min="43" max="43" width="9.140625" style="22"/>
    <col min="44" max="44" width="9.140625" style="3"/>
    <col min="45" max="46" width="15.42578125" style="3" customWidth="1"/>
    <col min="47" max="47" width="15.5703125" style="3" customWidth="1"/>
    <col min="48" max="48" width="10.7109375" style="3" customWidth="1"/>
    <col min="49" max="49" width="10.28515625" style="3" customWidth="1"/>
    <col min="50" max="50" width="9.140625" style="3"/>
    <col min="51" max="51" width="11.5703125" style="3" customWidth="1"/>
    <col min="52" max="52" width="9.140625" style="3"/>
    <col min="53" max="53" width="13.7109375" style="3" customWidth="1"/>
    <col min="54" max="54" width="13.5703125" style="3" customWidth="1"/>
    <col min="55" max="55" width="17.85546875" style="3" customWidth="1"/>
    <col min="56" max="56" width="15" style="3" customWidth="1"/>
    <col min="57" max="57" width="18.140625" style="3" customWidth="1"/>
    <col min="58" max="58" width="25.140625" style="3" customWidth="1"/>
    <col min="59" max="59" width="9.140625" style="22"/>
    <col min="60" max="16384" width="9.140625" style="3"/>
  </cols>
  <sheetData>
    <row r="1" spans="6:67" x14ac:dyDescent="0.25">
      <c r="BH1" s="22"/>
      <c r="BI1" s="22"/>
      <c r="BJ1" s="22"/>
      <c r="BK1" s="22"/>
      <c r="BL1" s="22"/>
      <c r="BM1" s="22"/>
      <c r="BN1" s="22"/>
      <c r="BO1" s="22"/>
    </row>
    <row r="2" spans="6:67" x14ac:dyDescent="0.25">
      <c r="BH2" s="22"/>
      <c r="BI2" s="22"/>
      <c r="BJ2" s="22"/>
      <c r="BK2" s="22"/>
      <c r="BL2" s="22"/>
      <c r="BM2" s="22"/>
      <c r="BN2" s="22"/>
    </row>
    <row r="3" spans="6:67" x14ac:dyDescent="0.25">
      <c r="BH3" s="22"/>
      <c r="BI3" s="22"/>
      <c r="BJ3" s="22"/>
      <c r="BK3" s="22"/>
      <c r="BL3" s="22"/>
      <c r="BM3" s="22"/>
      <c r="BN3" s="22"/>
    </row>
    <row r="4" spans="6:67" s="22" customFormat="1" x14ac:dyDescent="0.25"/>
    <row r="5" spans="6:67" s="22" customFormat="1" x14ac:dyDescent="0.25"/>
    <row r="6" spans="6:67" s="22" customFormat="1" x14ac:dyDescent="0.25">
      <c r="G6" s="25" t="s">
        <v>22</v>
      </c>
      <c r="H6" s="26">
        <v>45931</v>
      </c>
      <c r="I6" s="27">
        <f>(DATEDIF($H$6,$M$6,"D"))+1</f>
        <v>31</v>
      </c>
      <c r="J6" s="25" t="str">
        <f>TEXT(H6,"MMMM")</f>
        <v>October</v>
      </c>
      <c r="K6" s="25"/>
      <c r="L6" s="25" t="s">
        <v>23</v>
      </c>
      <c r="M6" s="26">
        <f>EOMONTH(H6,0)</f>
        <v>45961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6:67" x14ac:dyDescent="0.25"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2"/>
      <c r="BI7" s="22"/>
      <c r="BJ7" s="22"/>
      <c r="BK7" s="22"/>
      <c r="BL7" s="22"/>
      <c r="BM7" s="22"/>
      <c r="BN7" s="22"/>
    </row>
    <row r="8" spans="6:67" x14ac:dyDescent="0.25">
      <c r="F8" s="21"/>
      <c r="G8" s="5"/>
      <c r="H8" s="5" t="s">
        <v>25</v>
      </c>
      <c r="I8" s="5"/>
      <c r="J8" s="5" t="s">
        <v>26</v>
      </c>
      <c r="K8" s="5" t="str">
        <f>TEXT(K9,"DDD")</f>
        <v>Wed</v>
      </c>
      <c r="L8" s="5" t="str">
        <f t="shared" ref="L8:AO8" si="0">TEXT(L9,"DDD")</f>
        <v>Thu</v>
      </c>
      <c r="M8" s="5" t="str">
        <f t="shared" si="0"/>
        <v>Fri</v>
      </c>
      <c r="N8" s="5" t="str">
        <f t="shared" si="0"/>
        <v>Sat</v>
      </c>
      <c r="O8" s="5" t="str">
        <f t="shared" si="0"/>
        <v>Sun</v>
      </c>
      <c r="P8" s="5" t="str">
        <f t="shared" si="0"/>
        <v>Mon</v>
      </c>
      <c r="Q8" s="5" t="str">
        <f t="shared" si="0"/>
        <v>Tue</v>
      </c>
      <c r="R8" s="5" t="str">
        <f t="shared" si="0"/>
        <v>Wed</v>
      </c>
      <c r="S8" s="5" t="str">
        <f t="shared" si="0"/>
        <v>Thu</v>
      </c>
      <c r="T8" s="5" t="str">
        <f t="shared" si="0"/>
        <v>Fri</v>
      </c>
      <c r="U8" s="5" t="str">
        <f t="shared" si="0"/>
        <v>Sat</v>
      </c>
      <c r="V8" s="5" t="str">
        <f t="shared" si="0"/>
        <v>Sun</v>
      </c>
      <c r="W8" s="5" t="str">
        <f t="shared" si="0"/>
        <v>Mon</v>
      </c>
      <c r="X8" s="5" t="str">
        <f t="shared" si="0"/>
        <v>Tue</v>
      </c>
      <c r="Y8" s="5" t="str">
        <f t="shared" si="0"/>
        <v>Wed</v>
      </c>
      <c r="Z8" s="5" t="str">
        <f t="shared" si="0"/>
        <v>Thu</v>
      </c>
      <c r="AA8" s="5" t="str">
        <f t="shared" si="0"/>
        <v>Fri</v>
      </c>
      <c r="AB8" s="5" t="str">
        <f t="shared" si="0"/>
        <v>Sat</v>
      </c>
      <c r="AC8" s="5" t="str">
        <f t="shared" si="0"/>
        <v>Sun</v>
      </c>
      <c r="AD8" s="5" t="str">
        <f t="shared" si="0"/>
        <v>Mon</v>
      </c>
      <c r="AE8" s="5" t="str">
        <f t="shared" si="0"/>
        <v>Tue</v>
      </c>
      <c r="AF8" s="5" t="str">
        <f t="shared" si="0"/>
        <v>Wed</v>
      </c>
      <c r="AG8" s="5" t="str">
        <f t="shared" si="0"/>
        <v>Thu</v>
      </c>
      <c r="AH8" s="5" t="str">
        <f t="shared" si="0"/>
        <v>Fri</v>
      </c>
      <c r="AI8" s="5" t="str">
        <f t="shared" si="0"/>
        <v>Sat</v>
      </c>
      <c r="AJ8" s="5" t="str">
        <f t="shared" si="0"/>
        <v>Sun</v>
      </c>
      <c r="AK8" s="5" t="str">
        <f t="shared" si="0"/>
        <v>Mon</v>
      </c>
      <c r="AL8" s="5" t="str">
        <f t="shared" si="0"/>
        <v>Tue</v>
      </c>
      <c r="AM8" s="5" t="str">
        <f t="shared" si="0"/>
        <v>Wed</v>
      </c>
      <c r="AN8" s="5" t="str">
        <f t="shared" si="0"/>
        <v>Thu</v>
      </c>
      <c r="AO8" s="5" t="str">
        <f t="shared" si="0"/>
        <v>Fri</v>
      </c>
      <c r="AP8" s="21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2"/>
      <c r="BI8" s="22"/>
      <c r="BJ8" s="22"/>
      <c r="BK8" s="22"/>
      <c r="BL8" s="22"/>
      <c r="BM8" s="22"/>
      <c r="BN8" s="22"/>
    </row>
    <row r="9" spans="6:67" ht="16.5" thickBot="1" x14ac:dyDescent="0.3">
      <c r="F9" s="21"/>
      <c r="G9" s="13" t="s">
        <v>0</v>
      </c>
      <c r="H9" s="13" t="s">
        <v>1</v>
      </c>
      <c r="I9" s="13" t="s">
        <v>2</v>
      </c>
      <c r="J9" s="14" t="s">
        <v>21</v>
      </c>
      <c r="K9" s="15">
        <f>H6</f>
        <v>45931</v>
      </c>
      <c r="L9" s="15">
        <f>IF(K9&lt;$M$6,K9+1,"")</f>
        <v>45932</v>
      </c>
      <c r="M9" s="15">
        <f t="shared" ref="M9:AO9" si="1">IF(L9&lt;$M$6,L9+1,"")</f>
        <v>45933</v>
      </c>
      <c r="N9" s="15">
        <f t="shared" si="1"/>
        <v>45934</v>
      </c>
      <c r="O9" s="15">
        <f t="shared" si="1"/>
        <v>45935</v>
      </c>
      <c r="P9" s="15">
        <f t="shared" si="1"/>
        <v>45936</v>
      </c>
      <c r="Q9" s="15">
        <f t="shared" si="1"/>
        <v>45937</v>
      </c>
      <c r="R9" s="15">
        <f t="shared" si="1"/>
        <v>45938</v>
      </c>
      <c r="S9" s="15">
        <f t="shared" si="1"/>
        <v>45939</v>
      </c>
      <c r="T9" s="15">
        <f t="shared" si="1"/>
        <v>45940</v>
      </c>
      <c r="U9" s="15">
        <f t="shared" si="1"/>
        <v>45941</v>
      </c>
      <c r="V9" s="15">
        <f t="shared" si="1"/>
        <v>45942</v>
      </c>
      <c r="W9" s="15">
        <f t="shared" si="1"/>
        <v>45943</v>
      </c>
      <c r="X9" s="15">
        <f t="shared" si="1"/>
        <v>45944</v>
      </c>
      <c r="Y9" s="15">
        <f t="shared" si="1"/>
        <v>45945</v>
      </c>
      <c r="Z9" s="15">
        <f t="shared" si="1"/>
        <v>45946</v>
      </c>
      <c r="AA9" s="15">
        <f t="shared" si="1"/>
        <v>45947</v>
      </c>
      <c r="AB9" s="15">
        <f t="shared" si="1"/>
        <v>45948</v>
      </c>
      <c r="AC9" s="15">
        <f t="shared" si="1"/>
        <v>45949</v>
      </c>
      <c r="AD9" s="15">
        <f t="shared" si="1"/>
        <v>45950</v>
      </c>
      <c r="AE9" s="15">
        <f t="shared" si="1"/>
        <v>45951</v>
      </c>
      <c r="AF9" s="15">
        <f t="shared" si="1"/>
        <v>45952</v>
      </c>
      <c r="AG9" s="15">
        <f t="shared" si="1"/>
        <v>45953</v>
      </c>
      <c r="AH9" s="15">
        <f t="shared" si="1"/>
        <v>45954</v>
      </c>
      <c r="AI9" s="15">
        <f t="shared" si="1"/>
        <v>45955</v>
      </c>
      <c r="AJ9" s="15">
        <f t="shared" si="1"/>
        <v>45956</v>
      </c>
      <c r="AK9" s="15">
        <f t="shared" si="1"/>
        <v>45957</v>
      </c>
      <c r="AL9" s="15">
        <f t="shared" si="1"/>
        <v>45958</v>
      </c>
      <c r="AM9" s="15">
        <f t="shared" si="1"/>
        <v>45959</v>
      </c>
      <c r="AN9" s="15">
        <f t="shared" si="1"/>
        <v>45960</v>
      </c>
      <c r="AO9" s="15">
        <f t="shared" si="1"/>
        <v>45961</v>
      </c>
      <c r="AP9" s="21"/>
      <c r="AQ9" s="24"/>
      <c r="AR9" s="18" t="s">
        <v>0</v>
      </c>
      <c r="AS9" s="18" t="s">
        <v>1</v>
      </c>
      <c r="AT9" s="18" t="s">
        <v>37</v>
      </c>
      <c r="AU9" s="18" t="s">
        <v>2</v>
      </c>
      <c r="AV9" s="18" t="s">
        <v>27</v>
      </c>
      <c r="AW9" s="18" t="s">
        <v>28</v>
      </c>
      <c r="AX9" s="18" t="s">
        <v>29</v>
      </c>
      <c r="AY9" s="18" t="s">
        <v>30</v>
      </c>
      <c r="AZ9" s="18" t="s">
        <v>26</v>
      </c>
      <c r="BA9" s="18" t="s">
        <v>31</v>
      </c>
      <c r="BB9" s="18" t="s">
        <v>32</v>
      </c>
      <c r="BC9" s="18" t="s">
        <v>33</v>
      </c>
      <c r="BD9" s="18" t="s">
        <v>34</v>
      </c>
      <c r="BE9" s="18" t="s">
        <v>35</v>
      </c>
      <c r="BF9" s="18" t="s">
        <v>36</v>
      </c>
      <c r="BG9" s="24"/>
      <c r="BH9" s="22"/>
      <c r="BI9" s="22"/>
      <c r="BJ9" s="22"/>
      <c r="BK9" s="22"/>
      <c r="BL9" s="22"/>
      <c r="BM9" s="22"/>
      <c r="BN9" s="22"/>
    </row>
    <row r="10" spans="6:67" x14ac:dyDescent="0.25">
      <c r="F10" s="21"/>
      <c r="G10" s="6">
        <v>1</v>
      </c>
      <c r="H10" s="7" t="s">
        <v>3</v>
      </c>
      <c r="I10" s="7">
        <v>1001</v>
      </c>
      <c r="J10" s="46">
        <f>COUNTIF($J$8:$AO$8,"SUN")</f>
        <v>4</v>
      </c>
      <c r="K10" s="51" t="s">
        <v>38</v>
      </c>
      <c r="L10" s="51" t="s">
        <v>39</v>
      </c>
      <c r="M10" s="51" t="s">
        <v>38</v>
      </c>
      <c r="N10" s="51" t="s">
        <v>38</v>
      </c>
      <c r="O10" s="43" t="str">
        <f t="shared" ref="O10:AJ20" si="2">IF(O$8="SUN","WO","")</f>
        <v>WO</v>
      </c>
      <c r="P10" s="52" t="s">
        <v>38</v>
      </c>
      <c r="Q10" s="51" t="s">
        <v>38</v>
      </c>
      <c r="R10" s="51" t="s">
        <v>38</v>
      </c>
      <c r="S10" s="51" t="s">
        <v>38</v>
      </c>
      <c r="T10" s="51" t="s">
        <v>38</v>
      </c>
      <c r="U10" s="51" t="s">
        <v>39</v>
      </c>
      <c r="V10" s="43" t="str">
        <f t="shared" si="2"/>
        <v>WO</v>
      </c>
      <c r="W10" s="52" t="s">
        <v>38</v>
      </c>
      <c r="X10" s="51" t="s">
        <v>38</v>
      </c>
      <c r="Y10" s="51" t="s">
        <v>38</v>
      </c>
      <c r="Z10" s="51" t="s">
        <v>38</v>
      </c>
      <c r="AA10" s="51" t="s">
        <v>38</v>
      </c>
      <c r="AB10" s="51" t="s">
        <v>39</v>
      </c>
      <c r="AC10" s="43" t="str">
        <f t="shared" si="2"/>
        <v>WO</v>
      </c>
      <c r="AD10" s="52" t="s">
        <v>38</v>
      </c>
      <c r="AE10" s="51" t="s">
        <v>38</v>
      </c>
      <c r="AF10" s="51" t="s">
        <v>38</v>
      </c>
      <c r="AG10" s="51" t="s">
        <v>38</v>
      </c>
      <c r="AH10" s="51" t="s">
        <v>38</v>
      </c>
      <c r="AI10" s="51" t="s">
        <v>39</v>
      </c>
      <c r="AJ10" s="43" t="str">
        <f t="shared" si="2"/>
        <v>WO</v>
      </c>
      <c r="AK10" s="52" t="s">
        <v>40</v>
      </c>
      <c r="AL10" s="52" t="s">
        <v>38</v>
      </c>
      <c r="AM10" s="52" t="s">
        <v>38</v>
      </c>
      <c r="AN10" s="52" t="s">
        <v>38</v>
      </c>
      <c r="AO10" s="54" t="s">
        <v>38</v>
      </c>
      <c r="AP10" s="21"/>
      <c r="AQ10" s="24"/>
      <c r="AR10" s="10">
        <v>1</v>
      </c>
      <c r="AS10" s="9" t="s">
        <v>3</v>
      </c>
      <c r="AT10" s="9" t="str">
        <f t="shared" ref="AT10:AT29" si="3">$J$6</f>
        <v>October</v>
      </c>
      <c r="AU10" s="9">
        <v>1001</v>
      </c>
      <c r="AV10" s="9">
        <f t="shared" ref="AV10:AV29" si="4">COUNTIF($K10:$AO10,"P")</f>
        <v>22</v>
      </c>
      <c r="AW10" s="9">
        <f t="shared" ref="AW10:AW29" si="5">COUNTIF($K10:$AO10,"A")</f>
        <v>4</v>
      </c>
      <c r="AX10" s="9">
        <f t="shared" ref="AX10:AX29" si="6">COUNTIF($K10:$AO10,"L")</f>
        <v>1</v>
      </c>
      <c r="AY10" s="16">
        <f t="shared" ref="AY10:AY29" si="7">$J$10</f>
        <v>4</v>
      </c>
      <c r="AZ10" s="16">
        <f t="shared" ref="AZ10:AZ29" si="8">$I$6</f>
        <v>31</v>
      </c>
      <c r="BA10" s="16">
        <f>OctReport[[#This Row],[Days]]-OctReport[[#This Row],[Absent]]</f>
        <v>27</v>
      </c>
      <c r="BB10" s="19">
        <v>10000</v>
      </c>
      <c r="BC10" s="20">
        <f>OctReport[[#This Row],[Salary ]]/OctReport[[#This Row],[Days]]</f>
        <v>322.58064516129031</v>
      </c>
      <c r="BD10" s="20">
        <f>OctReport[[#This Row],[Per Day Salary ]]*OctReport[[#This Row],[Absent]]</f>
        <v>1290.3225806451612</v>
      </c>
      <c r="BE10" s="20">
        <f>OctReport[[#This Row],[Salary ]]-OctReport[[#This Row],[Deduction]]</f>
        <v>8709.677419354839</v>
      </c>
      <c r="BF10" s="20"/>
      <c r="BG10" s="24"/>
      <c r="BH10" s="22"/>
      <c r="BI10" s="22"/>
      <c r="BJ10" s="22"/>
      <c r="BK10" s="22"/>
      <c r="BL10" s="22"/>
      <c r="BM10" s="22"/>
      <c r="BN10" s="22"/>
    </row>
    <row r="11" spans="6:67" x14ac:dyDescent="0.25">
      <c r="F11" s="21"/>
      <c r="G11" s="8">
        <v>2</v>
      </c>
      <c r="H11" s="9" t="s">
        <v>4</v>
      </c>
      <c r="I11" s="10">
        <v>1002</v>
      </c>
      <c r="J11" s="47">
        <f t="shared" ref="J11:J29" si="9">COUNTIF($J$8:$AO$8,"SUN")</f>
        <v>4</v>
      </c>
      <c r="K11" s="10" t="s">
        <v>38</v>
      </c>
      <c r="L11" s="10" t="s">
        <v>38</v>
      </c>
      <c r="M11" s="10" t="s">
        <v>38</v>
      </c>
      <c r="N11" s="10" t="s">
        <v>38</v>
      </c>
      <c r="O11" s="44" t="str">
        <f t="shared" ref="O11:V29" si="10">IF(O$8="SUN","WO","")</f>
        <v>WO</v>
      </c>
      <c r="P11" s="16" t="s">
        <v>39</v>
      </c>
      <c r="Q11" s="10" t="s">
        <v>38</v>
      </c>
      <c r="R11" s="10" t="s">
        <v>38</v>
      </c>
      <c r="S11" s="10" t="s">
        <v>38</v>
      </c>
      <c r="T11" s="10" t="s">
        <v>38</v>
      </c>
      <c r="U11" s="16" t="s">
        <v>38</v>
      </c>
      <c r="V11" s="44" t="str">
        <f t="shared" si="10"/>
        <v>WO</v>
      </c>
      <c r="W11" s="16" t="s">
        <v>39</v>
      </c>
      <c r="X11" s="10" t="s">
        <v>38</v>
      </c>
      <c r="Y11" s="10" t="s">
        <v>38</v>
      </c>
      <c r="Z11" s="10" t="s">
        <v>38</v>
      </c>
      <c r="AA11" s="10" t="s">
        <v>38</v>
      </c>
      <c r="AB11" s="16" t="s">
        <v>38</v>
      </c>
      <c r="AC11" s="44" t="str">
        <f t="shared" si="2"/>
        <v>WO</v>
      </c>
      <c r="AD11" s="16" t="s">
        <v>39</v>
      </c>
      <c r="AE11" s="10" t="s">
        <v>38</v>
      </c>
      <c r="AF11" s="10" t="s">
        <v>38</v>
      </c>
      <c r="AG11" s="10" t="s">
        <v>38</v>
      </c>
      <c r="AH11" s="10" t="s">
        <v>38</v>
      </c>
      <c r="AI11" s="16" t="s">
        <v>38</v>
      </c>
      <c r="AJ11" s="44" t="str">
        <f t="shared" si="2"/>
        <v>WO</v>
      </c>
      <c r="AK11" s="16" t="s">
        <v>38</v>
      </c>
      <c r="AL11" s="16" t="s">
        <v>38</v>
      </c>
      <c r="AM11" s="16" t="s">
        <v>38</v>
      </c>
      <c r="AN11" s="16" t="s">
        <v>38</v>
      </c>
      <c r="AO11" s="17" t="s">
        <v>38</v>
      </c>
      <c r="AP11" s="21"/>
      <c r="AQ11" s="24"/>
      <c r="AR11" s="10">
        <v>2</v>
      </c>
      <c r="AS11" s="9" t="s">
        <v>4</v>
      </c>
      <c r="AT11" s="9" t="str">
        <f t="shared" si="3"/>
        <v>October</v>
      </c>
      <c r="AU11" s="9">
        <v>1002</v>
      </c>
      <c r="AV11" s="9">
        <f t="shared" si="4"/>
        <v>24</v>
      </c>
      <c r="AW11" s="16">
        <f t="shared" si="5"/>
        <v>3</v>
      </c>
      <c r="AX11" s="16">
        <f t="shared" si="6"/>
        <v>0</v>
      </c>
      <c r="AY11" s="16">
        <f t="shared" si="7"/>
        <v>4</v>
      </c>
      <c r="AZ11" s="16">
        <f t="shared" si="8"/>
        <v>31</v>
      </c>
      <c r="BA11" s="16">
        <f>OctReport[[#This Row],[Days]]-OctReport[[#This Row],[Absent]]</f>
        <v>28</v>
      </c>
      <c r="BB11" s="19">
        <v>20000</v>
      </c>
      <c r="BC11" s="20">
        <f>OctReport[[#This Row],[Salary ]]/OctReport[[#This Row],[Days]]</f>
        <v>645.16129032258061</v>
      </c>
      <c r="BD11" s="20">
        <f>OctReport[[#This Row],[Per Day Salary ]]*OctReport[[#This Row],[Absent]]</f>
        <v>1935.483870967742</v>
      </c>
      <c r="BE11" s="20">
        <f>OctReport[[#This Row],[Salary ]]-OctReport[[#This Row],[Deduction]]</f>
        <v>18064.516129032258</v>
      </c>
      <c r="BF11" s="20"/>
      <c r="BG11" s="24"/>
      <c r="BH11" s="22"/>
      <c r="BI11" s="22"/>
      <c r="BJ11" s="22"/>
      <c r="BK11" s="22"/>
      <c r="BL11" s="22"/>
      <c r="BM11" s="22"/>
      <c r="BN11" s="22"/>
    </row>
    <row r="12" spans="6:67" x14ac:dyDescent="0.25">
      <c r="F12" s="21"/>
      <c r="G12" s="8">
        <v>3</v>
      </c>
      <c r="H12" s="10" t="s">
        <v>5</v>
      </c>
      <c r="I12" s="10">
        <v>1003</v>
      </c>
      <c r="J12" s="47">
        <f t="shared" si="9"/>
        <v>4</v>
      </c>
      <c r="K12" s="10" t="s">
        <v>38</v>
      </c>
      <c r="L12" s="10" t="s">
        <v>38</v>
      </c>
      <c r="M12" s="10" t="s">
        <v>38</v>
      </c>
      <c r="N12" s="10" t="s">
        <v>38</v>
      </c>
      <c r="O12" s="44" t="str">
        <f t="shared" si="2"/>
        <v>WO</v>
      </c>
      <c r="P12" s="16" t="s">
        <v>38</v>
      </c>
      <c r="Q12" s="10" t="s">
        <v>38</v>
      </c>
      <c r="R12" s="10" t="s">
        <v>40</v>
      </c>
      <c r="S12" s="10" t="s">
        <v>38</v>
      </c>
      <c r="T12" s="10" t="s">
        <v>38</v>
      </c>
      <c r="U12" s="16" t="s">
        <v>38</v>
      </c>
      <c r="V12" s="44" t="str">
        <f t="shared" si="2"/>
        <v>WO</v>
      </c>
      <c r="W12" s="16" t="s">
        <v>38</v>
      </c>
      <c r="X12" s="10" t="s">
        <v>38</v>
      </c>
      <c r="Y12" s="10" t="s">
        <v>40</v>
      </c>
      <c r="Z12" s="10" t="s">
        <v>38</v>
      </c>
      <c r="AA12" s="10" t="s">
        <v>38</v>
      </c>
      <c r="AB12" s="16" t="s">
        <v>38</v>
      </c>
      <c r="AC12" s="44" t="str">
        <f t="shared" si="2"/>
        <v>WO</v>
      </c>
      <c r="AD12" s="16" t="s">
        <v>38</v>
      </c>
      <c r="AE12" s="10" t="s">
        <v>38</v>
      </c>
      <c r="AF12" s="10" t="s">
        <v>40</v>
      </c>
      <c r="AG12" s="10" t="s">
        <v>38</v>
      </c>
      <c r="AH12" s="10" t="s">
        <v>38</v>
      </c>
      <c r="AI12" s="16" t="s">
        <v>38</v>
      </c>
      <c r="AJ12" s="44" t="str">
        <f t="shared" si="2"/>
        <v>WO</v>
      </c>
      <c r="AK12" s="16" t="s">
        <v>38</v>
      </c>
      <c r="AL12" s="16" t="s">
        <v>38</v>
      </c>
      <c r="AM12" s="16" t="s">
        <v>38</v>
      </c>
      <c r="AN12" s="16" t="s">
        <v>38</v>
      </c>
      <c r="AO12" s="17" t="s">
        <v>38</v>
      </c>
      <c r="AP12" s="21"/>
      <c r="AQ12" s="24"/>
      <c r="AR12" s="10">
        <v>3</v>
      </c>
      <c r="AS12" s="10" t="s">
        <v>5</v>
      </c>
      <c r="AT12" s="10" t="str">
        <f t="shared" si="3"/>
        <v>October</v>
      </c>
      <c r="AU12" s="10">
        <v>1003</v>
      </c>
      <c r="AV12" s="9">
        <f t="shared" si="4"/>
        <v>24</v>
      </c>
      <c r="AW12" s="16">
        <f t="shared" si="5"/>
        <v>0</v>
      </c>
      <c r="AX12" s="16">
        <f t="shared" si="6"/>
        <v>3</v>
      </c>
      <c r="AY12" s="16">
        <f t="shared" si="7"/>
        <v>4</v>
      </c>
      <c r="AZ12" s="16">
        <f t="shared" si="8"/>
        <v>31</v>
      </c>
      <c r="BA12" s="16">
        <f>OctReport[[#This Row],[Days]]-OctReport[[#This Row],[Absent]]</f>
        <v>31</v>
      </c>
      <c r="BB12" s="19">
        <v>30000</v>
      </c>
      <c r="BC12" s="20">
        <f>OctReport[[#This Row],[Salary ]]/OctReport[[#This Row],[Days]]</f>
        <v>967.74193548387098</v>
      </c>
      <c r="BD12" s="20">
        <f>OctReport[[#This Row],[Per Day Salary ]]*OctReport[[#This Row],[Absent]]</f>
        <v>0</v>
      </c>
      <c r="BE12" s="20">
        <f>OctReport[[#This Row],[Salary ]]-OctReport[[#This Row],[Deduction]]</f>
        <v>30000</v>
      </c>
      <c r="BF12" s="20"/>
      <c r="BG12" s="24"/>
      <c r="BH12" s="22"/>
      <c r="BI12" s="22"/>
      <c r="BJ12" s="22"/>
      <c r="BK12" s="22"/>
      <c r="BL12" s="22"/>
      <c r="BM12" s="22"/>
      <c r="BN12" s="22"/>
    </row>
    <row r="13" spans="6:67" x14ac:dyDescent="0.25">
      <c r="F13" s="21"/>
      <c r="G13" s="8">
        <v>4</v>
      </c>
      <c r="H13" s="10" t="s">
        <v>6</v>
      </c>
      <c r="I13" s="10">
        <v>1004</v>
      </c>
      <c r="J13" s="47">
        <f t="shared" si="9"/>
        <v>4</v>
      </c>
      <c r="K13" s="10" t="s">
        <v>40</v>
      </c>
      <c r="L13" s="10" t="s">
        <v>38</v>
      </c>
      <c r="M13" s="10" t="s">
        <v>38</v>
      </c>
      <c r="N13" s="10" t="s">
        <v>38</v>
      </c>
      <c r="O13" s="44" t="str">
        <f t="shared" si="2"/>
        <v>WO</v>
      </c>
      <c r="P13" s="16" t="s">
        <v>38</v>
      </c>
      <c r="Q13" s="10" t="s">
        <v>38</v>
      </c>
      <c r="R13" s="10" t="s">
        <v>38</v>
      </c>
      <c r="S13" s="10" t="s">
        <v>38</v>
      </c>
      <c r="T13" s="10" t="s">
        <v>38</v>
      </c>
      <c r="U13" s="16" t="s">
        <v>38</v>
      </c>
      <c r="V13" s="44" t="str">
        <f t="shared" si="2"/>
        <v>WO</v>
      </c>
      <c r="W13" s="16" t="s">
        <v>38</v>
      </c>
      <c r="X13" s="10" t="s">
        <v>38</v>
      </c>
      <c r="Y13" s="10" t="s">
        <v>38</v>
      </c>
      <c r="Z13" s="10" t="s">
        <v>38</v>
      </c>
      <c r="AA13" s="10" t="s">
        <v>38</v>
      </c>
      <c r="AB13" s="16" t="s">
        <v>38</v>
      </c>
      <c r="AC13" s="44" t="str">
        <f t="shared" si="2"/>
        <v>WO</v>
      </c>
      <c r="AD13" s="16" t="s">
        <v>38</v>
      </c>
      <c r="AE13" s="10" t="s">
        <v>38</v>
      </c>
      <c r="AF13" s="10" t="s">
        <v>38</v>
      </c>
      <c r="AG13" s="10" t="s">
        <v>38</v>
      </c>
      <c r="AH13" s="10" t="s">
        <v>38</v>
      </c>
      <c r="AI13" s="16" t="s">
        <v>38</v>
      </c>
      <c r="AJ13" s="44" t="str">
        <f t="shared" si="2"/>
        <v>WO</v>
      </c>
      <c r="AK13" s="16" t="s">
        <v>38</v>
      </c>
      <c r="AL13" s="16" t="s">
        <v>40</v>
      </c>
      <c r="AM13" s="16" t="s">
        <v>38</v>
      </c>
      <c r="AN13" s="16" t="s">
        <v>38</v>
      </c>
      <c r="AO13" s="17" t="s">
        <v>38</v>
      </c>
      <c r="AP13" s="21"/>
      <c r="AQ13" s="24"/>
      <c r="AR13" s="10">
        <v>4</v>
      </c>
      <c r="AS13" s="10" t="s">
        <v>6</v>
      </c>
      <c r="AT13" s="10" t="str">
        <f t="shared" si="3"/>
        <v>October</v>
      </c>
      <c r="AU13" s="10">
        <v>1004</v>
      </c>
      <c r="AV13" s="9">
        <f t="shared" si="4"/>
        <v>25</v>
      </c>
      <c r="AW13" s="16">
        <f t="shared" si="5"/>
        <v>0</v>
      </c>
      <c r="AX13" s="16">
        <f t="shared" si="6"/>
        <v>2</v>
      </c>
      <c r="AY13" s="16">
        <f t="shared" si="7"/>
        <v>4</v>
      </c>
      <c r="AZ13" s="16">
        <f t="shared" si="8"/>
        <v>31</v>
      </c>
      <c r="BA13" s="16">
        <f>OctReport[[#This Row],[Days]]-OctReport[[#This Row],[Absent]]</f>
        <v>31</v>
      </c>
      <c r="BB13" s="19">
        <v>45000</v>
      </c>
      <c r="BC13" s="20">
        <f>OctReport[[#This Row],[Salary ]]/OctReport[[#This Row],[Days]]</f>
        <v>1451.6129032258063</v>
      </c>
      <c r="BD13" s="20">
        <f>OctReport[[#This Row],[Per Day Salary ]]*OctReport[[#This Row],[Absent]]</f>
        <v>0</v>
      </c>
      <c r="BE13" s="20">
        <f>OctReport[[#This Row],[Salary ]]-OctReport[[#This Row],[Deduction]]</f>
        <v>45000</v>
      </c>
      <c r="BF13" s="20"/>
      <c r="BG13" s="24"/>
      <c r="BH13" s="22"/>
      <c r="BI13" s="22"/>
      <c r="BJ13" s="22"/>
      <c r="BK13" s="22"/>
      <c r="BL13" s="22"/>
      <c r="BM13" s="22"/>
      <c r="BN13" s="22"/>
    </row>
    <row r="14" spans="6:67" x14ac:dyDescent="0.25">
      <c r="F14" s="21"/>
      <c r="G14" s="8">
        <v>5</v>
      </c>
      <c r="H14" s="10" t="s">
        <v>7</v>
      </c>
      <c r="I14" s="10">
        <v>1005</v>
      </c>
      <c r="J14" s="47">
        <f t="shared" si="9"/>
        <v>4</v>
      </c>
      <c r="K14" s="10" t="s">
        <v>38</v>
      </c>
      <c r="L14" s="10" t="s">
        <v>38</v>
      </c>
      <c r="M14" s="10" t="s">
        <v>38</v>
      </c>
      <c r="N14" s="10" t="s">
        <v>38</v>
      </c>
      <c r="O14" s="44" t="str">
        <f t="shared" si="2"/>
        <v>WO</v>
      </c>
      <c r="P14" s="16" t="s">
        <v>38</v>
      </c>
      <c r="Q14" s="10" t="s">
        <v>38</v>
      </c>
      <c r="R14" s="10" t="s">
        <v>38</v>
      </c>
      <c r="S14" s="10" t="s">
        <v>38</v>
      </c>
      <c r="T14" s="10" t="s">
        <v>39</v>
      </c>
      <c r="U14" s="16" t="s">
        <v>38</v>
      </c>
      <c r="V14" s="44" t="str">
        <f t="shared" si="2"/>
        <v>WO</v>
      </c>
      <c r="W14" s="16" t="s">
        <v>38</v>
      </c>
      <c r="X14" s="10" t="s">
        <v>38</v>
      </c>
      <c r="Y14" s="10" t="s">
        <v>38</v>
      </c>
      <c r="Z14" s="10" t="s">
        <v>38</v>
      </c>
      <c r="AA14" s="10" t="s">
        <v>39</v>
      </c>
      <c r="AB14" s="16" t="s">
        <v>38</v>
      </c>
      <c r="AC14" s="44" t="str">
        <f t="shared" si="2"/>
        <v>WO</v>
      </c>
      <c r="AD14" s="16" t="s">
        <v>38</v>
      </c>
      <c r="AE14" s="10" t="s">
        <v>38</v>
      </c>
      <c r="AF14" s="10" t="s">
        <v>38</v>
      </c>
      <c r="AG14" s="10" t="s">
        <v>38</v>
      </c>
      <c r="AH14" s="10" t="s">
        <v>39</v>
      </c>
      <c r="AI14" s="16" t="s">
        <v>38</v>
      </c>
      <c r="AJ14" s="44" t="str">
        <f t="shared" si="2"/>
        <v>WO</v>
      </c>
      <c r="AK14" s="16" t="s">
        <v>38</v>
      </c>
      <c r="AL14" s="16" t="s">
        <v>38</v>
      </c>
      <c r="AM14" s="16" t="s">
        <v>38</v>
      </c>
      <c r="AN14" s="16" t="s">
        <v>38</v>
      </c>
      <c r="AO14" s="17" t="s">
        <v>39</v>
      </c>
      <c r="AP14" s="21"/>
      <c r="AQ14" s="24"/>
      <c r="AR14" s="10">
        <v>5</v>
      </c>
      <c r="AS14" s="10" t="s">
        <v>7</v>
      </c>
      <c r="AT14" s="10" t="str">
        <f t="shared" si="3"/>
        <v>October</v>
      </c>
      <c r="AU14" s="10">
        <v>1005</v>
      </c>
      <c r="AV14" s="9">
        <f t="shared" si="4"/>
        <v>23</v>
      </c>
      <c r="AW14" s="16">
        <f t="shared" si="5"/>
        <v>4</v>
      </c>
      <c r="AX14" s="16">
        <f t="shared" si="6"/>
        <v>0</v>
      </c>
      <c r="AY14" s="16">
        <f t="shared" si="7"/>
        <v>4</v>
      </c>
      <c r="AZ14" s="16">
        <f t="shared" si="8"/>
        <v>31</v>
      </c>
      <c r="BA14" s="16">
        <f>OctReport[[#This Row],[Days]]-OctReport[[#This Row],[Absent]]</f>
        <v>27</v>
      </c>
      <c r="BB14" s="19">
        <v>62000</v>
      </c>
      <c r="BC14" s="20">
        <f>OctReport[[#This Row],[Salary ]]/OctReport[[#This Row],[Days]]</f>
        <v>2000</v>
      </c>
      <c r="BD14" s="20">
        <f>OctReport[[#This Row],[Per Day Salary ]]*OctReport[[#This Row],[Absent]]</f>
        <v>8000</v>
      </c>
      <c r="BE14" s="20">
        <f>OctReport[[#This Row],[Salary ]]-OctReport[[#This Row],[Deduction]]</f>
        <v>54000</v>
      </c>
      <c r="BF14" s="20"/>
      <c r="BG14" s="24"/>
      <c r="BH14" s="22"/>
      <c r="BI14" s="22"/>
      <c r="BJ14" s="22"/>
      <c r="BK14" s="22"/>
      <c r="BL14" s="22"/>
      <c r="BM14" s="22"/>
      <c r="BN14" s="22"/>
    </row>
    <row r="15" spans="6:67" x14ac:dyDescent="0.25">
      <c r="F15" s="21"/>
      <c r="G15" s="8">
        <v>6</v>
      </c>
      <c r="H15" s="10" t="s">
        <v>8</v>
      </c>
      <c r="I15" s="10">
        <v>1006</v>
      </c>
      <c r="J15" s="47">
        <f t="shared" si="9"/>
        <v>4</v>
      </c>
      <c r="K15" s="10" t="s">
        <v>38</v>
      </c>
      <c r="L15" s="10" t="s">
        <v>39</v>
      </c>
      <c r="M15" s="10" t="s">
        <v>38</v>
      </c>
      <c r="N15" s="10" t="s">
        <v>38</v>
      </c>
      <c r="O15" s="44" t="str">
        <f t="shared" si="2"/>
        <v>WO</v>
      </c>
      <c r="P15" s="16" t="s">
        <v>38</v>
      </c>
      <c r="Q15" s="10" t="s">
        <v>38</v>
      </c>
      <c r="R15" s="10" t="s">
        <v>38</v>
      </c>
      <c r="S15" s="10" t="s">
        <v>38</v>
      </c>
      <c r="T15" s="10" t="s">
        <v>38</v>
      </c>
      <c r="U15" s="16" t="s">
        <v>38</v>
      </c>
      <c r="V15" s="44" t="str">
        <f t="shared" si="2"/>
        <v>WO</v>
      </c>
      <c r="W15" s="16" t="s">
        <v>38</v>
      </c>
      <c r="X15" s="10" t="s">
        <v>38</v>
      </c>
      <c r="Y15" s="10" t="s">
        <v>38</v>
      </c>
      <c r="Z15" s="10" t="s">
        <v>38</v>
      </c>
      <c r="AA15" s="10" t="s">
        <v>38</v>
      </c>
      <c r="AB15" s="16" t="s">
        <v>38</v>
      </c>
      <c r="AC15" s="44" t="str">
        <f t="shared" si="2"/>
        <v>WO</v>
      </c>
      <c r="AD15" s="16" t="s">
        <v>38</v>
      </c>
      <c r="AE15" s="10" t="s">
        <v>38</v>
      </c>
      <c r="AF15" s="10" t="s">
        <v>38</v>
      </c>
      <c r="AG15" s="10" t="s">
        <v>38</v>
      </c>
      <c r="AH15" s="10" t="s">
        <v>38</v>
      </c>
      <c r="AI15" s="16" t="s">
        <v>38</v>
      </c>
      <c r="AJ15" s="44" t="str">
        <f t="shared" si="2"/>
        <v>WO</v>
      </c>
      <c r="AK15" s="16" t="s">
        <v>38</v>
      </c>
      <c r="AL15" s="16" t="s">
        <v>38</v>
      </c>
      <c r="AM15" s="16" t="s">
        <v>38</v>
      </c>
      <c r="AN15" s="16" t="s">
        <v>38</v>
      </c>
      <c r="AO15" s="17" t="s">
        <v>38</v>
      </c>
      <c r="AP15" s="21"/>
      <c r="AQ15" s="24"/>
      <c r="AR15" s="10">
        <v>6</v>
      </c>
      <c r="AS15" s="10" t="s">
        <v>8</v>
      </c>
      <c r="AT15" s="10" t="str">
        <f t="shared" si="3"/>
        <v>October</v>
      </c>
      <c r="AU15" s="10">
        <v>1006</v>
      </c>
      <c r="AV15" s="9">
        <f t="shared" si="4"/>
        <v>26</v>
      </c>
      <c r="AW15" s="16">
        <f t="shared" si="5"/>
        <v>1</v>
      </c>
      <c r="AX15" s="16">
        <f t="shared" si="6"/>
        <v>0</v>
      </c>
      <c r="AY15" s="16">
        <f t="shared" si="7"/>
        <v>4</v>
      </c>
      <c r="AZ15" s="16">
        <f t="shared" si="8"/>
        <v>31</v>
      </c>
      <c r="BA15" s="16">
        <f>OctReport[[#This Row],[Days]]-OctReport[[#This Row],[Absent]]</f>
        <v>30</v>
      </c>
      <c r="BB15" s="19">
        <v>13000</v>
      </c>
      <c r="BC15" s="20">
        <f>OctReport[[#This Row],[Salary ]]/OctReport[[#This Row],[Days]]</f>
        <v>419.35483870967744</v>
      </c>
      <c r="BD15" s="20">
        <f>OctReport[[#This Row],[Per Day Salary ]]*OctReport[[#This Row],[Absent]]</f>
        <v>419.35483870967744</v>
      </c>
      <c r="BE15" s="20">
        <f>OctReport[[#This Row],[Salary ]]-OctReport[[#This Row],[Deduction]]</f>
        <v>12580.645161290322</v>
      </c>
      <c r="BF15" s="20"/>
      <c r="BG15" s="24"/>
      <c r="BH15" s="22"/>
      <c r="BI15" s="22"/>
      <c r="BJ15" s="22"/>
      <c r="BK15" s="22"/>
      <c r="BL15" s="22"/>
      <c r="BM15" s="22"/>
      <c r="BN15" s="22"/>
    </row>
    <row r="16" spans="6:67" x14ac:dyDescent="0.25">
      <c r="F16" s="21"/>
      <c r="G16" s="8">
        <v>7</v>
      </c>
      <c r="H16" s="10" t="s">
        <v>9</v>
      </c>
      <c r="I16" s="10">
        <v>1007</v>
      </c>
      <c r="J16" s="47">
        <f t="shared" si="9"/>
        <v>4</v>
      </c>
      <c r="K16" s="10" t="s">
        <v>38</v>
      </c>
      <c r="L16" s="10" t="s">
        <v>38</v>
      </c>
      <c r="M16" s="10" t="s">
        <v>38</v>
      </c>
      <c r="N16" s="10" t="s">
        <v>38</v>
      </c>
      <c r="O16" s="44" t="str">
        <f t="shared" si="2"/>
        <v>WO</v>
      </c>
      <c r="P16" s="16" t="s">
        <v>38</v>
      </c>
      <c r="Q16" s="10" t="s">
        <v>39</v>
      </c>
      <c r="R16" s="10" t="s">
        <v>38</v>
      </c>
      <c r="S16" s="10" t="s">
        <v>38</v>
      </c>
      <c r="T16" s="10" t="s">
        <v>38</v>
      </c>
      <c r="U16" s="16" t="s">
        <v>38</v>
      </c>
      <c r="V16" s="44" t="str">
        <f t="shared" si="2"/>
        <v>WO</v>
      </c>
      <c r="W16" s="16" t="s">
        <v>38</v>
      </c>
      <c r="X16" s="10" t="s">
        <v>39</v>
      </c>
      <c r="Y16" s="10" t="s">
        <v>38</v>
      </c>
      <c r="Z16" s="10" t="s">
        <v>38</v>
      </c>
      <c r="AA16" s="10" t="s">
        <v>38</v>
      </c>
      <c r="AB16" s="16" t="s">
        <v>38</v>
      </c>
      <c r="AC16" s="44" t="str">
        <f t="shared" si="2"/>
        <v>WO</v>
      </c>
      <c r="AD16" s="16" t="s">
        <v>38</v>
      </c>
      <c r="AE16" s="10" t="s">
        <v>39</v>
      </c>
      <c r="AF16" s="10" t="s">
        <v>38</v>
      </c>
      <c r="AG16" s="10" t="s">
        <v>38</v>
      </c>
      <c r="AH16" s="10" t="s">
        <v>38</v>
      </c>
      <c r="AI16" s="16" t="s">
        <v>38</v>
      </c>
      <c r="AJ16" s="44" t="str">
        <f t="shared" si="2"/>
        <v>WO</v>
      </c>
      <c r="AK16" s="16" t="s">
        <v>38</v>
      </c>
      <c r="AL16" s="16" t="s">
        <v>38</v>
      </c>
      <c r="AM16" s="16" t="s">
        <v>38</v>
      </c>
      <c r="AN16" s="16" t="s">
        <v>39</v>
      </c>
      <c r="AO16" s="17" t="s">
        <v>38</v>
      </c>
      <c r="AP16" s="21"/>
      <c r="AQ16" s="24"/>
      <c r="AR16" s="10">
        <v>7</v>
      </c>
      <c r="AS16" s="10" t="s">
        <v>9</v>
      </c>
      <c r="AT16" s="10" t="str">
        <f t="shared" si="3"/>
        <v>October</v>
      </c>
      <c r="AU16" s="10">
        <v>1007</v>
      </c>
      <c r="AV16" s="9">
        <f t="shared" si="4"/>
        <v>23</v>
      </c>
      <c r="AW16" s="16">
        <f t="shared" si="5"/>
        <v>4</v>
      </c>
      <c r="AX16" s="16">
        <f t="shared" si="6"/>
        <v>0</v>
      </c>
      <c r="AY16" s="16">
        <f t="shared" si="7"/>
        <v>4</v>
      </c>
      <c r="AZ16" s="16">
        <f t="shared" si="8"/>
        <v>31</v>
      </c>
      <c r="BA16" s="16">
        <f>OctReport[[#This Row],[Days]]-OctReport[[#This Row],[Absent]]</f>
        <v>27</v>
      </c>
      <c r="BB16" s="19">
        <v>48000</v>
      </c>
      <c r="BC16" s="20">
        <f>OctReport[[#This Row],[Salary ]]/OctReport[[#This Row],[Days]]</f>
        <v>1548.3870967741937</v>
      </c>
      <c r="BD16" s="20">
        <f>OctReport[[#This Row],[Per Day Salary ]]*OctReport[[#This Row],[Absent]]</f>
        <v>6193.5483870967746</v>
      </c>
      <c r="BE16" s="20">
        <f>OctReport[[#This Row],[Salary ]]-OctReport[[#This Row],[Deduction]]</f>
        <v>41806.451612903227</v>
      </c>
      <c r="BF16" s="20"/>
      <c r="BG16" s="24"/>
      <c r="BH16" s="22"/>
      <c r="BI16" s="22"/>
      <c r="BJ16" s="22"/>
      <c r="BK16" s="22"/>
      <c r="BL16" s="22"/>
      <c r="BM16" s="22"/>
      <c r="BN16" s="22"/>
    </row>
    <row r="17" spans="6:66" x14ac:dyDescent="0.25">
      <c r="F17" s="21"/>
      <c r="G17" s="8">
        <v>8</v>
      </c>
      <c r="H17" s="10" t="s">
        <v>10</v>
      </c>
      <c r="I17" s="10">
        <v>1008</v>
      </c>
      <c r="J17" s="47">
        <f t="shared" si="9"/>
        <v>4</v>
      </c>
      <c r="K17" s="10" t="s">
        <v>38</v>
      </c>
      <c r="L17" s="10" t="s">
        <v>40</v>
      </c>
      <c r="M17" s="10" t="s">
        <v>38</v>
      </c>
      <c r="N17" s="10" t="s">
        <v>38</v>
      </c>
      <c r="O17" s="44" t="str">
        <f t="shared" si="2"/>
        <v>WO</v>
      </c>
      <c r="P17" s="16" t="s">
        <v>38</v>
      </c>
      <c r="Q17" s="10" t="s">
        <v>38</v>
      </c>
      <c r="R17" s="10" t="s">
        <v>38</v>
      </c>
      <c r="S17" s="10" t="s">
        <v>38</v>
      </c>
      <c r="T17" s="10" t="s">
        <v>38</v>
      </c>
      <c r="U17" s="16" t="s">
        <v>38</v>
      </c>
      <c r="V17" s="44" t="str">
        <f t="shared" si="2"/>
        <v>WO</v>
      </c>
      <c r="W17" s="16" t="s">
        <v>38</v>
      </c>
      <c r="X17" s="10" t="s">
        <v>38</v>
      </c>
      <c r="Y17" s="10" t="s">
        <v>38</v>
      </c>
      <c r="Z17" s="10" t="s">
        <v>38</v>
      </c>
      <c r="AA17" s="10" t="s">
        <v>38</v>
      </c>
      <c r="AB17" s="16" t="s">
        <v>38</v>
      </c>
      <c r="AC17" s="44" t="str">
        <f t="shared" si="2"/>
        <v>WO</v>
      </c>
      <c r="AD17" s="16" t="s">
        <v>38</v>
      </c>
      <c r="AE17" s="10" t="s">
        <v>38</v>
      </c>
      <c r="AF17" s="10" t="s">
        <v>38</v>
      </c>
      <c r="AG17" s="10" t="s">
        <v>38</v>
      </c>
      <c r="AH17" s="10" t="s">
        <v>38</v>
      </c>
      <c r="AI17" s="16" t="s">
        <v>38</v>
      </c>
      <c r="AJ17" s="44" t="str">
        <f t="shared" si="2"/>
        <v>WO</v>
      </c>
      <c r="AK17" s="16" t="s">
        <v>38</v>
      </c>
      <c r="AL17" s="16" t="s">
        <v>38</v>
      </c>
      <c r="AM17" s="16" t="s">
        <v>40</v>
      </c>
      <c r="AN17" s="16" t="s">
        <v>38</v>
      </c>
      <c r="AO17" s="17" t="s">
        <v>38</v>
      </c>
      <c r="AP17" s="21"/>
      <c r="AQ17" s="24"/>
      <c r="AR17" s="10">
        <v>8</v>
      </c>
      <c r="AS17" s="10" t="s">
        <v>10</v>
      </c>
      <c r="AT17" s="10" t="str">
        <f t="shared" si="3"/>
        <v>October</v>
      </c>
      <c r="AU17" s="10">
        <v>1008</v>
      </c>
      <c r="AV17" s="9">
        <f t="shared" si="4"/>
        <v>25</v>
      </c>
      <c r="AW17" s="16">
        <f t="shared" si="5"/>
        <v>0</v>
      </c>
      <c r="AX17" s="16">
        <f t="shared" si="6"/>
        <v>2</v>
      </c>
      <c r="AY17" s="16">
        <f t="shared" si="7"/>
        <v>4</v>
      </c>
      <c r="AZ17" s="16">
        <f t="shared" si="8"/>
        <v>31</v>
      </c>
      <c r="BA17" s="16">
        <f>OctReport[[#This Row],[Days]]-OctReport[[#This Row],[Absent]]</f>
        <v>31</v>
      </c>
      <c r="BB17" s="19">
        <v>17000</v>
      </c>
      <c r="BC17" s="20">
        <f>OctReport[[#This Row],[Salary ]]/OctReport[[#This Row],[Days]]</f>
        <v>548.38709677419354</v>
      </c>
      <c r="BD17" s="20">
        <f>OctReport[[#This Row],[Per Day Salary ]]*OctReport[[#This Row],[Absent]]</f>
        <v>0</v>
      </c>
      <c r="BE17" s="20">
        <f>OctReport[[#This Row],[Salary ]]-OctReport[[#This Row],[Deduction]]</f>
        <v>17000</v>
      </c>
      <c r="BF17" s="20"/>
      <c r="BG17" s="24"/>
      <c r="BH17" s="22"/>
      <c r="BI17" s="22"/>
      <c r="BJ17" s="22"/>
      <c r="BK17" s="22"/>
      <c r="BL17" s="22"/>
      <c r="BM17" s="22"/>
      <c r="BN17" s="22"/>
    </row>
    <row r="18" spans="6:66" x14ac:dyDescent="0.25">
      <c r="F18" s="21"/>
      <c r="G18" s="8">
        <v>9</v>
      </c>
      <c r="H18" s="10" t="s">
        <v>11</v>
      </c>
      <c r="I18" s="10">
        <v>1009</v>
      </c>
      <c r="J18" s="47">
        <f t="shared" si="9"/>
        <v>4</v>
      </c>
      <c r="K18" s="10" t="s">
        <v>38</v>
      </c>
      <c r="L18" s="10" t="s">
        <v>38</v>
      </c>
      <c r="M18" s="10" t="s">
        <v>38</v>
      </c>
      <c r="N18" s="10" t="s">
        <v>38</v>
      </c>
      <c r="O18" s="44" t="str">
        <f t="shared" si="2"/>
        <v>WO</v>
      </c>
      <c r="P18" s="16" t="s">
        <v>38</v>
      </c>
      <c r="Q18" s="10" t="s">
        <v>38</v>
      </c>
      <c r="R18" s="10" t="s">
        <v>38</v>
      </c>
      <c r="S18" s="10" t="s">
        <v>40</v>
      </c>
      <c r="T18" s="10" t="s">
        <v>38</v>
      </c>
      <c r="U18" s="16" t="s">
        <v>38</v>
      </c>
      <c r="V18" s="44" t="str">
        <f t="shared" si="2"/>
        <v>WO</v>
      </c>
      <c r="W18" s="16" t="s">
        <v>38</v>
      </c>
      <c r="X18" s="10" t="s">
        <v>38</v>
      </c>
      <c r="Y18" s="10" t="s">
        <v>38</v>
      </c>
      <c r="Z18" s="10" t="s">
        <v>40</v>
      </c>
      <c r="AA18" s="10" t="s">
        <v>38</v>
      </c>
      <c r="AB18" s="16" t="s">
        <v>38</v>
      </c>
      <c r="AC18" s="44" t="str">
        <f t="shared" si="2"/>
        <v>WO</v>
      </c>
      <c r="AD18" s="16" t="s">
        <v>38</v>
      </c>
      <c r="AE18" s="10" t="s">
        <v>38</v>
      </c>
      <c r="AF18" s="10" t="s">
        <v>38</v>
      </c>
      <c r="AG18" s="10" t="s">
        <v>40</v>
      </c>
      <c r="AH18" s="10" t="s">
        <v>38</v>
      </c>
      <c r="AI18" s="16" t="s">
        <v>38</v>
      </c>
      <c r="AJ18" s="44" t="str">
        <f t="shared" si="2"/>
        <v>WO</v>
      </c>
      <c r="AK18" s="16" t="s">
        <v>38</v>
      </c>
      <c r="AL18" s="16" t="s">
        <v>38</v>
      </c>
      <c r="AM18" s="16" t="s">
        <v>38</v>
      </c>
      <c r="AN18" s="16" t="s">
        <v>38</v>
      </c>
      <c r="AO18" s="17" t="s">
        <v>38</v>
      </c>
      <c r="AP18" s="21"/>
      <c r="AQ18" s="24"/>
      <c r="AR18" s="10">
        <v>9</v>
      </c>
      <c r="AS18" s="10" t="s">
        <v>11</v>
      </c>
      <c r="AT18" s="10" t="str">
        <f t="shared" si="3"/>
        <v>October</v>
      </c>
      <c r="AU18" s="10">
        <v>1009</v>
      </c>
      <c r="AV18" s="9">
        <f t="shared" si="4"/>
        <v>24</v>
      </c>
      <c r="AW18" s="16">
        <f t="shared" si="5"/>
        <v>0</v>
      </c>
      <c r="AX18" s="16">
        <f t="shared" si="6"/>
        <v>3</v>
      </c>
      <c r="AY18" s="16">
        <f t="shared" si="7"/>
        <v>4</v>
      </c>
      <c r="AZ18" s="16">
        <f t="shared" si="8"/>
        <v>31</v>
      </c>
      <c r="BA18" s="16">
        <f>OctReport[[#This Row],[Days]]-OctReport[[#This Row],[Absent]]</f>
        <v>31</v>
      </c>
      <c r="BB18" s="19">
        <v>39000</v>
      </c>
      <c r="BC18" s="20">
        <f>OctReport[[#This Row],[Salary ]]/OctReport[[#This Row],[Days]]</f>
        <v>1258.0645161290322</v>
      </c>
      <c r="BD18" s="20">
        <f>OctReport[[#This Row],[Per Day Salary ]]*OctReport[[#This Row],[Absent]]</f>
        <v>0</v>
      </c>
      <c r="BE18" s="20">
        <f>OctReport[[#This Row],[Salary ]]-OctReport[[#This Row],[Deduction]]</f>
        <v>39000</v>
      </c>
      <c r="BF18" s="20"/>
      <c r="BG18" s="24"/>
      <c r="BH18" s="22"/>
      <c r="BI18" s="22"/>
      <c r="BJ18" s="22"/>
      <c r="BK18" s="22"/>
      <c r="BL18" s="22"/>
      <c r="BM18" s="22"/>
      <c r="BN18" s="22"/>
    </row>
    <row r="19" spans="6:66" x14ac:dyDescent="0.25">
      <c r="F19" s="21"/>
      <c r="G19" s="8">
        <v>10</v>
      </c>
      <c r="H19" s="10" t="s">
        <v>3</v>
      </c>
      <c r="I19" s="10">
        <v>1010</v>
      </c>
      <c r="J19" s="47">
        <f t="shared" si="9"/>
        <v>4</v>
      </c>
      <c r="K19" s="10" t="s">
        <v>38</v>
      </c>
      <c r="L19" s="10" t="s">
        <v>38</v>
      </c>
      <c r="M19" s="10" t="s">
        <v>38</v>
      </c>
      <c r="N19" s="10" t="s">
        <v>39</v>
      </c>
      <c r="O19" s="44" t="str">
        <f t="shared" si="2"/>
        <v>WO</v>
      </c>
      <c r="P19" s="16" t="s">
        <v>38</v>
      </c>
      <c r="Q19" s="10" t="s">
        <v>38</v>
      </c>
      <c r="R19" s="10" t="s">
        <v>38</v>
      </c>
      <c r="S19" s="10" t="s">
        <v>38</v>
      </c>
      <c r="T19" s="10" t="s">
        <v>38</v>
      </c>
      <c r="U19" s="16" t="s">
        <v>38</v>
      </c>
      <c r="V19" s="44" t="str">
        <f t="shared" si="2"/>
        <v>WO</v>
      </c>
      <c r="W19" s="16" t="s">
        <v>38</v>
      </c>
      <c r="X19" s="10" t="s">
        <v>38</v>
      </c>
      <c r="Y19" s="10" t="s">
        <v>38</v>
      </c>
      <c r="Z19" s="10" t="s">
        <v>38</v>
      </c>
      <c r="AA19" s="10" t="s">
        <v>38</v>
      </c>
      <c r="AB19" s="16" t="s">
        <v>38</v>
      </c>
      <c r="AC19" s="44" t="str">
        <f t="shared" si="2"/>
        <v>WO</v>
      </c>
      <c r="AD19" s="16" t="s">
        <v>38</v>
      </c>
      <c r="AE19" s="10" t="s">
        <v>38</v>
      </c>
      <c r="AF19" s="10" t="s">
        <v>38</v>
      </c>
      <c r="AG19" s="10" t="s">
        <v>38</v>
      </c>
      <c r="AH19" s="10" t="s">
        <v>38</v>
      </c>
      <c r="AI19" s="16" t="s">
        <v>38</v>
      </c>
      <c r="AJ19" s="44" t="str">
        <f t="shared" si="2"/>
        <v>WO</v>
      </c>
      <c r="AK19" s="16" t="s">
        <v>38</v>
      </c>
      <c r="AL19" s="16" t="s">
        <v>38</v>
      </c>
      <c r="AM19" s="16" t="s">
        <v>39</v>
      </c>
      <c r="AN19" s="16" t="s">
        <v>38</v>
      </c>
      <c r="AO19" s="17" t="s">
        <v>38</v>
      </c>
      <c r="AP19" s="21"/>
      <c r="AQ19" s="24"/>
      <c r="AR19" s="10">
        <v>10</v>
      </c>
      <c r="AS19" s="10" t="s">
        <v>3</v>
      </c>
      <c r="AT19" s="10" t="str">
        <f t="shared" si="3"/>
        <v>October</v>
      </c>
      <c r="AU19" s="10">
        <v>1010</v>
      </c>
      <c r="AV19" s="9">
        <f t="shared" si="4"/>
        <v>25</v>
      </c>
      <c r="AW19" s="16">
        <f t="shared" si="5"/>
        <v>2</v>
      </c>
      <c r="AX19" s="16">
        <f t="shared" si="6"/>
        <v>0</v>
      </c>
      <c r="AY19" s="16">
        <f t="shared" si="7"/>
        <v>4</v>
      </c>
      <c r="AZ19" s="16">
        <f t="shared" si="8"/>
        <v>31</v>
      </c>
      <c r="BA19" s="16">
        <f>OctReport[[#This Row],[Days]]-OctReport[[#This Row],[Absent]]</f>
        <v>29</v>
      </c>
      <c r="BB19" s="19">
        <v>72000</v>
      </c>
      <c r="BC19" s="20">
        <f>OctReport[[#This Row],[Salary ]]/OctReport[[#This Row],[Days]]</f>
        <v>2322.5806451612902</v>
      </c>
      <c r="BD19" s="20">
        <f>OctReport[[#This Row],[Per Day Salary ]]*OctReport[[#This Row],[Absent]]</f>
        <v>4645.1612903225805</v>
      </c>
      <c r="BE19" s="20">
        <f>OctReport[[#This Row],[Salary ]]-OctReport[[#This Row],[Deduction]]</f>
        <v>67354.838709677424</v>
      </c>
      <c r="BF19" s="20"/>
      <c r="BG19" s="24"/>
      <c r="BH19" s="22"/>
      <c r="BI19" s="22"/>
      <c r="BJ19" s="22"/>
      <c r="BK19" s="22"/>
      <c r="BL19" s="22"/>
      <c r="BM19" s="22"/>
      <c r="BN19" s="22"/>
    </row>
    <row r="20" spans="6:66" x14ac:dyDescent="0.25">
      <c r="F20" s="21"/>
      <c r="G20" s="8">
        <v>11</v>
      </c>
      <c r="H20" s="9" t="s">
        <v>12</v>
      </c>
      <c r="I20" s="10">
        <v>1011</v>
      </c>
      <c r="J20" s="47">
        <f t="shared" si="9"/>
        <v>4</v>
      </c>
      <c r="K20" s="10" t="s">
        <v>38</v>
      </c>
      <c r="L20" s="10" t="s">
        <v>38</v>
      </c>
      <c r="M20" s="10" t="s">
        <v>38</v>
      </c>
      <c r="N20" s="10" t="s">
        <v>38</v>
      </c>
      <c r="O20" s="44" t="str">
        <f t="shared" si="2"/>
        <v>WO</v>
      </c>
      <c r="P20" s="16" t="s">
        <v>38</v>
      </c>
      <c r="Q20" s="10" t="s">
        <v>38</v>
      </c>
      <c r="R20" s="10" t="s">
        <v>38</v>
      </c>
      <c r="S20" s="10" t="s">
        <v>40</v>
      </c>
      <c r="T20" s="10" t="s">
        <v>38</v>
      </c>
      <c r="U20" s="16" t="s">
        <v>38</v>
      </c>
      <c r="V20" s="44" t="str">
        <f t="shared" si="2"/>
        <v>WO</v>
      </c>
      <c r="W20" s="16" t="s">
        <v>38</v>
      </c>
      <c r="X20" s="10" t="s">
        <v>38</v>
      </c>
      <c r="Y20" s="10" t="s">
        <v>38</v>
      </c>
      <c r="Z20" s="10" t="s">
        <v>40</v>
      </c>
      <c r="AA20" s="10" t="s">
        <v>38</v>
      </c>
      <c r="AB20" s="16" t="s">
        <v>38</v>
      </c>
      <c r="AC20" s="44" t="str">
        <f t="shared" si="2"/>
        <v>WO</v>
      </c>
      <c r="AD20" s="16" t="s">
        <v>38</v>
      </c>
      <c r="AE20" s="10" t="s">
        <v>38</v>
      </c>
      <c r="AF20" s="10" t="s">
        <v>38</v>
      </c>
      <c r="AG20" s="10" t="s">
        <v>40</v>
      </c>
      <c r="AH20" s="10" t="s">
        <v>38</v>
      </c>
      <c r="AI20" s="16" t="s">
        <v>38</v>
      </c>
      <c r="AJ20" s="44" t="str">
        <f t="shared" ref="AJ20" si="11">IF(AJ$8="SUN","WO","")</f>
        <v>WO</v>
      </c>
      <c r="AK20" s="16" t="s">
        <v>38</v>
      </c>
      <c r="AL20" s="16" t="s">
        <v>38</v>
      </c>
      <c r="AM20" s="16" t="s">
        <v>38</v>
      </c>
      <c r="AN20" s="16" t="s">
        <v>38</v>
      </c>
      <c r="AO20" s="17" t="s">
        <v>38</v>
      </c>
      <c r="AP20" s="21"/>
      <c r="AQ20" s="24"/>
      <c r="AR20" s="10">
        <v>11</v>
      </c>
      <c r="AS20" s="9" t="s">
        <v>12</v>
      </c>
      <c r="AT20" s="9" t="str">
        <f t="shared" si="3"/>
        <v>October</v>
      </c>
      <c r="AU20" s="10">
        <v>1011</v>
      </c>
      <c r="AV20" s="9">
        <f t="shared" si="4"/>
        <v>24</v>
      </c>
      <c r="AW20" s="16">
        <f t="shared" si="5"/>
        <v>0</v>
      </c>
      <c r="AX20" s="16">
        <f t="shared" si="6"/>
        <v>3</v>
      </c>
      <c r="AY20" s="16">
        <f t="shared" si="7"/>
        <v>4</v>
      </c>
      <c r="AZ20" s="16">
        <f t="shared" si="8"/>
        <v>31</v>
      </c>
      <c r="BA20" s="16">
        <f>OctReport[[#This Row],[Days]]-OctReport[[#This Row],[Absent]]</f>
        <v>31</v>
      </c>
      <c r="BB20" s="19">
        <v>13000</v>
      </c>
      <c r="BC20" s="20">
        <f>OctReport[[#This Row],[Salary ]]/OctReport[[#This Row],[Days]]</f>
        <v>419.35483870967744</v>
      </c>
      <c r="BD20" s="20">
        <f>OctReport[[#This Row],[Per Day Salary ]]*OctReport[[#This Row],[Absent]]</f>
        <v>0</v>
      </c>
      <c r="BE20" s="20">
        <f>OctReport[[#This Row],[Salary ]]-OctReport[[#This Row],[Deduction]]</f>
        <v>13000</v>
      </c>
      <c r="BF20" s="20"/>
      <c r="BG20" s="24"/>
      <c r="BH20" s="22"/>
      <c r="BI20" s="22"/>
      <c r="BJ20" s="22"/>
      <c r="BK20" s="22"/>
      <c r="BL20" s="22"/>
      <c r="BM20" s="22"/>
      <c r="BN20" s="22"/>
    </row>
    <row r="21" spans="6:66" x14ac:dyDescent="0.25">
      <c r="F21" s="21"/>
      <c r="G21" s="8">
        <v>12</v>
      </c>
      <c r="H21" s="10" t="s">
        <v>13</v>
      </c>
      <c r="I21" s="10">
        <v>1012</v>
      </c>
      <c r="J21" s="47">
        <f t="shared" si="9"/>
        <v>4</v>
      </c>
      <c r="K21" s="10" t="s">
        <v>38</v>
      </c>
      <c r="L21" s="10" t="s">
        <v>38</v>
      </c>
      <c r="M21" s="10" t="s">
        <v>38</v>
      </c>
      <c r="N21" s="10" t="s">
        <v>38</v>
      </c>
      <c r="O21" s="44" t="str">
        <f t="shared" si="10"/>
        <v>WO</v>
      </c>
      <c r="P21" s="16" t="s">
        <v>38</v>
      </c>
      <c r="Q21" s="10" t="s">
        <v>38</v>
      </c>
      <c r="R21" s="10" t="s">
        <v>38</v>
      </c>
      <c r="S21" s="10" t="s">
        <v>38</v>
      </c>
      <c r="T21" s="10" t="s">
        <v>38</v>
      </c>
      <c r="U21" s="16" t="s">
        <v>38</v>
      </c>
      <c r="V21" s="44" t="str">
        <f t="shared" si="10"/>
        <v>WO</v>
      </c>
      <c r="W21" s="16" t="s">
        <v>38</v>
      </c>
      <c r="X21" s="10" t="s">
        <v>38</v>
      </c>
      <c r="Y21" s="10" t="s">
        <v>38</v>
      </c>
      <c r="Z21" s="10" t="s">
        <v>38</v>
      </c>
      <c r="AA21" s="10" t="s">
        <v>38</v>
      </c>
      <c r="AB21" s="16" t="s">
        <v>38</v>
      </c>
      <c r="AC21" s="44" t="str">
        <f t="shared" ref="AC21:AJ29" si="12">IF(AC$8="SUN","WO","")</f>
        <v>WO</v>
      </c>
      <c r="AD21" s="16" t="s">
        <v>38</v>
      </c>
      <c r="AE21" s="10" t="s">
        <v>38</v>
      </c>
      <c r="AF21" s="10" t="s">
        <v>38</v>
      </c>
      <c r="AG21" s="10" t="s">
        <v>38</v>
      </c>
      <c r="AH21" s="10" t="s">
        <v>38</v>
      </c>
      <c r="AI21" s="16" t="s">
        <v>38</v>
      </c>
      <c r="AJ21" s="44" t="str">
        <f t="shared" si="12"/>
        <v>WO</v>
      </c>
      <c r="AK21" s="16" t="s">
        <v>38</v>
      </c>
      <c r="AL21" s="16" t="s">
        <v>38</v>
      </c>
      <c r="AM21" s="16" t="s">
        <v>38</v>
      </c>
      <c r="AN21" s="16" t="s">
        <v>40</v>
      </c>
      <c r="AO21" s="17" t="s">
        <v>38</v>
      </c>
      <c r="AP21" s="21"/>
      <c r="AQ21" s="24"/>
      <c r="AR21" s="10">
        <v>12</v>
      </c>
      <c r="AS21" s="10" t="s">
        <v>13</v>
      </c>
      <c r="AT21" s="10" t="str">
        <f t="shared" si="3"/>
        <v>October</v>
      </c>
      <c r="AU21" s="10">
        <v>1012</v>
      </c>
      <c r="AV21" s="9">
        <f t="shared" si="4"/>
        <v>26</v>
      </c>
      <c r="AW21" s="16">
        <f t="shared" si="5"/>
        <v>0</v>
      </c>
      <c r="AX21" s="16">
        <f t="shared" si="6"/>
        <v>1</v>
      </c>
      <c r="AY21" s="16">
        <f t="shared" si="7"/>
        <v>4</v>
      </c>
      <c r="AZ21" s="16">
        <f t="shared" si="8"/>
        <v>31</v>
      </c>
      <c r="BA21" s="16">
        <f>OctReport[[#This Row],[Days]]-OctReport[[#This Row],[Absent]]</f>
        <v>31</v>
      </c>
      <c r="BB21" s="19">
        <v>22000</v>
      </c>
      <c r="BC21" s="20">
        <f>OctReport[[#This Row],[Salary ]]/OctReport[[#This Row],[Days]]</f>
        <v>709.67741935483866</v>
      </c>
      <c r="BD21" s="20">
        <f>OctReport[[#This Row],[Per Day Salary ]]*OctReport[[#This Row],[Absent]]</f>
        <v>0</v>
      </c>
      <c r="BE21" s="20">
        <f>OctReport[[#This Row],[Salary ]]-OctReport[[#This Row],[Deduction]]</f>
        <v>22000</v>
      </c>
      <c r="BF21" s="20"/>
      <c r="BG21" s="24"/>
      <c r="BH21" s="22"/>
      <c r="BI21" s="22"/>
      <c r="BJ21" s="22"/>
      <c r="BK21" s="22"/>
      <c r="BL21" s="22"/>
      <c r="BM21" s="22"/>
      <c r="BN21" s="22"/>
    </row>
    <row r="22" spans="6:66" x14ac:dyDescent="0.25">
      <c r="F22" s="21"/>
      <c r="G22" s="8">
        <v>13</v>
      </c>
      <c r="H22" s="10" t="s">
        <v>14</v>
      </c>
      <c r="I22" s="10">
        <v>1013</v>
      </c>
      <c r="J22" s="47">
        <f t="shared" si="9"/>
        <v>4</v>
      </c>
      <c r="K22" s="10" t="s">
        <v>39</v>
      </c>
      <c r="L22" s="10" t="s">
        <v>38</v>
      </c>
      <c r="M22" s="10" t="s">
        <v>38</v>
      </c>
      <c r="N22" s="10" t="s">
        <v>40</v>
      </c>
      <c r="O22" s="44" t="str">
        <f t="shared" si="10"/>
        <v>WO</v>
      </c>
      <c r="P22" s="16" t="s">
        <v>40</v>
      </c>
      <c r="Q22" s="10" t="s">
        <v>38</v>
      </c>
      <c r="R22" s="10" t="s">
        <v>38</v>
      </c>
      <c r="S22" s="10" t="s">
        <v>38</v>
      </c>
      <c r="T22" s="10" t="s">
        <v>38</v>
      </c>
      <c r="U22" s="16" t="s">
        <v>38</v>
      </c>
      <c r="V22" s="44" t="str">
        <f t="shared" si="10"/>
        <v>WO</v>
      </c>
      <c r="W22" s="16" t="s">
        <v>40</v>
      </c>
      <c r="X22" s="10" t="s">
        <v>38</v>
      </c>
      <c r="Y22" s="10" t="s">
        <v>38</v>
      </c>
      <c r="Z22" s="10" t="s">
        <v>38</v>
      </c>
      <c r="AA22" s="10" t="s">
        <v>38</v>
      </c>
      <c r="AB22" s="16" t="s">
        <v>38</v>
      </c>
      <c r="AC22" s="44" t="str">
        <f t="shared" si="12"/>
        <v>WO</v>
      </c>
      <c r="AD22" s="16" t="s">
        <v>40</v>
      </c>
      <c r="AE22" s="10" t="s">
        <v>38</v>
      </c>
      <c r="AF22" s="10" t="s">
        <v>38</v>
      </c>
      <c r="AG22" s="10" t="s">
        <v>38</v>
      </c>
      <c r="AH22" s="10" t="s">
        <v>38</v>
      </c>
      <c r="AI22" s="16" t="s">
        <v>38</v>
      </c>
      <c r="AJ22" s="44" t="str">
        <f t="shared" si="12"/>
        <v>WO</v>
      </c>
      <c r="AK22" s="16" t="s">
        <v>39</v>
      </c>
      <c r="AL22" s="16" t="s">
        <v>38</v>
      </c>
      <c r="AM22" s="16" t="s">
        <v>38</v>
      </c>
      <c r="AN22" s="16" t="s">
        <v>38</v>
      </c>
      <c r="AO22" s="17" t="s">
        <v>38</v>
      </c>
      <c r="AP22" s="21"/>
      <c r="AQ22" s="24"/>
      <c r="AR22" s="10">
        <v>13</v>
      </c>
      <c r="AS22" s="10" t="s">
        <v>14</v>
      </c>
      <c r="AT22" s="10" t="str">
        <f t="shared" si="3"/>
        <v>October</v>
      </c>
      <c r="AU22" s="10">
        <v>1013</v>
      </c>
      <c r="AV22" s="9">
        <f t="shared" si="4"/>
        <v>21</v>
      </c>
      <c r="AW22" s="16">
        <f t="shared" si="5"/>
        <v>2</v>
      </c>
      <c r="AX22" s="16">
        <f t="shared" si="6"/>
        <v>4</v>
      </c>
      <c r="AY22" s="16">
        <f t="shared" si="7"/>
        <v>4</v>
      </c>
      <c r="AZ22" s="16">
        <f t="shared" si="8"/>
        <v>31</v>
      </c>
      <c r="BA22" s="16">
        <f>OctReport[[#This Row],[Days]]-OctReport[[#This Row],[Absent]]</f>
        <v>29</v>
      </c>
      <c r="BB22" s="19">
        <v>35000</v>
      </c>
      <c r="BC22" s="20">
        <f>OctReport[[#This Row],[Salary ]]/OctReport[[#This Row],[Days]]</f>
        <v>1129.0322580645161</v>
      </c>
      <c r="BD22" s="20">
        <f>OctReport[[#This Row],[Per Day Salary ]]*OctReport[[#This Row],[Absent]]</f>
        <v>2258.0645161290322</v>
      </c>
      <c r="BE22" s="20">
        <f>OctReport[[#This Row],[Salary ]]-OctReport[[#This Row],[Deduction]]</f>
        <v>32741.93548387097</v>
      </c>
      <c r="BF22" s="20"/>
      <c r="BG22" s="24"/>
      <c r="BH22" s="22"/>
      <c r="BI22" s="22"/>
      <c r="BJ22" s="22"/>
      <c r="BK22" s="22"/>
      <c r="BL22" s="22"/>
      <c r="BM22" s="22"/>
      <c r="BN22" s="22"/>
    </row>
    <row r="23" spans="6:66" x14ac:dyDescent="0.25">
      <c r="F23" s="21"/>
      <c r="G23" s="8">
        <v>14</v>
      </c>
      <c r="H23" s="10" t="s">
        <v>15</v>
      </c>
      <c r="I23" s="10">
        <v>1014</v>
      </c>
      <c r="J23" s="47">
        <f t="shared" si="9"/>
        <v>4</v>
      </c>
      <c r="K23" s="10" t="s">
        <v>38</v>
      </c>
      <c r="L23" s="10" t="s">
        <v>38</v>
      </c>
      <c r="M23" s="10" t="s">
        <v>38</v>
      </c>
      <c r="N23" s="10" t="s">
        <v>38</v>
      </c>
      <c r="O23" s="44" t="str">
        <f t="shared" si="10"/>
        <v>WO</v>
      </c>
      <c r="P23" s="16" t="s">
        <v>38</v>
      </c>
      <c r="Q23" s="10" t="s">
        <v>38</v>
      </c>
      <c r="R23" s="10" t="s">
        <v>38</v>
      </c>
      <c r="S23" s="10" t="s">
        <v>38</v>
      </c>
      <c r="T23" s="10" t="s">
        <v>38</v>
      </c>
      <c r="U23" s="16" t="s">
        <v>38</v>
      </c>
      <c r="V23" s="44" t="str">
        <f t="shared" si="10"/>
        <v>WO</v>
      </c>
      <c r="W23" s="16" t="s">
        <v>38</v>
      </c>
      <c r="X23" s="10" t="s">
        <v>38</v>
      </c>
      <c r="Y23" s="10" t="s">
        <v>38</v>
      </c>
      <c r="Z23" s="10" t="s">
        <v>38</v>
      </c>
      <c r="AA23" s="10" t="s">
        <v>38</v>
      </c>
      <c r="AB23" s="16" t="s">
        <v>38</v>
      </c>
      <c r="AC23" s="44" t="str">
        <f t="shared" si="12"/>
        <v>WO</v>
      </c>
      <c r="AD23" s="16" t="s">
        <v>38</v>
      </c>
      <c r="AE23" s="10" t="s">
        <v>38</v>
      </c>
      <c r="AF23" s="10" t="s">
        <v>38</v>
      </c>
      <c r="AG23" s="10" t="s">
        <v>38</v>
      </c>
      <c r="AH23" s="10" t="s">
        <v>38</v>
      </c>
      <c r="AI23" s="16" t="s">
        <v>38</v>
      </c>
      <c r="AJ23" s="44" t="str">
        <f t="shared" si="12"/>
        <v>WO</v>
      </c>
      <c r="AK23" s="16" t="s">
        <v>38</v>
      </c>
      <c r="AL23" s="16" t="s">
        <v>38</v>
      </c>
      <c r="AM23" s="16" t="s">
        <v>38</v>
      </c>
      <c r="AN23" s="16" t="s">
        <v>38</v>
      </c>
      <c r="AO23" s="17" t="s">
        <v>38</v>
      </c>
      <c r="AP23" s="21"/>
      <c r="AQ23" s="24"/>
      <c r="AR23" s="10">
        <v>14</v>
      </c>
      <c r="AS23" s="10" t="s">
        <v>15</v>
      </c>
      <c r="AT23" s="10" t="str">
        <f t="shared" si="3"/>
        <v>October</v>
      </c>
      <c r="AU23" s="10">
        <v>1014</v>
      </c>
      <c r="AV23" s="9">
        <f t="shared" si="4"/>
        <v>27</v>
      </c>
      <c r="AW23" s="16">
        <f t="shared" si="5"/>
        <v>0</v>
      </c>
      <c r="AX23" s="16">
        <f t="shared" si="6"/>
        <v>0</v>
      </c>
      <c r="AY23" s="16">
        <f t="shared" si="7"/>
        <v>4</v>
      </c>
      <c r="AZ23" s="16">
        <f t="shared" si="8"/>
        <v>31</v>
      </c>
      <c r="BA23" s="16">
        <f>OctReport[[#This Row],[Days]]-OctReport[[#This Row],[Absent]]</f>
        <v>31</v>
      </c>
      <c r="BB23" s="19">
        <v>14000</v>
      </c>
      <c r="BC23" s="20">
        <f>OctReport[[#This Row],[Salary ]]/OctReport[[#This Row],[Days]]</f>
        <v>451.61290322580646</v>
      </c>
      <c r="BD23" s="20">
        <f>OctReport[[#This Row],[Per Day Salary ]]*OctReport[[#This Row],[Absent]]</f>
        <v>0</v>
      </c>
      <c r="BE23" s="20">
        <f>OctReport[[#This Row],[Salary ]]-OctReport[[#This Row],[Deduction]]</f>
        <v>14000</v>
      </c>
      <c r="BF23" s="20"/>
      <c r="BG23" s="24"/>
      <c r="BH23" s="22"/>
      <c r="BI23" s="22"/>
      <c r="BJ23" s="22"/>
      <c r="BK23" s="22"/>
      <c r="BL23" s="22"/>
      <c r="BM23" s="22"/>
      <c r="BN23" s="22"/>
    </row>
    <row r="24" spans="6:66" x14ac:dyDescent="0.25">
      <c r="F24" s="21"/>
      <c r="G24" s="8">
        <v>15</v>
      </c>
      <c r="H24" s="10" t="s">
        <v>16</v>
      </c>
      <c r="I24" s="10">
        <v>1015</v>
      </c>
      <c r="J24" s="47">
        <f t="shared" si="9"/>
        <v>4</v>
      </c>
      <c r="K24" s="10" t="s">
        <v>38</v>
      </c>
      <c r="L24" s="10" t="s">
        <v>38</v>
      </c>
      <c r="M24" s="10" t="s">
        <v>38</v>
      </c>
      <c r="N24" s="10" t="s">
        <v>38</v>
      </c>
      <c r="O24" s="44" t="str">
        <f t="shared" si="10"/>
        <v>WO</v>
      </c>
      <c r="P24" s="16" t="s">
        <v>38</v>
      </c>
      <c r="Q24" s="10" t="s">
        <v>39</v>
      </c>
      <c r="R24" s="10" t="s">
        <v>38</v>
      </c>
      <c r="S24" s="10" t="s">
        <v>38</v>
      </c>
      <c r="T24" s="10" t="s">
        <v>38</v>
      </c>
      <c r="U24" s="16" t="s">
        <v>40</v>
      </c>
      <c r="V24" s="44" t="str">
        <f t="shared" si="10"/>
        <v>WO</v>
      </c>
      <c r="W24" s="16" t="s">
        <v>38</v>
      </c>
      <c r="X24" s="10" t="s">
        <v>39</v>
      </c>
      <c r="Y24" s="10" t="s">
        <v>38</v>
      </c>
      <c r="Z24" s="10" t="s">
        <v>38</v>
      </c>
      <c r="AA24" s="10" t="s">
        <v>38</v>
      </c>
      <c r="AB24" s="16" t="s">
        <v>40</v>
      </c>
      <c r="AC24" s="44" t="str">
        <f t="shared" si="12"/>
        <v>WO</v>
      </c>
      <c r="AD24" s="16" t="s">
        <v>38</v>
      </c>
      <c r="AE24" s="10" t="s">
        <v>39</v>
      </c>
      <c r="AF24" s="10" t="s">
        <v>38</v>
      </c>
      <c r="AG24" s="10" t="s">
        <v>38</v>
      </c>
      <c r="AH24" s="10" t="s">
        <v>38</v>
      </c>
      <c r="AI24" s="16" t="s">
        <v>40</v>
      </c>
      <c r="AJ24" s="44" t="str">
        <f t="shared" si="12"/>
        <v>WO</v>
      </c>
      <c r="AK24" s="16" t="s">
        <v>38</v>
      </c>
      <c r="AL24" s="16" t="s">
        <v>38</v>
      </c>
      <c r="AM24" s="16" t="s">
        <v>38</v>
      </c>
      <c r="AN24" s="16" t="s">
        <v>38</v>
      </c>
      <c r="AO24" s="17" t="s">
        <v>40</v>
      </c>
      <c r="AP24" s="21"/>
      <c r="AQ24" s="24"/>
      <c r="AR24" s="10">
        <v>15</v>
      </c>
      <c r="AS24" s="10" t="s">
        <v>16</v>
      </c>
      <c r="AT24" s="10" t="str">
        <f t="shared" si="3"/>
        <v>October</v>
      </c>
      <c r="AU24" s="10">
        <v>1015</v>
      </c>
      <c r="AV24" s="9">
        <f t="shared" si="4"/>
        <v>20</v>
      </c>
      <c r="AW24" s="16">
        <f t="shared" si="5"/>
        <v>3</v>
      </c>
      <c r="AX24" s="16">
        <f t="shared" si="6"/>
        <v>4</v>
      </c>
      <c r="AY24" s="16">
        <f t="shared" si="7"/>
        <v>4</v>
      </c>
      <c r="AZ24" s="16">
        <f t="shared" si="8"/>
        <v>31</v>
      </c>
      <c r="BA24" s="16">
        <f>OctReport[[#This Row],[Days]]-OctReport[[#This Row],[Absent]]</f>
        <v>28</v>
      </c>
      <c r="BB24" s="19">
        <v>72000</v>
      </c>
      <c r="BC24" s="20">
        <f>OctReport[[#This Row],[Salary ]]/OctReport[[#This Row],[Days]]</f>
        <v>2322.5806451612902</v>
      </c>
      <c r="BD24" s="20">
        <f>OctReport[[#This Row],[Per Day Salary ]]*OctReport[[#This Row],[Absent]]</f>
        <v>6967.7419354838712</v>
      </c>
      <c r="BE24" s="20">
        <f>OctReport[[#This Row],[Salary ]]-OctReport[[#This Row],[Deduction]]</f>
        <v>65032.258064516129</v>
      </c>
      <c r="BF24" s="20"/>
      <c r="BG24" s="24"/>
      <c r="BH24" s="22"/>
      <c r="BI24" s="22"/>
      <c r="BJ24" s="22"/>
      <c r="BK24" s="22"/>
      <c r="BL24" s="22"/>
      <c r="BM24" s="22"/>
      <c r="BN24" s="22"/>
    </row>
    <row r="25" spans="6:66" x14ac:dyDescent="0.25">
      <c r="F25" s="21"/>
      <c r="G25" s="8">
        <v>16</v>
      </c>
      <c r="H25" s="10" t="s">
        <v>17</v>
      </c>
      <c r="I25" s="10">
        <v>1016</v>
      </c>
      <c r="J25" s="47">
        <f t="shared" si="9"/>
        <v>4</v>
      </c>
      <c r="K25" s="10" t="s">
        <v>38</v>
      </c>
      <c r="L25" s="10" t="s">
        <v>38</v>
      </c>
      <c r="M25" s="10" t="s">
        <v>38</v>
      </c>
      <c r="N25" s="10" t="s">
        <v>38</v>
      </c>
      <c r="O25" s="44" t="str">
        <f t="shared" si="10"/>
        <v>WO</v>
      </c>
      <c r="P25" s="16" t="s">
        <v>38</v>
      </c>
      <c r="Q25" s="10" t="s">
        <v>38</v>
      </c>
      <c r="R25" s="10" t="s">
        <v>38</v>
      </c>
      <c r="S25" s="10" t="s">
        <v>38</v>
      </c>
      <c r="T25" s="10" t="s">
        <v>38</v>
      </c>
      <c r="U25" s="16" t="s">
        <v>38</v>
      </c>
      <c r="V25" s="44" t="str">
        <f t="shared" si="10"/>
        <v>WO</v>
      </c>
      <c r="W25" s="16" t="s">
        <v>38</v>
      </c>
      <c r="X25" s="10" t="s">
        <v>38</v>
      </c>
      <c r="Y25" s="10" t="s">
        <v>38</v>
      </c>
      <c r="Z25" s="10" t="s">
        <v>38</v>
      </c>
      <c r="AA25" s="10" t="s">
        <v>38</v>
      </c>
      <c r="AB25" s="16" t="s">
        <v>38</v>
      </c>
      <c r="AC25" s="44" t="str">
        <f t="shared" si="12"/>
        <v>WO</v>
      </c>
      <c r="AD25" s="16" t="s">
        <v>38</v>
      </c>
      <c r="AE25" s="10" t="s">
        <v>38</v>
      </c>
      <c r="AF25" s="10" t="s">
        <v>38</v>
      </c>
      <c r="AG25" s="10" t="s">
        <v>38</v>
      </c>
      <c r="AH25" s="10" t="s">
        <v>38</v>
      </c>
      <c r="AI25" s="16" t="s">
        <v>38</v>
      </c>
      <c r="AJ25" s="44" t="str">
        <f t="shared" si="12"/>
        <v>WO</v>
      </c>
      <c r="AK25" s="16" t="s">
        <v>38</v>
      </c>
      <c r="AL25" s="16" t="s">
        <v>38</v>
      </c>
      <c r="AM25" s="16" t="s">
        <v>38</v>
      </c>
      <c r="AN25" s="16" t="s">
        <v>38</v>
      </c>
      <c r="AO25" s="17" t="s">
        <v>38</v>
      </c>
      <c r="AP25" s="21"/>
      <c r="AQ25" s="24"/>
      <c r="AR25" s="10">
        <v>16</v>
      </c>
      <c r="AS25" s="10" t="s">
        <v>17</v>
      </c>
      <c r="AT25" s="10" t="str">
        <f t="shared" si="3"/>
        <v>October</v>
      </c>
      <c r="AU25" s="10">
        <v>1016</v>
      </c>
      <c r="AV25" s="9">
        <f t="shared" si="4"/>
        <v>27</v>
      </c>
      <c r="AW25" s="16">
        <f t="shared" si="5"/>
        <v>0</v>
      </c>
      <c r="AX25" s="16">
        <f t="shared" si="6"/>
        <v>0</v>
      </c>
      <c r="AY25" s="16">
        <f t="shared" si="7"/>
        <v>4</v>
      </c>
      <c r="AZ25" s="16">
        <f t="shared" si="8"/>
        <v>31</v>
      </c>
      <c r="BA25" s="16">
        <f>OctReport[[#This Row],[Days]]-OctReport[[#This Row],[Absent]]</f>
        <v>31</v>
      </c>
      <c r="BB25" s="19">
        <v>79000</v>
      </c>
      <c r="BC25" s="20">
        <f>OctReport[[#This Row],[Salary ]]/OctReport[[#This Row],[Days]]</f>
        <v>2548.3870967741937</v>
      </c>
      <c r="BD25" s="20">
        <f>OctReport[[#This Row],[Per Day Salary ]]*OctReport[[#This Row],[Absent]]</f>
        <v>0</v>
      </c>
      <c r="BE25" s="20">
        <f>OctReport[[#This Row],[Salary ]]-OctReport[[#This Row],[Deduction]]</f>
        <v>79000</v>
      </c>
      <c r="BF25" s="20"/>
      <c r="BG25" s="24"/>
      <c r="BH25" s="22"/>
      <c r="BI25" s="22"/>
      <c r="BJ25" s="22"/>
      <c r="BK25" s="22"/>
      <c r="BL25" s="22"/>
      <c r="BM25" s="22"/>
      <c r="BN25" s="22"/>
    </row>
    <row r="26" spans="6:66" x14ac:dyDescent="0.25">
      <c r="F26" s="21"/>
      <c r="G26" s="8">
        <v>17</v>
      </c>
      <c r="H26" s="10" t="s">
        <v>18</v>
      </c>
      <c r="I26" s="10">
        <v>1017</v>
      </c>
      <c r="J26" s="47">
        <f t="shared" si="9"/>
        <v>4</v>
      </c>
      <c r="K26" s="10" t="s">
        <v>38</v>
      </c>
      <c r="L26" s="10" t="s">
        <v>38</v>
      </c>
      <c r="M26" s="10" t="s">
        <v>39</v>
      </c>
      <c r="N26" s="10" t="s">
        <v>38</v>
      </c>
      <c r="O26" s="44" t="str">
        <f t="shared" si="10"/>
        <v>WO</v>
      </c>
      <c r="P26" s="16" t="s">
        <v>38</v>
      </c>
      <c r="Q26" s="10" t="s">
        <v>38</v>
      </c>
      <c r="R26" s="10" t="s">
        <v>38</v>
      </c>
      <c r="S26" s="10" t="s">
        <v>38</v>
      </c>
      <c r="T26" s="10" t="s">
        <v>38</v>
      </c>
      <c r="U26" s="16" t="s">
        <v>38</v>
      </c>
      <c r="V26" s="44" t="str">
        <f t="shared" si="10"/>
        <v>WO</v>
      </c>
      <c r="W26" s="16" t="s">
        <v>38</v>
      </c>
      <c r="X26" s="10" t="s">
        <v>38</v>
      </c>
      <c r="Y26" s="10" t="s">
        <v>38</v>
      </c>
      <c r="Z26" s="10" t="s">
        <v>38</v>
      </c>
      <c r="AA26" s="10" t="s">
        <v>38</v>
      </c>
      <c r="AB26" s="16" t="s">
        <v>38</v>
      </c>
      <c r="AC26" s="44" t="str">
        <f t="shared" si="12"/>
        <v>WO</v>
      </c>
      <c r="AD26" s="16" t="s">
        <v>38</v>
      </c>
      <c r="AE26" s="10" t="s">
        <v>38</v>
      </c>
      <c r="AF26" s="10" t="s">
        <v>38</v>
      </c>
      <c r="AG26" s="10" t="s">
        <v>38</v>
      </c>
      <c r="AH26" s="10" t="s">
        <v>38</v>
      </c>
      <c r="AI26" s="16" t="s">
        <v>38</v>
      </c>
      <c r="AJ26" s="44" t="str">
        <f t="shared" si="12"/>
        <v>WO</v>
      </c>
      <c r="AK26" s="16" t="s">
        <v>38</v>
      </c>
      <c r="AL26" s="16" t="s">
        <v>39</v>
      </c>
      <c r="AM26" s="16" t="s">
        <v>38</v>
      </c>
      <c r="AN26" s="16" t="s">
        <v>38</v>
      </c>
      <c r="AO26" s="17" t="s">
        <v>38</v>
      </c>
      <c r="AP26" s="21"/>
      <c r="AQ26" s="24"/>
      <c r="AR26" s="10">
        <v>17</v>
      </c>
      <c r="AS26" s="10" t="s">
        <v>18</v>
      </c>
      <c r="AT26" s="10" t="str">
        <f t="shared" si="3"/>
        <v>October</v>
      </c>
      <c r="AU26" s="10">
        <v>1017</v>
      </c>
      <c r="AV26" s="9">
        <f t="shared" si="4"/>
        <v>25</v>
      </c>
      <c r="AW26" s="16">
        <f t="shared" si="5"/>
        <v>2</v>
      </c>
      <c r="AX26" s="16">
        <f t="shared" si="6"/>
        <v>0</v>
      </c>
      <c r="AY26" s="16">
        <f t="shared" si="7"/>
        <v>4</v>
      </c>
      <c r="AZ26" s="16">
        <f t="shared" si="8"/>
        <v>31</v>
      </c>
      <c r="BA26" s="16">
        <f>OctReport[[#This Row],[Days]]-OctReport[[#This Row],[Absent]]</f>
        <v>29</v>
      </c>
      <c r="BB26" s="19">
        <v>33000</v>
      </c>
      <c r="BC26" s="20">
        <f>OctReport[[#This Row],[Salary ]]/OctReport[[#This Row],[Days]]</f>
        <v>1064.516129032258</v>
      </c>
      <c r="BD26" s="20">
        <f>OctReport[[#This Row],[Per Day Salary ]]*OctReport[[#This Row],[Absent]]</f>
        <v>2129.0322580645161</v>
      </c>
      <c r="BE26" s="20">
        <f>OctReport[[#This Row],[Salary ]]-OctReport[[#This Row],[Deduction]]</f>
        <v>30870.967741935485</v>
      </c>
      <c r="BF26" s="20"/>
      <c r="BG26" s="24"/>
      <c r="BH26" s="22"/>
      <c r="BI26" s="22"/>
      <c r="BJ26" s="22"/>
      <c r="BK26" s="22"/>
      <c r="BL26" s="22"/>
      <c r="BM26" s="22"/>
      <c r="BN26" s="22"/>
    </row>
    <row r="27" spans="6:66" x14ac:dyDescent="0.25">
      <c r="F27" s="21"/>
      <c r="G27" s="8">
        <v>18</v>
      </c>
      <c r="H27" s="10" t="s">
        <v>41</v>
      </c>
      <c r="I27" s="10">
        <v>1018</v>
      </c>
      <c r="J27" s="47">
        <f t="shared" si="9"/>
        <v>4</v>
      </c>
      <c r="K27" s="10" t="s">
        <v>40</v>
      </c>
      <c r="L27" s="10" t="s">
        <v>38</v>
      </c>
      <c r="M27" s="10" t="s">
        <v>38</v>
      </c>
      <c r="N27" s="10" t="s">
        <v>38</v>
      </c>
      <c r="O27" s="44" t="str">
        <f t="shared" si="10"/>
        <v>WO</v>
      </c>
      <c r="P27" s="16" t="s">
        <v>38</v>
      </c>
      <c r="Q27" s="10" t="s">
        <v>38</v>
      </c>
      <c r="R27" s="10" t="s">
        <v>38</v>
      </c>
      <c r="S27" s="10" t="s">
        <v>38</v>
      </c>
      <c r="T27" s="10" t="s">
        <v>38</v>
      </c>
      <c r="U27" s="16" t="s">
        <v>38</v>
      </c>
      <c r="V27" s="44" t="str">
        <f t="shared" si="10"/>
        <v>WO</v>
      </c>
      <c r="W27" s="16" t="s">
        <v>38</v>
      </c>
      <c r="X27" s="10" t="s">
        <v>38</v>
      </c>
      <c r="Y27" s="10" t="s">
        <v>38</v>
      </c>
      <c r="Z27" s="10" t="s">
        <v>38</v>
      </c>
      <c r="AA27" s="10" t="s">
        <v>38</v>
      </c>
      <c r="AB27" s="16" t="s">
        <v>38</v>
      </c>
      <c r="AC27" s="44" t="str">
        <f t="shared" si="12"/>
        <v>WO</v>
      </c>
      <c r="AD27" s="16" t="s">
        <v>38</v>
      </c>
      <c r="AE27" s="10" t="s">
        <v>38</v>
      </c>
      <c r="AF27" s="10" t="s">
        <v>38</v>
      </c>
      <c r="AG27" s="10" t="s">
        <v>38</v>
      </c>
      <c r="AH27" s="10" t="s">
        <v>38</v>
      </c>
      <c r="AI27" s="16" t="s">
        <v>38</v>
      </c>
      <c r="AJ27" s="44" t="str">
        <f t="shared" si="12"/>
        <v>WO</v>
      </c>
      <c r="AK27" s="16" t="s">
        <v>38</v>
      </c>
      <c r="AL27" s="16" t="s">
        <v>38</v>
      </c>
      <c r="AM27" s="16" t="s">
        <v>38</v>
      </c>
      <c r="AN27" s="16" t="s">
        <v>38</v>
      </c>
      <c r="AO27" s="17" t="s">
        <v>38</v>
      </c>
      <c r="AP27" s="21"/>
      <c r="AQ27" s="24"/>
      <c r="AR27" s="10">
        <v>18</v>
      </c>
      <c r="AS27" s="10" t="s">
        <v>41</v>
      </c>
      <c r="AT27" s="10" t="str">
        <f t="shared" si="3"/>
        <v>October</v>
      </c>
      <c r="AU27" s="10">
        <v>1018</v>
      </c>
      <c r="AV27" s="9">
        <f t="shared" si="4"/>
        <v>26</v>
      </c>
      <c r="AW27" s="16">
        <f t="shared" si="5"/>
        <v>0</v>
      </c>
      <c r="AX27" s="16">
        <f t="shared" si="6"/>
        <v>1</v>
      </c>
      <c r="AY27" s="16">
        <f t="shared" si="7"/>
        <v>4</v>
      </c>
      <c r="AZ27" s="16">
        <f t="shared" si="8"/>
        <v>31</v>
      </c>
      <c r="BA27" s="16">
        <f>OctReport[[#This Row],[Days]]-OctReport[[#This Row],[Absent]]</f>
        <v>31</v>
      </c>
      <c r="BB27" s="19">
        <v>12000</v>
      </c>
      <c r="BC27" s="20">
        <f>OctReport[[#This Row],[Salary ]]/OctReport[[#This Row],[Days]]</f>
        <v>387.09677419354841</v>
      </c>
      <c r="BD27" s="20">
        <f>OctReport[[#This Row],[Per Day Salary ]]*OctReport[[#This Row],[Absent]]</f>
        <v>0</v>
      </c>
      <c r="BE27" s="20">
        <f>OctReport[[#This Row],[Salary ]]-OctReport[[#This Row],[Deduction]]</f>
        <v>12000</v>
      </c>
      <c r="BF27" s="20"/>
      <c r="BG27" s="24"/>
      <c r="BH27" s="22"/>
      <c r="BI27" s="22"/>
      <c r="BJ27" s="22"/>
      <c r="BK27" s="22"/>
      <c r="BL27" s="22"/>
      <c r="BM27" s="22"/>
      <c r="BN27" s="22"/>
    </row>
    <row r="28" spans="6:66" x14ac:dyDescent="0.25">
      <c r="F28" s="21"/>
      <c r="G28" s="8">
        <v>19</v>
      </c>
      <c r="H28" s="10" t="s">
        <v>19</v>
      </c>
      <c r="I28" s="10">
        <v>1019</v>
      </c>
      <c r="J28" s="47">
        <f t="shared" si="9"/>
        <v>4</v>
      </c>
      <c r="K28" s="10" t="s">
        <v>38</v>
      </c>
      <c r="L28" s="10" t="s">
        <v>38</v>
      </c>
      <c r="M28" s="10" t="s">
        <v>38</v>
      </c>
      <c r="N28" s="10" t="s">
        <v>40</v>
      </c>
      <c r="O28" s="44" t="str">
        <f t="shared" si="10"/>
        <v>WO</v>
      </c>
      <c r="P28" s="16" t="s">
        <v>38</v>
      </c>
      <c r="Q28" s="10" t="s">
        <v>38</v>
      </c>
      <c r="R28" s="10" t="s">
        <v>38</v>
      </c>
      <c r="S28" s="10" t="s">
        <v>38</v>
      </c>
      <c r="T28" s="10" t="s">
        <v>38</v>
      </c>
      <c r="U28" s="16" t="s">
        <v>38</v>
      </c>
      <c r="V28" s="44" t="str">
        <f t="shared" si="10"/>
        <v>WO</v>
      </c>
      <c r="W28" s="16" t="s">
        <v>38</v>
      </c>
      <c r="X28" s="10" t="s">
        <v>38</v>
      </c>
      <c r="Y28" s="10" t="s">
        <v>38</v>
      </c>
      <c r="Z28" s="10" t="s">
        <v>38</v>
      </c>
      <c r="AA28" s="10" t="s">
        <v>38</v>
      </c>
      <c r="AB28" s="16" t="s">
        <v>38</v>
      </c>
      <c r="AC28" s="44" t="str">
        <f t="shared" si="12"/>
        <v>WO</v>
      </c>
      <c r="AD28" s="16" t="s">
        <v>38</v>
      </c>
      <c r="AE28" s="10" t="s">
        <v>38</v>
      </c>
      <c r="AF28" s="10" t="s">
        <v>38</v>
      </c>
      <c r="AG28" s="10" t="s">
        <v>38</v>
      </c>
      <c r="AH28" s="10" t="s">
        <v>38</v>
      </c>
      <c r="AI28" s="16" t="s">
        <v>38</v>
      </c>
      <c r="AJ28" s="44" t="str">
        <f t="shared" si="12"/>
        <v>WO</v>
      </c>
      <c r="AK28" s="16" t="s">
        <v>38</v>
      </c>
      <c r="AL28" s="16" t="s">
        <v>38</v>
      </c>
      <c r="AM28" s="16" t="s">
        <v>38</v>
      </c>
      <c r="AN28" s="16" t="s">
        <v>39</v>
      </c>
      <c r="AO28" s="17" t="s">
        <v>38</v>
      </c>
      <c r="AP28" s="21"/>
      <c r="AQ28" s="24"/>
      <c r="AR28" s="10">
        <v>19</v>
      </c>
      <c r="AS28" s="10" t="s">
        <v>19</v>
      </c>
      <c r="AT28" s="10" t="str">
        <f t="shared" si="3"/>
        <v>October</v>
      </c>
      <c r="AU28" s="10">
        <v>1019</v>
      </c>
      <c r="AV28" s="9">
        <f t="shared" si="4"/>
        <v>25</v>
      </c>
      <c r="AW28" s="16">
        <f t="shared" si="5"/>
        <v>1</v>
      </c>
      <c r="AX28" s="16">
        <f t="shared" si="6"/>
        <v>1</v>
      </c>
      <c r="AY28" s="16">
        <f t="shared" si="7"/>
        <v>4</v>
      </c>
      <c r="AZ28" s="16">
        <f t="shared" si="8"/>
        <v>31</v>
      </c>
      <c r="BA28" s="16">
        <f>OctReport[[#This Row],[Days]]-OctReport[[#This Row],[Absent]]</f>
        <v>30</v>
      </c>
      <c r="BB28" s="19">
        <v>19000</v>
      </c>
      <c r="BC28" s="20">
        <f>OctReport[[#This Row],[Salary ]]/OctReport[[#This Row],[Days]]</f>
        <v>612.90322580645159</v>
      </c>
      <c r="BD28" s="20">
        <f>OctReport[[#This Row],[Per Day Salary ]]*OctReport[[#This Row],[Absent]]</f>
        <v>612.90322580645159</v>
      </c>
      <c r="BE28" s="20">
        <f>OctReport[[#This Row],[Salary ]]-OctReport[[#This Row],[Deduction]]</f>
        <v>18387.096774193549</v>
      </c>
      <c r="BF28" s="20"/>
      <c r="BG28" s="24"/>
      <c r="BH28" s="22"/>
      <c r="BI28" s="22"/>
      <c r="BJ28" s="22"/>
      <c r="BK28" s="22"/>
      <c r="BL28" s="22"/>
      <c r="BM28" s="22"/>
      <c r="BN28" s="22"/>
    </row>
    <row r="29" spans="6:66" ht="16.5" thickBot="1" x14ac:dyDescent="0.3">
      <c r="F29" s="21"/>
      <c r="G29" s="11">
        <v>20</v>
      </c>
      <c r="H29" s="12" t="s">
        <v>24</v>
      </c>
      <c r="I29" s="12">
        <v>1020</v>
      </c>
      <c r="J29" s="48">
        <f t="shared" si="9"/>
        <v>4</v>
      </c>
      <c r="K29" s="39" t="s">
        <v>39</v>
      </c>
      <c r="L29" s="39" t="s">
        <v>38</v>
      </c>
      <c r="M29" s="39" t="s">
        <v>38</v>
      </c>
      <c r="N29" s="39" t="s">
        <v>38</v>
      </c>
      <c r="O29" s="45" t="str">
        <f t="shared" si="10"/>
        <v>WO</v>
      </c>
      <c r="P29" s="34" t="s">
        <v>38</v>
      </c>
      <c r="Q29" s="39" t="s">
        <v>38</v>
      </c>
      <c r="R29" s="39" t="s">
        <v>38</v>
      </c>
      <c r="S29" s="39" t="s">
        <v>39</v>
      </c>
      <c r="T29" s="39" t="s">
        <v>38</v>
      </c>
      <c r="U29" s="34" t="s">
        <v>38</v>
      </c>
      <c r="V29" s="45" t="str">
        <f t="shared" si="10"/>
        <v>WO</v>
      </c>
      <c r="W29" s="34" t="s">
        <v>38</v>
      </c>
      <c r="X29" s="39" t="s">
        <v>38</v>
      </c>
      <c r="Y29" s="39" t="s">
        <v>38</v>
      </c>
      <c r="Z29" s="39" t="s">
        <v>39</v>
      </c>
      <c r="AA29" s="39" t="s">
        <v>38</v>
      </c>
      <c r="AB29" s="34" t="s">
        <v>38</v>
      </c>
      <c r="AC29" s="45" t="str">
        <f t="shared" si="12"/>
        <v>WO</v>
      </c>
      <c r="AD29" s="34" t="s">
        <v>38</v>
      </c>
      <c r="AE29" s="39" t="s">
        <v>38</v>
      </c>
      <c r="AF29" s="39" t="s">
        <v>38</v>
      </c>
      <c r="AG29" s="39" t="s">
        <v>39</v>
      </c>
      <c r="AH29" s="39" t="s">
        <v>38</v>
      </c>
      <c r="AI29" s="34" t="s">
        <v>38</v>
      </c>
      <c r="AJ29" s="45" t="str">
        <f t="shared" si="12"/>
        <v>WO</v>
      </c>
      <c r="AK29" s="34" t="s">
        <v>40</v>
      </c>
      <c r="AL29" s="34" t="s">
        <v>38</v>
      </c>
      <c r="AM29" s="34" t="s">
        <v>38</v>
      </c>
      <c r="AN29" s="34" t="s">
        <v>38</v>
      </c>
      <c r="AO29" s="40" t="s">
        <v>38</v>
      </c>
      <c r="AP29" s="21"/>
      <c r="AQ29" s="24"/>
      <c r="AR29" s="10">
        <v>20</v>
      </c>
      <c r="AS29" s="10" t="s">
        <v>24</v>
      </c>
      <c r="AT29" s="10" t="str">
        <f t="shared" si="3"/>
        <v>October</v>
      </c>
      <c r="AU29" s="10">
        <v>1020</v>
      </c>
      <c r="AV29" s="9">
        <f t="shared" si="4"/>
        <v>22</v>
      </c>
      <c r="AW29" s="16">
        <f t="shared" si="5"/>
        <v>4</v>
      </c>
      <c r="AX29" s="16">
        <f t="shared" si="6"/>
        <v>1</v>
      </c>
      <c r="AY29" s="16">
        <f t="shared" si="7"/>
        <v>4</v>
      </c>
      <c r="AZ29" s="16">
        <f t="shared" si="8"/>
        <v>31</v>
      </c>
      <c r="BA29" s="16">
        <f>OctReport[[#This Row],[Days]]-OctReport[[#This Row],[Absent]]</f>
        <v>27</v>
      </c>
      <c r="BB29" s="19">
        <v>17000</v>
      </c>
      <c r="BC29" s="20">
        <f>OctReport[[#This Row],[Salary ]]/OctReport[[#This Row],[Days]]</f>
        <v>548.38709677419354</v>
      </c>
      <c r="BD29" s="20">
        <f>OctReport[[#This Row],[Per Day Salary ]]*OctReport[[#This Row],[Absent]]</f>
        <v>2193.5483870967741</v>
      </c>
      <c r="BE29" s="20">
        <f>OctReport[[#This Row],[Salary ]]-OctReport[[#This Row],[Deduction]]</f>
        <v>14806.451612903225</v>
      </c>
      <c r="BF29" s="20"/>
      <c r="BG29" s="24"/>
      <c r="BH29" s="22"/>
      <c r="BI29" s="22"/>
      <c r="BJ29" s="22"/>
      <c r="BK29" s="22"/>
      <c r="BL29" s="22"/>
      <c r="BM29" s="22"/>
      <c r="BN29" s="22"/>
    </row>
    <row r="30" spans="6:66" x14ac:dyDescent="0.25"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2"/>
      <c r="BI30" s="22"/>
      <c r="BJ30" s="22"/>
      <c r="BK30" s="22"/>
      <c r="BL30" s="22"/>
      <c r="BM30" s="22"/>
      <c r="BN30" s="22"/>
    </row>
    <row r="31" spans="6:66" s="22" customFormat="1" x14ac:dyDescent="0.25"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</row>
    <row r="32" spans="6:66" s="22" customFormat="1" x14ac:dyDescent="0.25"/>
    <row r="33" spans="6:66" x14ac:dyDescent="0.25"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H33" s="22"/>
      <c r="BI33" s="22"/>
      <c r="BJ33" s="22"/>
      <c r="BK33" s="22"/>
      <c r="BL33" s="22"/>
      <c r="BM33" s="22"/>
      <c r="BN33" s="22"/>
    </row>
    <row r="34" spans="6:66" x14ac:dyDescent="0.25"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H34" s="22"/>
      <c r="BI34" s="22"/>
      <c r="BJ34" s="22"/>
      <c r="BK34" s="22"/>
      <c r="BL34" s="22"/>
      <c r="BM34" s="22"/>
      <c r="BN34" s="22"/>
    </row>
    <row r="35" spans="6:66" x14ac:dyDescent="0.25"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H35" s="22"/>
      <c r="BI35" s="22"/>
      <c r="BJ35" s="22"/>
      <c r="BK35" s="22"/>
      <c r="BL35" s="22"/>
      <c r="BM35" s="22"/>
      <c r="BN35" s="22"/>
    </row>
    <row r="36" spans="6:66" x14ac:dyDescent="0.25"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H36" s="22"/>
      <c r="BI36" s="22"/>
      <c r="BJ36" s="22"/>
      <c r="BK36" s="22"/>
      <c r="BL36" s="22"/>
      <c r="BM36" s="22"/>
      <c r="BN36" s="22"/>
    </row>
    <row r="37" spans="6:66" x14ac:dyDescent="0.25"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H37" s="22"/>
      <c r="BI37" s="22"/>
      <c r="BJ37" s="22"/>
      <c r="BK37" s="22"/>
      <c r="BL37" s="22"/>
      <c r="BM37" s="22"/>
      <c r="BN37" s="22"/>
    </row>
    <row r="38" spans="6:66" x14ac:dyDescent="0.25"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H38" s="22"/>
      <c r="BI38" s="22"/>
      <c r="BJ38" s="22"/>
      <c r="BK38" s="22"/>
      <c r="BL38" s="22"/>
      <c r="BM38" s="22"/>
      <c r="BN38" s="22"/>
    </row>
    <row r="39" spans="6:66" x14ac:dyDescent="0.25"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H39" s="22"/>
      <c r="BI39" s="22"/>
      <c r="BJ39" s="22"/>
      <c r="BK39" s="22"/>
      <c r="BL39" s="22"/>
      <c r="BM39" s="22"/>
      <c r="BN39" s="22"/>
    </row>
    <row r="40" spans="6:66" x14ac:dyDescent="0.25"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H40" s="22"/>
      <c r="BI40" s="22"/>
      <c r="BJ40" s="22"/>
      <c r="BK40" s="22"/>
      <c r="BL40" s="22"/>
      <c r="BM40" s="22"/>
      <c r="BN40" s="22"/>
    </row>
    <row r="41" spans="6:66" x14ac:dyDescent="0.25"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H41" s="22"/>
      <c r="BI41" s="22"/>
      <c r="BJ41" s="22"/>
      <c r="BK41" s="22"/>
      <c r="BL41" s="22"/>
      <c r="BM41" s="22"/>
      <c r="BN41" s="22"/>
    </row>
    <row r="42" spans="6:66" x14ac:dyDescent="0.25"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H42" s="22"/>
      <c r="BI42" s="22"/>
      <c r="BJ42" s="22"/>
      <c r="BK42" s="22"/>
      <c r="BL42" s="22"/>
      <c r="BM42" s="22"/>
      <c r="BN42" s="22"/>
    </row>
    <row r="43" spans="6:66" x14ac:dyDescent="0.25"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H43" s="22"/>
      <c r="BI43" s="22"/>
      <c r="BJ43" s="22"/>
      <c r="BK43" s="22"/>
      <c r="BL43" s="22"/>
      <c r="BM43" s="22"/>
      <c r="BN43" s="22"/>
    </row>
    <row r="44" spans="6:66" x14ac:dyDescent="0.25"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H44" s="22"/>
      <c r="BI44" s="22"/>
      <c r="BJ44" s="22"/>
      <c r="BK44" s="22"/>
      <c r="BL44" s="22"/>
      <c r="BM44" s="22"/>
      <c r="BN44" s="22"/>
    </row>
    <row r="45" spans="6:66" x14ac:dyDescent="0.25"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H45" s="22"/>
      <c r="BI45" s="22"/>
      <c r="BJ45" s="22"/>
      <c r="BK45" s="22"/>
      <c r="BL45" s="22"/>
      <c r="BM45" s="22"/>
      <c r="BN45" s="22"/>
    </row>
    <row r="46" spans="6:66" x14ac:dyDescent="0.25"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H46" s="22"/>
      <c r="BI46" s="22"/>
      <c r="BJ46" s="22"/>
      <c r="BK46" s="22"/>
      <c r="BL46" s="22"/>
      <c r="BM46" s="22"/>
      <c r="BN46" s="22"/>
    </row>
    <row r="47" spans="6:66" x14ac:dyDescent="0.25"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H47" s="22"/>
      <c r="BI47" s="22"/>
      <c r="BJ47" s="22"/>
      <c r="BK47" s="22"/>
      <c r="BL47" s="22"/>
      <c r="BM47" s="22"/>
      <c r="BN47" s="22"/>
    </row>
    <row r="48" spans="6:66" x14ac:dyDescent="0.25"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H48" s="22"/>
      <c r="BI48" s="22"/>
      <c r="BJ48" s="22"/>
      <c r="BK48" s="22"/>
      <c r="BL48" s="22"/>
      <c r="BM48" s="22"/>
      <c r="BN48" s="22"/>
    </row>
    <row r="49" spans="6:66" x14ac:dyDescent="0.25"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H49" s="22"/>
      <c r="BI49" s="22"/>
      <c r="BJ49" s="22"/>
      <c r="BK49" s="22"/>
      <c r="BL49" s="22"/>
      <c r="BM49" s="22"/>
      <c r="BN49" s="22"/>
    </row>
    <row r="50" spans="6:66" x14ac:dyDescent="0.25"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H50" s="22"/>
      <c r="BI50" s="22"/>
      <c r="BJ50" s="22"/>
      <c r="BK50" s="22"/>
      <c r="BL50" s="22"/>
      <c r="BM50" s="22"/>
      <c r="BN50" s="22"/>
    </row>
    <row r="51" spans="6:66" x14ac:dyDescent="0.25"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H51" s="22"/>
      <c r="BI51" s="22"/>
      <c r="BJ51" s="22"/>
      <c r="BK51" s="22"/>
      <c r="BL51" s="22"/>
      <c r="BM51" s="22"/>
      <c r="BN51" s="22"/>
    </row>
    <row r="52" spans="6:66" x14ac:dyDescent="0.25"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H52" s="22"/>
      <c r="BI52" s="22"/>
      <c r="BJ52" s="22"/>
      <c r="BK52" s="22"/>
      <c r="BL52" s="22"/>
      <c r="BM52" s="22"/>
      <c r="BN52" s="22"/>
    </row>
    <row r="53" spans="6:66" x14ac:dyDescent="0.25"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H53" s="22"/>
      <c r="BI53" s="22"/>
      <c r="BJ53" s="22"/>
      <c r="BK53" s="22"/>
      <c r="BL53" s="22"/>
      <c r="BM53" s="22"/>
      <c r="BN53" s="22"/>
    </row>
    <row r="54" spans="6:66" x14ac:dyDescent="0.25"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H54" s="22"/>
      <c r="BI54" s="22"/>
      <c r="BJ54" s="22"/>
      <c r="BK54" s="22"/>
      <c r="BL54" s="22"/>
      <c r="BM54" s="22"/>
      <c r="BN54" s="22"/>
    </row>
    <row r="55" spans="6:66" x14ac:dyDescent="0.25"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H55" s="22"/>
      <c r="BI55" s="22"/>
      <c r="BJ55" s="22"/>
      <c r="BK55" s="22"/>
      <c r="BL55" s="22"/>
      <c r="BM55" s="22"/>
      <c r="BN55" s="22"/>
    </row>
    <row r="56" spans="6:66" x14ac:dyDescent="0.25"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H56" s="22"/>
      <c r="BI56" s="22"/>
      <c r="BJ56" s="22"/>
      <c r="BK56" s="22"/>
      <c r="BL56" s="22"/>
      <c r="BM56" s="22"/>
      <c r="BN56" s="22"/>
    </row>
    <row r="57" spans="6:66" x14ac:dyDescent="0.25"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H57" s="22"/>
      <c r="BI57" s="22"/>
      <c r="BJ57" s="22"/>
      <c r="BK57" s="22"/>
      <c r="BL57" s="22"/>
      <c r="BM57" s="22"/>
      <c r="BN57" s="22"/>
    </row>
    <row r="58" spans="6:66" x14ac:dyDescent="0.25"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H58" s="22"/>
      <c r="BI58" s="22"/>
      <c r="BJ58" s="22"/>
      <c r="BK58" s="22"/>
      <c r="BL58" s="22"/>
      <c r="BM58" s="22"/>
      <c r="BN58" s="22"/>
    </row>
    <row r="59" spans="6:66" x14ac:dyDescent="0.25"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H59" s="22"/>
      <c r="BI59" s="22"/>
      <c r="BJ59" s="22"/>
      <c r="BK59" s="22"/>
      <c r="BL59" s="22"/>
      <c r="BM59" s="22"/>
      <c r="BN59" s="22"/>
    </row>
    <row r="60" spans="6:66" x14ac:dyDescent="0.25"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H60" s="22"/>
      <c r="BI60" s="22"/>
      <c r="BJ60" s="22"/>
      <c r="BK60" s="22"/>
      <c r="BL60" s="22"/>
      <c r="BM60" s="22"/>
      <c r="BN60" s="22"/>
    </row>
    <row r="61" spans="6:66" x14ac:dyDescent="0.25"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H61" s="22"/>
      <c r="BI61" s="22"/>
      <c r="BJ61" s="22"/>
      <c r="BK61" s="22"/>
      <c r="BL61" s="22"/>
      <c r="BM61" s="22"/>
      <c r="BN61" s="22"/>
    </row>
    <row r="62" spans="6:66" x14ac:dyDescent="0.25"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H62" s="22"/>
      <c r="BI62" s="22"/>
      <c r="BJ62" s="22"/>
      <c r="BK62" s="22"/>
      <c r="BL62" s="22"/>
      <c r="BM62" s="22"/>
      <c r="BN62" s="22"/>
    </row>
    <row r="63" spans="6:66" x14ac:dyDescent="0.25"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H63" s="22"/>
      <c r="BI63" s="22"/>
      <c r="BJ63" s="22"/>
      <c r="BK63" s="22"/>
      <c r="BL63" s="22"/>
      <c r="BM63" s="22"/>
      <c r="BN63" s="22"/>
    </row>
    <row r="64" spans="6:66" x14ac:dyDescent="0.25"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H64" s="22"/>
      <c r="BI64" s="22"/>
      <c r="BJ64" s="22"/>
      <c r="BK64" s="22"/>
      <c r="BL64" s="22"/>
      <c r="BM64" s="22"/>
      <c r="BN64" s="22"/>
    </row>
    <row r="65" spans="6:66" x14ac:dyDescent="0.25"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H65" s="22"/>
      <c r="BI65" s="22"/>
      <c r="BJ65" s="22"/>
      <c r="BK65" s="22"/>
      <c r="BL65" s="22"/>
      <c r="BM65" s="22"/>
      <c r="BN65" s="22"/>
    </row>
    <row r="66" spans="6:66" x14ac:dyDescent="0.25"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H66" s="22"/>
      <c r="BI66" s="22"/>
      <c r="BJ66" s="22"/>
      <c r="BK66" s="22"/>
      <c r="BL66" s="22"/>
      <c r="BM66" s="22"/>
      <c r="BN66" s="22"/>
    </row>
    <row r="67" spans="6:66" x14ac:dyDescent="0.25"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H67" s="22"/>
      <c r="BI67" s="22"/>
      <c r="BJ67" s="22"/>
      <c r="BK67" s="22"/>
      <c r="BL67" s="22"/>
      <c r="BM67" s="22"/>
      <c r="BN67" s="22"/>
    </row>
    <row r="68" spans="6:66" x14ac:dyDescent="0.25"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H68" s="22"/>
      <c r="BI68" s="22"/>
      <c r="BJ68" s="22"/>
      <c r="BK68" s="22"/>
      <c r="BL68" s="22"/>
      <c r="BM68" s="22"/>
      <c r="BN68" s="22"/>
    </row>
    <row r="69" spans="6:66" x14ac:dyDescent="0.25"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H69" s="22"/>
      <c r="BI69" s="22"/>
      <c r="BJ69" s="22"/>
      <c r="BK69" s="22"/>
      <c r="BL69" s="22"/>
      <c r="BM69" s="22"/>
      <c r="BN69" s="22"/>
    </row>
    <row r="70" spans="6:66" x14ac:dyDescent="0.25"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H70" s="22"/>
      <c r="BI70" s="22"/>
      <c r="BJ70" s="22"/>
      <c r="BK70" s="22"/>
      <c r="BL70" s="22"/>
      <c r="BM70" s="22"/>
      <c r="BN70" s="22"/>
    </row>
    <row r="71" spans="6:66" x14ac:dyDescent="0.25"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H71" s="22"/>
      <c r="BI71" s="22"/>
      <c r="BJ71" s="22"/>
      <c r="BK71" s="22"/>
      <c r="BL71" s="22"/>
      <c r="BM71" s="22"/>
      <c r="BN71" s="22"/>
    </row>
    <row r="72" spans="6:66" x14ac:dyDescent="0.25"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H72" s="22"/>
      <c r="BI72" s="22"/>
      <c r="BJ72" s="22"/>
      <c r="BK72" s="22"/>
      <c r="BL72" s="22"/>
      <c r="BM72" s="22"/>
      <c r="BN72" s="22"/>
    </row>
    <row r="73" spans="6:66" x14ac:dyDescent="0.25"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H73" s="22"/>
      <c r="BI73" s="22"/>
      <c r="BJ73" s="22"/>
      <c r="BK73" s="22"/>
      <c r="BL73" s="22"/>
      <c r="BM73" s="22"/>
      <c r="BN73" s="22"/>
    </row>
    <row r="74" spans="6:66" x14ac:dyDescent="0.25"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H74" s="22"/>
      <c r="BI74" s="22"/>
      <c r="BJ74" s="22"/>
      <c r="BK74" s="22"/>
      <c r="BL74" s="22"/>
      <c r="BM74" s="22"/>
      <c r="BN74" s="22"/>
    </row>
    <row r="75" spans="6:66" x14ac:dyDescent="0.25"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H75" s="22"/>
      <c r="BI75" s="22"/>
      <c r="BJ75" s="22"/>
      <c r="BK75" s="22"/>
      <c r="BL75" s="22"/>
      <c r="BM75" s="22"/>
      <c r="BN75" s="22"/>
    </row>
    <row r="76" spans="6:66" x14ac:dyDescent="0.25"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H76" s="22"/>
      <c r="BI76" s="22"/>
      <c r="BJ76" s="22"/>
      <c r="BK76" s="22"/>
      <c r="BL76" s="22"/>
      <c r="BM76" s="22"/>
      <c r="BN76" s="22"/>
    </row>
    <row r="77" spans="6:66" x14ac:dyDescent="0.25"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H77" s="22"/>
      <c r="BI77" s="22"/>
      <c r="BJ77" s="22"/>
      <c r="BK77" s="22"/>
      <c r="BL77" s="22"/>
      <c r="BM77" s="22"/>
      <c r="BN77" s="22"/>
    </row>
    <row r="78" spans="6:66" x14ac:dyDescent="0.25"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H78" s="22"/>
      <c r="BI78" s="22"/>
      <c r="BJ78" s="22"/>
      <c r="BK78" s="22"/>
      <c r="BL78" s="22"/>
      <c r="BM78" s="22"/>
      <c r="BN78" s="22"/>
    </row>
    <row r="79" spans="6:66" x14ac:dyDescent="0.25"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H79" s="22"/>
      <c r="BI79" s="22"/>
      <c r="BJ79" s="22"/>
      <c r="BK79" s="22"/>
      <c r="BL79" s="22"/>
      <c r="BM79" s="22"/>
      <c r="BN79" s="22"/>
    </row>
    <row r="80" spans="6:66" x14ac:dyDescent="0.25"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H80" s="22"/>
      <c r="BI80" s="22"/>
      <c r="BJ80" s="22"/>
      <c r="BK80" s="22"/>
      <c r="BL80" s="22"/>
      <c r="BM80" s="22"/>
      <c r="BN80" s="22"/>
    </row>
    <row r="81" spans="6:66" x14ac:dyDescent="0.25"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H81" s="22"/>
      <c r="BI81" s="22"/>
      <c r="BJ81" s="22"/>
      <c r="BK81" s="22"/>
      <c r="BL81" s="22"/>
      <c r="BM81" s="22"/>
      <c r="BN81" s="22"/>
    </row>
    <row r="82" spans="6:66" x14ac:dyDescent="0.25"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H82" s="22"/>
      <c r="BI82" s="22"/>
      <c r="BJ82" s="22"/>
      <c r="BK82" s="22"/>
      <c r="BL82" s="22"/>
      <c r="BM82" s="22"/>
      <c r="BN82" s="22"/>
    </row>
    <row r="83" spans="6:66" x14ac:dyDescent="0.25"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H83" s="22"/>
      <c r="BI83" s="22"/>
      <c r="BJ83" s="22"/>
      <c r="BK83" s="22"/>
      <c r="BL83" s="22"/>
      <c r="BM83" s="22"/>
      <c r="BN83" s="22"/>
    </row>
    <row r="84" spans="6:66" x14ac:dyDescent="0.25"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H84" s="22"/>
      <c r="BI84" s="22"/>
      <c r="BJ84" s="22"/>
      <c r="BK84" s="22"/>
      <c r="BL84" s="22"/>
      <c r="BM84" s="22"/>
      <c r="BN84" s="22"/>
    </row>
    <row r="85" spans="6:66" x14ac:dyDescent="0.25"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H85" s="22"/>
      <c r="BI85" s="22"/>
      <c r="BJ85" s="22"/>
      <c r="BK85" s="22"/>
      <c r="BL85" s="22"/>
      <c r="BM85" s="22"/>
      <c r="BN85" s="22"/>
    </row>
    <row r="86" spans="6:66" x14ac:dyDescent="0.25"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H86" s="22"/>
      <c r="BI86" s="22"/>
      <c r="BJ86" s="22"/>
      <c r="BK86" s="22"/>
      <c r="BL86" s="22"/>
      <c r="BM86" s="22"/>
      <c r="BN86" s="22"/>
    </row>
    <row r="87" spans="6:66" x14ac:dyDescent="0.25"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H87" s="22"/>
      <c r="BI87" s="22"/>
      <c r="BJ87" s="22"/>
      <c r="BK87" s="22"/>
      <c r="BL87" s="22"/>
      <c r="BM87" s="22"/>
      <c r="BN87" s="22"/>
    </row>
    <row r="88" spans="6:66" x14ac:dyDescent="0.25"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H88" s="22"/>
      <c r="BI88" s="22"/>
      <c r="BJ88" s="22"/>
      <c r="BK88" s="22"/>
      <c r="BL88" s="22"/>
      <c r="BM88" s="22"/>
      <c r="BN88" s="22"/>
    </row>
    <row r="89" spans="6:66" x14ac:dyDescent="0.25"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H89" s="22"/>
      <c r="BI89" s="22"/>
      <c r="BJ89" s="22"/>
      <c r="BK89" s="22"/>
      <c r="BL89" s="22"/>
      <c r="BM89" s="22"/>
      <c r="BN89" s="22"/>
    </row>
    <row r="90" spans="6:66" x14ac:dyDescent="0.25"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H90" s="22"/>
      <c r="BI90" s="22"/>
      <c r="BJ90" s="22"/>
      <c r="BK90" s="22"/>
      <c r="BL90" s="22"/>
      <c r="BM90" s="22"/>
      <c r="BN90" s="22"/>
    </row>
    <row r="91" spans="6:66" x14ac:dyDescent="0.25"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H91" s="22"/>
      <c r="BI91" s="22"/>
      <c r="BJ91" s="22"/>
      <c r="BK91" s="22"/>
      <c r="BL91" s="22"/>
      <c r="BM91" s="22"/>
      <c r="BN91" s="22"/>
    </row>
    <row r="92" spans="6:66" x14ac:dyDescent="0.25"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H92" s="22"/>
      <c r="BI92" s="22"/>
      <c r="BJ92" s="22"/>
      <c r="BK92" s="22"/>
      <c r="BL92" s="22"/>
      <c r="BM92" s="22"/>
      <c r="BN92" s="22"/>
    </row>
    <row r="93" spans="6:66" x14ac:dyDescent="0.25"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H93" s="22"/>
      <c r="BI93" s="22"/>
      <c r="BJ93" s="22"/>
      <c r="BK93" s="22"/>
      <c r="BL93" s="22"/>
      <c r="BM93" s="22"/>
      <c r="BN93" s="22"/>
    </row>
    <row r="94" spans="6:66" x14ac:dyDescent="0.25"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H94" s="22"/>
      <c r="BI94" s="22"/>
      <c r="BJ94" s="22"/>
      <c r="BK94" s="22"/>
      <c r="BL94" s="22"/>
      <c r="BM94" s="22"/>
      <c r="BN94" s="22"/>
    </row>
    <row r="95" spans="6:66" x14ac:dyDescent="0.25"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H95" s="22"/>
      <c r="BI95" s="22"/>
      <c r="BJ95" s="22"/>
      <c r="BK95" s="22"/>
      <c r="BL95" s="22"/>
      <c r="BM95" s="22"/>
      <c r="BN95" s="22"/>
    </row>
    <row r="96" spans="6:66" x14ac:dyDescent="0.25"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H96" s="22"/>
      <c r="BI96" s="22"/>
      <c r="BJ96" s="22"/>
      <c r="BK96" s="22"/>
      <c r="BL96" s="22"/>
      <c r="BM96" s="22"/>
      <c r="BN96" s="22"/>
    </row>
    <row r="97" spans="6:66" x14ac:dyDescent="0.25"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H97" s="22"/>
      <c r="BI97" s="22"/>
      <c r="BJ97" s="22"/>
      <c r="BK97" s="22"/>
      <c r="BL97" s="22"/>
      <c r="BM97" s="22"/>
      <c r="BN97" s="22"/>
    </row>
    <row r="98" spans="6:66" x14ac:dyDescent="0.25"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H98" s="22"/>
      <c r="BI98" s="22"/>
      <c r="BJ98" s="22"/>
      <c r="BK98" s="22"/>
      <c r="BL98" s="22"/>
      <c r="BM98" s="22"/>
      <c r="BN98" s="22"/>
    </row>
    <row r="99" spans="6:66" x14ac:dyDescent="0.25"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H99" s="22"/>
      <c r="BI99" s="22"/>
      <c r="BJ99" s="22"/>
      <c r="BK99" s="22"/>
      <c r="BL99" s="22"/>
      <c r="BM99" s="22"/>
      <c r="BN99" s="22"/>
    </row>
    <row r="100" spans="6:66" x14ac:dyDescent="0.25"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H100" s="22"/>
      <c r="BI100" s="22"/>
      <c r="BJ100" s="22"/>
      <c r="BK100" s="22"/>
      <c r="BL100" s="22"/>
      <c r="BM100" s="22"/>
      <c r="BN100" s="22"/>
    </row>
    <row r="101" spans="6:66" x14ac:dyDescent="0.25"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H101" s="22"/>
      <c r="BI101" s="22"/>
      <c r="BJ101" s="22"/>
      <c r="BK101" s="22"/>
      <c r="BL101" s="22"/>
      <c r="BM101" s="22"/>
      <c r="BN101" s="22"/>
    </row>
    <row r="102" spans="6:66" x14ac:dyDescent="0.25"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H102" s="22"/>
      <c r="BI102" s="22"/>
      <c r="BJ102" s="22"/>
      <c r="BK102" s="22"/>
      <c r="BL102" s="22"/>
      <c r="BM102" s="22"/>
      <c r="BN102" s="22"/>
    </row>
    <row r="103" spans="6:66" x14ac:dyDescent="0.25"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H103" s="22"/>
      <c r="BI103" s="22"/>
      <c r="BJ103" s="22"/>
      <c r="BK103" s="22"/>
      <c r="BL103" s="22"/>
      <c r="BM103" s="22"/>
      <c r="BN103" s="22"/>
    </row>
    <row r="104" spans="6:66" x14ac:dyDescent="0.25"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H104" s="22"/>
      <c r="BI104" s="22"/>
      <c r="BJ104" s="22"/>
      <c r="BK104" s="22"/>
      <c r="BL104" s="22"/>
      <c r="BM104" s="22"/>
      <c r="BN104" s="22"/>
    </row>
    <row r="105" spans="6:66" x14ac:dyDescent="0.25"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H105" s="22"/>
      <c r="BI105" s="22"/>
      <c r="BJ105" s="22"/>
      <c r="BK105" s="22"/>
      <c r="BL105" s="22"/>
      <c r="BM105" s="22"/>
      <c r="BN105" s="22"/>
    </row>
    <row r="106" spans="6:66" x14ac:dyDescent="0.25"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H106" s="22"/>
      <c r="BI106" s="22"/>
      <c r="BJ106" s="22"/>
      <c r="BK106" s="22"/>
      <c r="BL106" s="22"/>
      <c r="BM106" s="22"/>
      <c r="BN106" s="22"/>
    </row>
    <row r="107" spans="6:66" x14ac:dyDescent="0.25"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H107" s="22"/>
      <c r="BI107" s="22"/>
      <c r="BJ107" s="22"/>
      <c r="BK107" s="22"/>
      <c r="BL107" s="22"/>
      <c r="BM107" s="22"/>
      <c r="BN107" s="22"/>
    </row>
    <row r="108" spans="6:66" x14ac:dyDescent="0.25"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H108" s="22"/>
      <c r="BI108" s="22"/>
      <c r="BJ108" s="22"/>
      <c r="BK108" s="22"/>
      <c r="BL108" s="22"/>
      <c r="BM108" s="22"/>
      <c r="BN108" s="22"/>
    </row>
    <row r="109" spans="6:66" x14ac:dyDescent="0.25"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H109" s="22"/>
      <c r="BI109" s="22"/>
      <c r="BJ109" s="22"/>
      <c r="BK109" s="22"/>
      <c r="BL109" s="22"/>
      <c r="BM109" s="22"/>
      <c r="BN109" s="22"/>
    </row>
    <row r="110" spans="6:66" x14ac:dyDescent="0.25"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H110" s="22"/>
      <c r="BI110" s="22"/>
      <c r="BJ110" s="22"/>
      <c r="BK110" s="22"/>
      <c r="BL110" s="22"/>
      <c r="BM110" s="22"/>
      <c r="BN110" s="22"/>
    </row>
    <row r="111" spans="6:66" x14ac:dyDescent="0.25"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H111" s="22"/>
      <c r="BI111" s="22"/>
      <c r="BJ111" s="22"/>
      <c r="BK111" s="22"/>
      <c r="BL111" s="22"/>
      <c r="BM111" s="22"/>
      <c r="BN111" s="22"/>
    </row>
    <row r="112" spans="6:66" x14ac:dyDescent="0.25"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H112" s="22"/>
      <c r="BI112" s="22"/>
      <c r="BJ112" s="22"/>
      <c r="BK112" s="22"/>
      <c r="BL112" s="22"/>
      <c r="BM112" s="22"/>
      <c r="BN112" s="22"/>
    </row>
    <row r="113" spans="6:66" x14ac:dyDescent="0.25"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H113" s="22"/>
      <c r="BI113" s="22"/>
      <c r="BJ113" s="22"/>
      <c r="BK113" s="22"/>
      <c r="BL113" s="22"/>
      <c r="BM113" s="22"/>
      <c r="BN113" s="22"/>
    </row>
    <row r="114" spans="6:66" x14ac:dyDescent="0.25"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H114" s="22"/>
      <c r="BI114" s="22"/>
      <c r="BJ114" s="22"/>
      <c r="BK114" s="22"/>
      <c r="BL114" s="22"/>
      <c r="BM114" s="22"/>
      <c r="BN114" s="22"/>
    </row>
    <row r="115" spans="6:66" x14ac:dyDescent="0.25"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H115" s="22"/>
      <c r="BI115" s="22"/>
      <c r="BJ115" s="22"/>
      <c r="BK115" s="22"/>
      <c r="BL115" s="22"/>
      <c r="BM115" s="22"/>
      <c r="BN115" s="22"/>
    </row>
    <row r="116" spans="6:66" x14ac:dyDescent="0.25"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H116" s="22"/>
      <c r="BI116" s="22"/>
      <c r="BJ116" s="22"/>
      <c r="BK116" s="22"/>
      <c r="BL116" s="22"/>
      <c r="BM116" s="22"/>
      <c r="BN116" s="22"/>
    </row>
    <row r="117" spans="6:66" x14ac:dyDescent="0.25"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H117" s="22"/>
      <c r="BI117" s="22"/>
      <c r="BJ117" s="22"/>
      <c r="BK117" s="22"/>
      <c r="BL117" s="22"/>
      <c r="BM117" s="22"/>
      <c r="BN117" s="22"/>
    </row>
    <row r="118" spans="6:66" x14ac:dyDescent="0.25"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H118" s="22"/>
      <c r="BI118" s="22"/>
      <c r="BJ118" s="22"/>
      <c r="BK118" s="22"/>
      <c r="BL118" s="22"/>
      <c r="BM118" s="22"/>
      <c r="BN118" s="22"/>
    </row>
    <row r="119" spans="6:66" x14ac:dyDescent="0.25"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H119" s="22"/>
      <c r="BI119" s="22"/>
      <c r="BJ119" s="22"/>
      <c r="BK119" s="22"/>
      <c r="BL119" s="22"/>
      <c r="BM119" s="22"/>
      <c r="BN119" s="22"/>
    </row>
    <row r="120" spans="6:66" x14ac:dyDescent="0.25"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H120" s="22"/>
      <c r="BI120" s="22"/>
      <c r="BJ120" s="22"/>
      <c r="BK120" s="22"/>
      <c r="BL120" s="22"/>
      <c r="BM120" s="22"/>
      <c r="BN120" s="22"/>
    </row>
    <row r="121" spans="6:66" x14ac:dyDescent="0.25"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H121" s="22"/>
      <c r="BI121" s="22"/>
      <c r="BJ121" s="22"/>
      <c r="BK121" s="22"/>
      <c r="BL121" s="22"/>
      <c r="BM121" s="22"/>
      <c r="BN121" s="22"/>
    </row>
    <row r="122" spans="6:66" x14ac:dyDescent="0.25"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H122" s="22"/>
      <c r="BI122" s="22"/>
      <c r="BJ122" s="22"/>
      <c r="BK122" s="22"/>
      <c r="BL122" s="22"/>
      <c r="BM122" s="22"/>
      <c r="BN122" s="22"/>
    </row>
    <row r="123" spans="6:66" x14ac:dyDescent="0.25"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H123" s="22"/>
      <c r="BI123" s="22"/>
      <c r="BJ123" s="22"/>
      <c r="BK123" s="22"/>
      <c r="BL123" s="22"/>
      <c r="BM123" s="22"/>
      <c r="BN123" s="22"/>
    </row>
    <row r="124" spans="6:66" x14ac:dyDescent="0.25"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H124" s="22"/>
      <c r="BI124" s="22"/>
      <c r="BJ124" s="22"/>
      <c r="BK124" s="22"/>
      <c r="BL124" s="22"/>
      <c r="BM124" s="22"/>
      <c r="BN124" s="22"/>
    </row>
    <row r="125" spans="6:66" x14ac:dyDescent="0.25"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H125" s="22"/>
      <c r="BI125" s="22"/>
      <c r="BJ125" s="22"/>
      <c r="BK125" s="22"/>
      <c r="BL125" s="22"/>
      <c r="BM125" s="22"/>
      <c r="BN125" s="22"/>
    </row>
    <row r="126" spans="6:66" x14ac:dyDescent="0.25"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H126" s="22"/>
      <c r="BI126" s="22"/>
      <c r="BJ126" s="22"/>
      <c r="BK126" s="22"/>
      <c r="BL126" s="22"/>
      <c r="BM126" s="22"/>
      <c r="BN126" s="22"/>
    </row>
    <row r="127" spans="6:66" x14ac:dyDescent="0.25"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H127" s="22"/>
      <c r="BI127" s="22"/>
      <c r="BJ127" s="22"/>
      <c r="BK127" s="22"/>
      <c r="BL127" s="22"/>
      <c r="BM127" s="22"/>
      <c r="BN127" s="22"/>
    </row>
    <row r="128" spans="6:66" x14ac:dyDescent="0.25"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H128" s="22"/>
      <c r="BI128" s="22"/>
      <c r="BJ128" s="22"/>
      <c r="BK128" s="22"/>
      <c r="BL128" s="22"/>
      <c r="BM128" s="22"/>
      <c r="BN128" s="22"/>
    </row>
    <row r="129" spans="6:66" x14ac:dyDescent="0.25"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H129" s="22"/>
      <c r="BI129" s="22"/>
      <c r="BJ129" s="22"/>
      <c r="BK129" s="22"/>
      <c r="BL129" s="22"/>
      <c r="BM129" s="22"/>
      <c r="BN129" s="22"/>
    </row>
    <row r="130" spans="6:66" x14ac:dyDescent="0.25"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H130" s="22"/>
      <c r="BI130" s="22"/>
      <c r="BJ130" s="22"/>
      <c r="BK130" s="22"/>
      <c r="BL130" s="22"/>
      <c r="BM130" s="22"/>
      <c r="BN130" s="22"/>
    </row>
    <row r="131" spans="6:66" x14ac:dyDescent="0.25"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H131" s="22"/>
      <c r="BI131" s="22"/>
      <c r="BJ131" s="22"/>
      <c r="BK131" s="22"/>
      <c r="BL131" s="22"/>
      <c r="BM131" s="22"/>
      <c r="BN131" s="22"/>
    </row>
    <row r="132" spans="6:66" x14ac:dyDescent="0.25"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H132" s="22"/>
      <c r="BI132" s="22"/>
      <c r="BJ132" s="22"/>
      <c r="BK132" s="22"/>
      <c r="BL132" s="22"/>
      <c r="BM132" s="22"/>
      <c r="BN132" s="22"/>
    </row>
    <row r="133" spans="6:66" x14ac:dyDescent="0.25"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H133" s="22"/>
      <c r="BI133" s="22"/>
      <c r="BJ133" s="22"/>
      <c r="BK133" s="22"/>
      <c r="BL133" s="22"/>
      <c r="BM133" s="22"/>
      <c r="BN133" s="22"/>
    </row>
    <row r="134" spans="6:66" x14ac:dyDescent="0.25"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H134" s="22"/>
      <c r="BI134" s="22"/>
      <c r="BJ134" s="22"/>
      <c r="BK134" s="22"/>
      <c r="BL134" s="22"/>
      <c r="BM134" s="22"/>
      <c r="BN134" s="22"/>
    </row>
    <row r="135" spans="6:66" x14ac:dyDescent="0.25"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H135" s="22"/>
      <c r="BI135" s="22"/>
      <c r="BJ135" s="22"/>
      <c r="BK135" s="22"/>
      <c r="BL135" s="22"/>
      <c r="BM135" s="22"/>
      <c r="BN135" s="22"/>
    </row>
    <row r="136" spans="6:66" x14ac:dyDescent="0.25"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H136" s="22"/>
      <c r="BI136" s="22"/>
      <c r="BJ136" s="22"/>
      <c r="BK136" s="22"/>
      <c r="BL136" s="22"/>
      <c r="BM136" s="22"/>
      <c r="BN136" s="22"/>
    </row>
    <row r="137" spans="6:66" x14ac:dyDescent="0.25"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H137" s="22"/>
      <c r="BI137" s="22"/>
      <c r="BJ137" s="22"/>
      <c r="BK137" s="22"/>
      <c r="BL137" s="22"/>
      <c r="BM137" s="22"/>
      <c r="BN137" s="22"/>
    </row>
    <row r="138" spans="6:66" x14ac:dyDescent="0.25"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H138" s="22"/>
      <c r="BI138" s="22"/>
      <c r="BJ138" s="22"/>
      <c r="BK138" s="22"/>
      <c r="BL138" s="22"/>
      <c r="BM138" s="22"/>
      <c r="BN138" s="22"/>
    </row>
    <row r="139" spans="6:66" x14ac:dyDescent="0.25"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H139" s="22"/>
      <c r="BI139" s="22"/>
      <c r="BJ139" s="22"/>
      <c r="BK139" s="22"/>
      <c r="BL139" s="22"/>
      <c r="BM139" s="22"/>
      <c r="BN139" s="22"/>
    </row>
    <row r="140" spans="6:66" x14ac:dyDescent="0.25"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H140" s="22"/>
      <c r="BI140" s="22"/>
      <c r="BJ140" s="22"/>
      <c r="BK140" s="22"/>
      <c r="BL140" s="22"/>
      <c r="BM140" s="22"/>
      <c r="BN140" s="22"/>
    </row>
    <row r="141" spans="6:66" x14ac:dyDescent="0.25"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H141" s="22"/>
      <c r="BI141" s="22"/>
      <c r="BJ141" s="22"/>
      <c r="BK141" s="22"/>
      <c r="BL141" s="22"/>
      <c r="BM141" s="22"/>
      <c r="BN141" s="22"/>
    </row>
    <row r="142" spans="6:66" x14ac:dyDescent="0.25"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H142" s="22"/>
      <c r="BI142" s="22"/>
      <c r="BJ142" s="22"/>
      <c r="BK142" s="22"/>
      <c r="BL142" s="22"/>
      <c r="BM142" s="22"/>
      <c r="BN142" s="22"/>
    </row>
    <row r="143" spans="6:66" x14ac:dyDescent="0.25"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H143" s="22"/>
      <c r="BI143" s="22"/>
      <c r="BJ143" s="22"/>
      <c r="BK143" s="22"/>
      <c r="BL143" s="22"/>
      <c r="BM143" s="22"/>
      <c r="BN143" s="22"/>
    </row>
    <row r="144" spans="6:66" x14ac:dyDescent="0.25"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H144" s="22"/>
      <c r="BI144" s="22"/>
      <c r="BJ144" s="22"/>
      <c r="BK144" s="22"/>
      <c r="BL144" s="22"/>
      <c r="BM144" s="22"/>
      <c r="BN144" s="22"/>
    </row>
    <row r="145" spans="6:66" x14ac:dyDescent="0.25"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H145" s="22"/>
      <c r="BI145" s="22"/>
      <c r="BJ145" s="22"/>
      <c r="BK145" s="22"/>
      <c r="BL145" s="22"/>
      <c r="BM145" s="22"/>
      <c r="BN145" s="22"/>
    </row>
    <row r="146" spans="6:66" x14ac:dyDescent="0.25"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H146" s="22"/>
      <c r="BI146" s="22"/>
      <c r="BJ146" s="22"/>
      <c r="BK146" s="22"/>
      <c r="BL146" s="22"/>
      <c r="BM146" s="22"/>
      <c r="BN146" s="22"/>
    </row>
    <row r="147" spans="6:66" x14ac:dyDescent="0.25"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H147" s="22"/>
      <c r="BI147" s="22"/>
      <c r="BJ147" s="22"/>
      <c r="BK147" s="22"/>
      <c r="BL147" s="22"/>
      <c r="BM147" s="22"/>
      <c r="BN147" s="22"/>
    </row>
    <row r="148" spans="6:66" x14ac:dyDescent="0.25"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H148" s="22"/>
      <c r="BI148" s="22"/>
      <c r="BJ148" s="22"/>
      <c r="BK148" s="22"/>
      <c r="BL148" s="22"/>
      <c r="BM148" s="22"/>
      <c r="BN148" s="22"/>
    </row>
    <row r="149" spans="6:66" x14ac:dyDescent="0.25"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H149" s="22"/>
      <c r="BI149" s="22"/>
      <c r="BJ149" s="22"/>
      <c r="BK149" s="22"/>
      <c r="BL149" s="22"/>
      <c r="BM149" s="22"/>
      <c r="BN149" s="22"/>
    </row>
    <row r="150" spans="6:66" x14ac:dyDescent="0.25"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H150" s="22"/>
      <c r="BI150" s="22"/>
      <c r="BJ150" s="22"/>
      <c r="BK150" s="22"/>
      <c r="BL150" s="22"/>
      <c r="BM150" s="22"/>
      <c r="BN150" s="22"/>
    </row>
    <row r="151" spans="6:66" x14ac:dyDescent="0.25"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H151" s="22"/>
      <c r="BI151" s="22"/>
      <c r="BJ151" s="22"/>
      <c r="BK151" s="22"/>
      <c r="BL151" s="22"/>
      <c r="BM151" s="22"/>
      <c r="BN151" s="22"/>
    </row>
    <row r="152" spans="6:66" x14ac:dyDescent="0.25"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H152" s="22"/>
      <c r="BI152" s="22"/>
      <c r="BJ152" s="22"/>
      <c r="BK152" s="22"/>
      <c r="BL152" s="22"/>
      <c r="BM152" s="22"/>
      <c r="BN152" s="22"/>
    </row>
    <row r="153" spans="6:66" x14ac:dyDescent="0.25"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H153" s="22"/>
      <c r="BI153" s="22"/>
      <c r="BJ153" s="22"/>
      <c r="BK153" s="22"/>
      <c r="BL153" s="22"/>
      <c r="BM153" s="22"/>
      <c r="BN153" s="22"/>
    </row>
    <row r="154" spans="6:66" x14ac:dyDescent="0.25"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H154" s="22"/>
      <c r="BI154" s="22"/>
      <c r="BJ154" s="22"/>
      <c r="BK154" s="22"/>
      <c r="BL154" s="22"/>
      <c r="BM154" s="22"/>
      <c r="BN154" s="22"/>
    </row>
    <row r="155" spans="6:66" x14ac:dyDescent="0.25"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H155" s="22"/>
      <c r="BI155" s="22"/>
      <c r="BJ155" s="22"/>
      <c r="BK155" s="22"/>
      <c r="BL155" s="22"/>
      <c r="BM155" s="22"/>
      <c r="BN155" s="22"/>
    </row>
    <row r="156" spans="6:66" x14ac:dyDescent="0.25"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H156" s="22"/>
      <c r="BI156" s="22"/>
      <c r="BJ156" s="22"/>
      <c r="BK156" s="22"/>
      <c r="BL156" s="22"/>
      <c r="BM156" s="22"/>
      <c r="BN156" s="22"/>
    </row>
    <row r="157" spans="6:66" x14ac:dyDescent="0.25"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H157" s="22"/>
      <c r="BI157" s="22"/>
      <c r="BJ157" s="22"/>
      <c r="BK157" s="22"/>
      <c r="BL157" s="22"/>
      <c r="BM157" s="22"/>
      <c r="BN157" s="22"/>
    </row>
    <row r="158" spans="6:66" x14ac:dyDescent="0.25"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H158" s="22"/>
      <c r="BI158" s="22"/>
      <c r="BJ158" s="22"/>
      <c r="BK158" s="22"/>
      <c r="BL158" s="22"/>
      <c r="BM158" s="22"/>
      <c r="BN158" s="22"/>
    </row>
    <row r="159" spans="6:66" x14ac:dyDescent="0.25"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H159" s="22"/>
      <c r="BI159" s="22"/>
      <c r="BJ159" s="22"/>
      <c r="BK159" s="22"/>
      <c r="BL159" s="22"/>
      <c r="BM159" s="22"/>
      <c r="BN159" s="22"/>
    </row>
    <row r="160" spans="6:66" x14ac:dyDescent="0.25"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H160" s="22"/>
      <c r="BI160" s="22"/>
      <c r="BJ160" s="22"/>
      <c r="BK160" s="22"/>
      <c r="BL160" s="22"/>
      <c r="BM160" s="22"/>
      <c r="BN160" s="22"/>
    </row>
    <row r="161" spans="6:66" x14ac:dyDescent="0.25"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H161" s="22"/>
      <c r="BI161" s="22"/>
      <c r="BJ161" s="22"/>
      <c r="BK161" s="22"/>
      <c r="BL161" s="22"/>
      <c r="BM161" s="22"/>
      <c r="BN161" s="22"/>
    </row>
    <row r="162" spans="6:66" x14ac:dyDescent="0.25"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H162" s="22"/>
      <c r="BI162" s="22"/>
      <c r="BJ162" s="22"/>
      <c r="BK162" s="22"/>
      <c r="BL162" s="22"/>
      <c r="BM162" s="22"/>
      <c r="BN162" s="22"/>
    </row>
    <row r="163" spans="6:66" x14ac:dyDescent="0.25"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H163" s="22"/>
      <c r="BI163" s="22"/>
      <c r="BJ163" s="22"/>
      <c r="BK163" s="22"/>
      <c r="BL163" s="22"/>
      <c r="BM163" s="22"/>
      <c r="BN163" s="22"/>
    </row>
    <row r="164" spans="6:66" x14ac:dyDescent="0.25"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H164" s="22"/>
      <c r="BI164" s="22"/>
      <c r="BJ164" s="22"/>
      <c r="BK164" s="22"/>
      <c r="BL164" s="22"/>
      <c r="BM164" s="22"/>
      <c r="BN164" s="22"/>
    </row>
    <row r="165" spans="6:66" x14ac:dyDescent="0.25"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H165" s="22"/>
      <c r="BI165" s="22"/>
      <c r="BJ165" s="22"/>
      <c r="BK165" s="22"/>
      <c r="BL165" s="22"/>
      <c r="BM165" s="22"/>
      <c r="BN165" s="22"/>
    </row>
    <row r="166" spans="6:66" x14ac:dyDescent="0.25"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H166" s="22"/>
      <c r="BI166" s="22"/>
      <c r="BJ166" s="22"/>
      <c r="BK166" s="22"/>
      <c r="BL166" s="22"/>
      <c r="BM166" s="22"/>
      <c r="BN166" s="22"/>
    </row>
    <row r="167" spans="6:66" x14ac:dyDescent="0.25"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H167" s="22"/>
      <c r="BI167" s="22"/>
      <c r="BJ167" s="22"/>
      <c r="BK167" s="22"/>
      <c r="BL167" s="22"/>
      <c r="BM167" s="22"/>
      <c r="BN167" s="22"/>
    </row>
    <row r="168" spans="6:66" x14ac:dyDescent="0.25"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H168" s="22"/>
      <c r="BI168" s="22"/>
      <c r="BJ168" s="22"/>
      <c r="BK168" s="22"/>
      <c r="BL168" s="22"/>
      <c r="BM168" s="22"/>
      <c r="BN168" s="22"/>
    </row>
    <row r="169" spans="6:66" x14ac:dyDescent="0.25"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H169" s="22"/>
      <c r="BI169" s="22"/>
      <c r="BJ169" s="22"/>
      <c r="BK169" s="22"/>
      <c r="BL169" s="22"/>
      <c r="BM169" s="22"/>
      <c r="BN169" s="22"/>
    </row>
    <row r="170" spans="6:66" x14ac:dyDescent="0.25"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H170" s="22"/>
      <c r="BI170" s="22"/>
      <c r="BJ170" s="22"/>
      <c r="BK170" s="22"/>
      <c r="BL170" s="22"/>
      <c r="BM170" s="22"/>
      <c r="BN170" s="22"/>
    </row>
    <row r="171" spans="6:66" x14ac:dyDescent="0.25"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H171" s="22"/>
      <c r="BI171" s="22"/>
      <c r="BJ171" s="22"/>
      <c r="BK171" s="22"/>
      <c r="BL171" s="22"/>
      <c r="BM171" s="22"/>
      <c r="BN171" s="22"/>
    </row>
    <row r="172" spans="6:66" x14ac:dyDescent="0.25"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H172" s="22"/>
      <c r="BI172" s="22"/>
      <c r="BJ172" s="22"/>
      <c r="BK172" s="22"/>
      <c r="BL172" s="22"/>
      <c r="BM172" s="22"/>
      <c r="BN172" s="22"/>
    </row>
    <row r="173" spans="6:66" x14ac:dyDescent="0.25"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H173" s="22"/>
      <c r="BI173" s="22"/>
      <c r="BJ173" s="22"/>
      <c r="BK173" s="22"/>
      <c r="BL173" s="22"/>
      <c r="BM173" s="22"/>
      <c r="BN173" s="22"/>
    </row>
    <row r="174" spans="6:66" x14ac:dyDescent="0.25"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H174" s="22"/>
      <c r="BI174" s="22"/>
      <c r="BJ174" s="22"/>
      <c r="BK174" s="22"/>
      <c r="BL174" s="22"/>
      <c r="BM174" s="22"/>
      <c r="BN174" s="22"/>
    </row>
    <row r="175" spans="6:66" x14ac:dyDescent="0.25"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H175" s="22"/>
      <c r="BI175" s="22"/>
      <c r="BJ175" s="22"/>
      <c r="BK175" s="22"/>
      <c r="BL175" s="22"/>
      <c r="BM175" s="22"/>
      <c r="BN175" s="22"/>
    </row>
    <row r="176" spans="6:66" x14ac:dyDescent="0.25"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H176" s="22"/>
      <c r="BI176" s="22"/>
      <c r="BJ176" s="22"/>
      <c r="BK176" s="22"/>
      <c r="BL176" s="22"/>
      <c r="BM176" s="22"/>
      <c r="BN176" s="22"/>
    </row>
    <row r="177" spans="6:66" x14ac:dyDescent="0.25"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H177" s="22"/>
      <c r="BI177" s="22"/>
      <c r="BJ177" s="22"/>
      <c r="BK177" s="22"/>
      <c r="BL177" s="22"/>
      <c r="BM177" s="22"/>
      <c r="BN177" s="22"/>
    </row>
    <row r="178" spans="6:66" x14ac:dyDescent="0.25"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H178" s="22"/>
      <c r="BI178" s="22"/>
      <c r="BJ178" s="22"/>
      <c r="BK178" s="22"/>
      <c r="BL178" s="22"/>
      <c r="BM178" s="22"/>
      <c r="BN178" s="22"/>
    </row>
    <row r="179" spans="6:66" x14ac:dyDescent="0.25"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H179" s="22"/>
      <c r="BI179" s="22"/>
      <c r="BJ179" s="22"/>
      <c r="BK179" s="22"/>
      <c r="BL179" s="22"/>
      <c r="BM179" s="22"/>
      <c r="BN179" s="22"/>
    </row>
    <row r="180" spans="6:66" x14ac:dyDescent="0.25"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H180" s="22"/>
      <c r="BI180" s="22"/>
      <c r="BJ180" s="22"/>
      <c r="BK180" s="22"/>
      <c r="BL180" s="22"/>
      <c r="BM180" s="22"/>
      <c r="BN180" s="22"/>
    </row>
    <row r="181" spans="6:66" x14ac:dyDescent="0.25"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H181" s="22"/>
      <c r="BI181" s="22"/>
      <c r="BJ181" s="22"/>
      <c r="BK181" s="22"/>
      <c r="BL181" s="22"/>
      <c r="BM181" s="22"/>
      <c r="BN181" s="22"/>
    </row>
    <row r="182" spans="6:66" x14ac:dyDescent="0.25"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H182" s="22"/>
      <c r="BI182" s="22"/>
      <c r="BJ182" s="22"/>
      <c r="BK182" s="22"/>
      <c r="BL182" s="22"/>
      <c r="BM182" s="22"/>
      <c r="BN182" s="22"/>
    </row>
    <row r="183" spans="6:66" x14ac:dyDescent="0.25"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H183" s="22"/>
      <c r="BI183" s="22"/>
      <c r="BJ183" s="22"/>
      <c r="BK183" s="22"/>
      <c r="BL183" s="22"/>
      <c r="BM183" s="22"/>
      <c r="BN183" s="22"/>
    </row>
    <row r="184" spans="6:66" x14ac:dyDescent="0.25"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H184" s="22"/>
      <c r="BI184" s="22"/>
      <c r="BJ184" s="22"/>
      <c r="BK184" s="22"/>
      <c r="BL184" s="22"/>
      <c r="BM184" s="22"/>
      <c r="BN184" s="22"/>
    </row>
    <row r="185" spans="6:66" x14ac:dyDescent="0.25"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H185" s="22"/>
      <c r="BI185" s="22"/>
      <c r="BJ185" s="22"/>
      <c r="BK185" s="22"/>
      <c r="BL185" s="22"/>
      <c r="BM185" s="22"/>
      <c r="BN185" s="22"/>
    </row>
    <row r="186" spans="6:66" x14ac:dyDescent="0.25"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H186" s="22"/>
      <c r="BI186" s="22"/>
      <c r="BJ186" s="22"/>
      <c r="BK186" s="22"/>
      <c r="BL186" s="22"/>
      <c r="BM186" s="22"/>
      <c r="BN186" s="22"/>
    </row>
    <row r="187" spans="6:66" x14ac:dyDescent="0.25"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H187" s="22"/>
      <c r="BI187" s="22"/>
      <c r="BJ187" s="22"/>
      <c r="BK187" s="22"/>
      <c r="BL187" s="22"/>
      <c r="BM187" s="22"/>
      <c r="BN187" s="22"/>
    </row>
    <row r="188" spans="6:66" x14ac:dyDescent="0.25"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H188" s="22"/>
      <c r="BI188" s="22"/>
      <c r="BJ188" s="22"/>
      <c r="BK188" s="22"/>
      <c r="BL188" s="22"/>
      <c r="BM188" s="22"/>
      <c r="BN188" s="22"/>
    </row>
    <row r="189" spans="6:66" x14ac:dyDescent="0.25"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H189" s="22"/>
      <c r="BI189" s="22"/>
      <c r="BJ189" s="22"/>
      <c r="BK189" s="22"/>
      <c r="BL189" s="22"/>
      <c r="BM189" s="22"/>
      <c r="BN189" s="22"/>
    </row>
    <row r="190" spans="6:66" x14ac:dyDescent="0.25"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H190" s="22"/>
      <c r="BI190" s="22"/>
      <c r="BJ190" s="22"/>
      <c r="BK190" s="22"/>
      <c r="BL190" s="22"/>
      <c r="BM190" s="22"/>
      <c r="BN190" s="22"/>
    </row>
    <row r="191" spans="6:66" x14ac:dyDescent="0.25"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H191" s="22"/>
      <c r="BI191" s="22"/>
      <c r="BJ191" s="22"/>
      <c r="BK191" s="22"/>
      <c r="BL191" s="22"/>
      <c r="BM191" s="22"/>
      <c r="BN191" s="22"/>
    </row>
    <row r="192" spans="6:66" x14ac:dyDescent="0.25"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H192" s="22"/>
      <c r="BI192" s="22"/>
      <c r="BJ192" s="22"/>
      <c r="BK192" s="22"/>
      <c r="BL192" s="22"/>
      <c r="BM192" s="22"/>
      <c r="BN192" s="22"/>
    </row>
    <row r="193" spans="6:66" x14ac:dyDescent="0.25"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H193" s="22"/>
      <c r="BI193" s="22"/>
      <c r="BJ193" s="22"/>
      <c r="BK193" s="22"/>
      <c r="BL193" s="22"/>
      <c r="BM193" s="22"/>
      <c r="BN193" s="22"/>
    </row>
    <row r="194" spans="6:66" x14ac:dyDescent="0.25"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H194" s="22"/>
      <c r="BI194" s="22"/>
      <c r="BJ194" s="22"/>
      <c r="BK194" s="22"/>
      <c r="BL194" s="22"/>
      <c r="BM194" s="22"/>
      <c r="BN194" s="22"/>
    </row>
    <row r="195" spans="6:66" x14ac:dyDescent="0.25">
      <c r="BH195" s="22"/>
      <c r="BI195" s="22"/>
      <c r="BJ195" s="22"/>
      <c r="BK195" s="22"/>
      <c r="BL195" s="22"/>
      <c r="BM195" s="22"/>
      <c r="BN195" s="22"/>
    </row>
    <row r="196" spans="6:66" x14ac:dyDescent="0.25">
      <c r="BH196" s="22"/>
      <c r="BI196" s="22"/>
      <c r="BJ196" s="22"/>
      <c r="BK196" s="22"/>
      <c r="BL196" s="22"/>
      <c r="BM196" s="22"/>
      <c r="BN196" s="22"/>
    </row>
    <row r="197" spans="6:66" x14ac:dyDescent="0.25">
      <c r="BH197" s="22"/>
      <c r="BI197" s="22"/>
      <c r="BJ197" s="22"/>
      <c r="BK197" s="22"/>
      <c r="BL197" s="22"/>
      <c r="BM197" s="22"/>
      <c r="BN197" s="22"/>
    </row>
    <row r="198" spans="6:66" x14ac:dyDescent="0.25">
      <c r="BH198" s="22"/>
      <c r="BI198" s="22"/>
      <c r="BJ198" s="22"/>
      <c r="BK198" s="22"/>
      <c r="BL198" s="22"/>
      <c r="BM198" s="22"/>
      <c r="BN198" s="22"/>
    </row>
    <row r="199" spans="6:66" x14ac:dyDescent="0.25">
      <c r="BH199" s="22"/>
      <c r="BI199" s="22"/>
      <c r="BJ199" s="22"/>
      <c r="BK199" s="22"/>
      <c r="BL199" s="22"/>
      <c r="BM199" s="22"/>
      <c r="BN199" s="22"/>
    </row>
    <row r="200" spans="6:66" x14ac:dyDescent="0.25">
      <c r="BH200" s="22"/>
      <c r="BI200" s="22"/>
      <c r="BJ200" s="22"/>
      <c r="BK200" s="22"/>
      <c r="BL200" s="22"/>
      <c r="BM200" s="22"/>
      <c r="BN200" s="22"/>
    </row>
    <row r="201" spans="6:66" x14ac:dyDescent="0.25">
      <c r="BH201" s="22"/>
      <c r="BI201" s="22"/>
      <c r="BJ201" s="22"/>
      <c r="BK201" s="22"/>
      <c r="BL201" s="22"/>
      <c r="BM201" s="22"/>
      <c r="BN201" s="22"/>
    </row>
    <row r="202" spans="6:66" x14ac:dyDescent="0.25">
      <c r="BH202" s="22"/>
      <c r="BI202" s="22"/>
      <c r="BJ202" s="22"/>
      <c r="BK202" s="22"/>
      <c r="BL202" s="22"/>
      <c r="BM202" s="22"/>
      <c r="BN202" s="22"/>
    </row>
    <row r="203" spans="6:66" x14ac:dyDescent="0.25">
      <c r="BH203" s="22"/>
      <c r="BI203" s="22"/>
      <c r="BJ203" s="22"/>
      <c r="BK203" s="22"/>
      <c r="BL203" s="22"/>
      <c r="BM203" s="22"/>
      <c r="BN203" s="22"/>
    </row>
    <row r="204" spans="6:66" x14ac:dyDescent="0.25">
      <c r="BH204" s="22"/>
      <c r="BI204" s="22"/>
      <c r="BJ204" s="22"/>
      <c r="BK204" s="22"/>
      <c r="BL204" s="22"/>
      <c r="BM204" s="22"/>
      <c r="BN204" s="22"/>
    </row>
    <row r="205" spans="6:66" x14ac:dyDescent="0.25">
      <c r="BH205" s="22"/>
      <c r="BI205" s="22"/>
      <c r="BJ205" s="22"/>
      <c r="BK205" s="22"/>
      <c r="BL205" s="22"/>
      <c r="BM205" s="22"/>
      <c r="BN205" s="22"/>
    </row>
    <row r="206" spans="6:66" x14ac:dyDescent="0.25">
      <c r="BH206" s="22"/>
      <c r="BI206" s="22"/>
      <c r="BJ206" s="22"/>
      <c r="BK206" s="22"/>
      <c r="BL206" s="22"/>
      <c r="BM206" s="22"/>
      <c r="BN206" s="22"/>
    </row>
    <row r="207" spans="6:66" x14ac:dyDescent="0.25">
      <c r="BH207" s="22"/>
      <c r="BI207" s="22"/>
      <c r="BJ207" s="22"/>
      <c r="BK207" s="22"/>
      <c r="BL207" s="22"/>
      <c r="BM207" s="22"/>
      <c r="BN207" s="22"/>
    </row>
    <row r="208" spans="6:66" x14ac:dyDescent="0.25">
      <c r="BH208" s="22"/>
      <c r="BI208" s="22"/>
      <c r="BJ208" s="22"/>
      <c r="BK208" s="22"/>
      <c r="BL208" s="22"/>
      <c r="BM208" s="22"/>
      <c r="BN208" s="22"/>
    </row>
    <row r="209" spans="60:66" x14ac:dyDescent="0.25">
      <c r="BH209" s="22"/>
      <c r="BI209" s="22"/>
      <c r="BJ209" s="22"/>
      <c r="BK209" s="22"/>
      <c r="BL209" s="22"/>
      <c r="BM209" s="22"/>
      <c r="BN209" s="22"/>
    </row>
    <row r="210" spans="60:66" x14ac:dyDescent="0.25">
      <c r="BH210" s="22"/>
      <c r="BI210" s="22"/>
      <c r="BJ210" s="22"/>
      <c r="BK210" s="22"/>
      <c r="BL210" s="22"/>
      <c r="BM210" s="22"/>
      <c r="BN210" s="22"/>
    </row>
    <row r="211" spans="60:66" x14ac:dyDescent="0.25">
      <c r="BH211" s="22"/>
      <c r="BI211" s="22"/>
      <c r="BJ211" s="22"/>
      <c r="BK211" s="22"/>
      <c r="BL211" s="22"/>
      <c r="BM211" s="22"/>
      <c r="BN211" s="22"/>
    </row>
    <row r="212" spans="60:66" x14ac:dyDescent="0.25">
      <c r="BH212" s="22"/>
      <c r="BI212" s="22"/>
      <c r="BJ212" s="22"/>
      <c r="BK212" s="22"/>
      <c r="BL212" s="22"/>
      <c r="BM212" s="22"/>
      <c r="BN212" s="22"/>
    </row>
    <row r="213" spans="60:66" x14ac:dyDescent="0.25">
      <c r="BH213" s="22"/>
      <c r="BI213" s="22"/>
      <c r="BJ213" s="22"/>
      <c r="BK213" s="22"/>
      <c r="BL213" s="22"/>
      <c r="BM213" s="22"/>
      <c r="BN213" s="22"/>
    </row>
    <row r="214" spans="60:66" x14ac:dyDescent="0.25">
      <c r="BH214" s="22"/>
      <c r="BI214" s="22"/>
      <c r="BJ214" s="22"/>
      <c r="BK214" s="22"/>
      <c r="BL214" s="22"/>
      <c r="BM214" s="22"/>
      <c r="BN214" s="22"/>
    </row>
    <row r="215" spans="60:66" x14ac:dyDescent="0.25">
      <c r="BH215" s="22"/>
      <c r="BI215" s="22"/>
      <c r="BJ215" s="22"/>
      <c r="BK215" s="22"/>
      <c r="BL215" s="22"/>
      <c r="BM215" s="22"/>
      <c r="BN215" s="22"/>
    </row>
    <row r="216" spans="60:66" x14ac:dyDescent="0.25">
      <c r="BH216" s="22"/>
      <c r="BI216" s="22"/>
      <c r="BJ216" s="22"/>
      <c r="BK216" s="22"/>
      <c r="BL216" s="22"/>
      <c r="BM216" s="22"/>
      <c r="BN216" s="22"/>
    </row>
    <row r="217" spans="60:66" x14ac:dyDescent="0.25">
      <c r="BH217" s="22"/>
      <c r="BI217" s="22"/>
      <c r="BJ217" s="22"/>
      <c r="BK217" s="22"/>
      <c r="BL217" s="22"/>
      <c r="BM217" s="22"/>
      <c r="BN217" s="22"/>
    </row>
    <row r="218" spans="60:66" x14ac:dyDescent="0.25">
      <c r="BH218" s="22"/>
      <c r="BI218" s="22"/>
      <c r="BJ218" s="22"/>
      <c r="BK218" s="22"/>
      <c r="BL218" s="22"/>
      <c r="BM218" s="22"/>
      <c r="BN218" s="22"/>
    </row>
    <row r="219" spans="60:66" x14ac:dyDescent="0.25">
      <c r="BH219" s="22"/>
      <c r="BI219" s="22"/>
      <c r="BJ219" s="22"/>
      <c r="BK219" s="22"/>
      <c r="BL219" s="22"/>
      <c r="BM219" s="22"/>
      <c r="BN219" s="22"/>
    </row>
    <row r="220" spans="60:66" x14ac:dyDescent="0.25">
      <c r="BH220" s="22"/>
      <c r="BI220" s="22"/>
      <c r="BJ220" s="22"/>
      <c r="BK220" s="22"/>
      <c r="BL220" s="22"/>
      <c r="BM220" s="22"/>
      <c r="BN220" s="22"/>
    </row>
    <row r="221" spans="60:66" x14ac:dyDescent="0.25">
      <c r="BH221" s="22"/>
      <c r="BI221" s="22"/>
      <c r="BJ221" s="22"/>
      <c r="BK221" s="22"/>
      <c r="BL221" s="22"/>
      <c r="BM221" s="22"/>
      <c r="BN221" s="22"/>
    </row>
    <row r="222" spans="60:66" x14ac:dyDescent="0.25">
      <c r="BH222" s="22"/>
      <c r="BI222" s="22"/>
      <c r="BJ222" s="22"/>
      <c r="BK222" s="22"/>
      <c r="BL222" s="22"/>
      <c r="BM222" s="22"/>
      <c r="BN222" s="22"/>
    </row>
    <row r="223" spans="60:66" x14ac:dyDescent="0.25">
      <c r="BH223" s="22"/>
      <c r="BI223" s="22"/>
      <c r="BJ223" s="22"/>
      <c r="BK223" s="22"/>
      <c r="BL223" s="22"/>
      <c r="BM223" s="22"/>
      <c r="BN223" s="22"/>
    </row>
    <row r="224" spans="60:66" x14ac:dyDescent="0.25">
      <c r="BH224" s="22"/>
      <c r="BI224" s="22"/>
      <c r="BJ224" s="22"/>
      <c r="BK224" s="22"/>
      <c r="BL224" s="22"/>
      <c r="BM224" s="22"/>
      <c r="BN224" s="22"/>
    </row>
    <row r="225" spans="60:66" x14ac:dyDescent="0.25">
      <c r="BH225" s="22"/>
      <c r="BI225" s="22"/>
      <c r="BJ225" s="22"/>
      <c r="BK225" s="22"/>
      <c r="BL225" s="22"/>
      <c r="BM225" s="22"/>
      <c r="BN225" s="22"/>
    </row>
    <row r="226" spans="60:66" x14ac:dyDescent="0.25">
      <c r="BH226" s="22"/>
      <c r="BI226" s="22"/>
      <c r="BJ226" s="22"/>
      <c r="BK226" s="22"/>
      <c r="BL226" s="22"/>
      <c r="BM226" s="22"/>
      <c r="BN226" s="22"/>
    </row>
    <row r="227" spans="60:66" x14ac:dyDescent="0.25">
      <c r="BH227" s="22"/>
      <c r="BI227" s="22"/>
      <c r="BJ227" s="22"/>
      <c r="BK227" s="22"/>
      <c r="BL227" s="22"/>
      <c r="BM227" s="22"/>
      <c r="BN227" s="22"/>
    </row>
    <row r="228" spans="60:66" x14ac:dyDescent="0.25">
      <c r="BH228" s="22"/>
      <c r="BI228" s="22"/>
      <c r="BJ228" s="22"/>
      <c r="BK228" s="22"/>
      <c r="BL228" s="22"/>
      <c r="BM228" s="22"/>
      <c r="BN228" s="22"/>
    </row>
    <row r="229" spans="60:66" x14ac:dyDescent="0.25">
      <c r="BH229" s="22"/>
      <c r="BI229" s="22"/>
      <c r="BJ229" s="22"/>
      <c r="BK229" s="22"/>
      <c r="BL229" s="22"/>
      <c r="BM229" s="22"/>
      <c r="BN229" s="22"/>
    </row>
    <row r="230" spans="60:66" x14ac:dyDescent="0.25">
      <c r="BH230" s="22"/>
      <c r="BI230" s="22"/>
      <c r="BJ230" s="22"/>
      <c r="BK230" s="22"/>
      <c r="BL230" s="22"/>
      <c r="BM230" s="22"/>
      <c r="BN230" s="22"/>
    </row>
    <row r="231" spans="60:66" x14ac:dyDescent="0.25">
      <c r="BH231" s="22"/>
      <c r="BI231" s="22"/>
      <c r="BJ231" s="22"/>
      <c r="BK231" s="22"/>
      <c r="BL231" s="22"/>
      <c r="BM231" s="22"/>
      <c r="BN231" s="22"/>
    </row>
    <row r="232" spans="60:66" x14ac:dyDescent="0.25">
      <c r="BH232" s="22"/>
      <c r="BI232" s="22"/>
      <c r="BJ232" s="22"/>
      <c r="BK232" s="22"/>
      <c r="BL232" s="22"/>
      <c r="BM232" s="22"/>
      <c r="BN232" s="22"/>
    </row>
    <row r="233" spans="60:66" x14ac:dyDescent="0.25">
      <c r="BH233" s="22"/>
      <c r="BI233" s="22"/>
      <c r="BJ233" s="22"/>
      <c r="BK233" s="22"/>
      <c r="BL233" s="22"/>
      <c r="BM233" s="22"/>
      <c r="BN233" s="22"/>
    </row>
    <row r="234" spans="60:66" x14ac:dyDescent="0.25">
      <c r="BH234" s="22"/>
      <c r="BI234" s="22"/>
      <c r="BJ234" s="22"/>
      <c r="BK234" s="22"/>
      <c r="BL234" s="22"/>
      <c r="BM234" s="22"/>
      <c r="BN234" s="22"/>
    </row>
    <row r="235" spans="60:66" x14ac:dyDescent="0.25">
      <c r="BH235" s="22"/>
      <c r="BI235" s="22"/>
      <c r="BJ235" s="22"/>
      <c r="BK235" s="22"/>
      <c r="BL235" s="22"/>
      <c r="BM235" s="22"/>
      <c r="BN235" s="22"/>
    </row>
    <row r="236" spans="60:66" x14ac:dyDescent="0.25">
      <c r="BH236" s="22"/>
      <c r="BI236" s="22"/>
      <c r="BJ236" s="22"/>
      <c r="BK236" s="22"/>
      <c r="BL236" s="22"/>
      <c r="BM236" s="22"/>
      <c r="BN236" s="22"/>
    </row>
    <row r="237" spans="60:66" x14ac:dyDescent="0.25">
      <c r="BH237" s="22"/>
      <c r="BI237" s="22"/>
      <c r="BJ237" s="22"/>
      <c r="BK237" s="22"/>
      <c r="BL237" s="22"/>
      <c r="BM237" s="22"/>
      <c r="BN237" s="22"/>
    </row>
    <row r="238" spans="60:66" x14ac:dyDescent="0.25">
      <c r="BH238" s="22"/>
      <c r="BI238" s="22"/>
      <c r="BJ238" s="22"/>
      <c r="BK238" s="22"/>
      <c r="BL238" s="22"/>
      <c r="BM238" s="22"/>
      <c r="BN238" s="22"/>
    </row>
    <row r="239" spans="60:66" x14ac:dyDescent="0.25">
      <c r="BH239" s="22"/>
      <c r="BI239" s="22"/>
      <c r="BJ239" s="22"/>
      <c r="BK239" s="22"/>
      <c r="BL239" s="22"/>
      <c r="BM239" s="22"/>
      <c r="BN239" s="22"/>
    </row>
    <row r="240" spans="60:66" x14ac:dyDescent="0.25">
      <c r="BH240" s="22"/>
      <c r="BI240" s="22"/>
      <c r="BJ240" s="22"/>
      <c r="BK240" s="22"/>
      <c r="BL240" s="22"/>
      <c r="BM240" s="22"/>
      <c r="BN240" s="22"/>
    </row>
    <row r="241" spans="60:66" x14ac:dyDescent="0.25">
      <c r="BH241" s="22"/>
      <c r="BI241" s="22"/>
      <c r="BJ241" s="22"/>
      <c r="BK241" s="22"/>
      <c r="BL241" s="22"/>
      <c r="BM241" s="22"/>
      <c r="BN241" s="22"/>
    </row>
    <row r="242" spans="60:66" x14ac:dyDescent="0.25">
      <c r="BH242" s="22"/>
      <c r="BI242" s="22"/>
      <c r="BJ242" s="22"/>
      <c r="BK242" s="22"/>
      <c r="BL242" s="22"/>
      <c r="BM242" s="22"/>
      <c r="BN242" s="22"/>
    </row>
    <row r="243" spans="60:66" x14ac:dyDescent="0.25">
      <c r="BH243" s="22"/>
      <c r="BI243" s="22"/>
      <c r="BJ243" s="22"/>
      <c r="BK243" s="22"/>
      <c r="BL243" s="22"/>
      <c r="BM243" s="22"/>
      <c r="BN243" s="22"/>
    </row>
    <row r="244" spans="60:66" x14ac:dyDescent="0.25">
      <c r="BH244" s="22"/>
      <c r="BI244" s="22"/>
      <c r="BJ244" s="22"/>
      <c r="BK244" s="22"/>
      <c r="BL244" s="22"/>
      <c r="BM244" s="22"/>
      <c r="BN244" s="22"/>
    </row>
    <row r="245" spans="60:66" x14ac:dyDescent="0.25">
      <c r="BH245" s="22"/>
      <c r="BI245" s="22"/>
      <c r="BJ245" s="22"/>
      <c r="BK245" s="22"/>
      <c r="BL245" s="22"/>
      <c r="BM245" s="22"/>
      <c r="BN245" s="22"/>
    </row>
    <row r="246" spans="60:66" x14ac:dyDescent="0.25">
      <c r="BH246" s="22"/>
      <c r="BI246" s="22"/>
      <c r="BJ246" s="22"/>
      <c r="BK246" s="22"/>
      <c r="BL246" s="22"/>
      <c r="BM246" s="22"/>
      <c r="BN246" s="22"/>
    </row>
    <row r="247" spans="60:66" x14ac:dyDescent="0.25">
      <c r="BH247" s="22"/>
      <c r="BI247" s="22"/>
      <c r="BJ247" s="22"/>
      <c r="BK247" s="22"/>
      <c r="BL247" s="22"/>
      <c r="BM247" s="22"/>
      <c r="BN247" s="22"/>
    </row>
  </sheetData>
  <conditionalFormatting sqref="K10:AO29">
    <cfRule type="containsText" dxfId="31" priority="1" operator="containsText" text="L">
      <formula>NOT(ISERROR(SEARCH("L",K10)))</formula>
    </cfRule>
    <cfRule type="containsText" dxfId="30" priority="2" operator="containsText" text="A">
      <formula>NOT(ISERROR(SEARCH("A",K10)))</formula>
    </cfRule>
    <cfRule type="containsText" dxfId="29" priority="3" operator="containsText" text="P">
      <formula>NOT(ISERROR(SEARCH("P",K10)))</formula>
    </cfRule>
  </conditionalFormatting>
  <conditionalFormatting sqref="O10:P29">
    <cfRule type="containsText" dxfId="28" priority="5" operator="containsText" text="WO">
      <formula>NOT(ISERROR(SEARCH("WO",O10)))</formula>
    </cfRule>
  </conditionalFormatting>
  <conditionalFormatting sqref="U11:U29">
    <cfRule type="containsText" dxfId="27" priority="4" operator="containsText" text="WO">
      <formula>NOT(ISERROR(SEARCH("WO",U11)))</formula>
    </cfRule>
  </conditionalFormatting>
  <conditionalFormatting sqref="V10:W29">
    <cfRule type="containsText" dxfId="26" priority="10" operator="containsText" text="WO">
      <formula>NOT(ISERROR(SEARCH("WO",V10)))</formula>
    </cfRule>
  </conditionalFormatting>
  <conditionalFormatting sqref="AB11:AB29">
    <cfRule type="containsText" dxfId="25" priority="9" operator="containsText" text="WO">
      <formula>NOT(ISERROR(SEARCH("WO",AB11)))</formula>
    </cfRule>
  </conditionalFormatting>
  <conditionalFormatting sqref="AC10:AD29">
    <cfRule type="containsText" dxfId="24" priority="15" operator="containsText" text="WO">
      <formula>NOT(ISERROR(SEARCH("WO",AC10)))</formula>
    </cfRule>
  </conditionalFormatting>
  <conditionalFormatting sqref="AI11:AI29">
    <cfRule type="containsText" dxfId="23" priority="14" operator="containsText" text="WO">
      <formula>NOT(ISERROR(SEARCH("WO",AI11)))</formula>
    </cfRule>
  </conditionalFormatting>
  <conditionalFormatting sqref="AJ10:AO29 J10:J29">
    <cfRule type="containsText" dxfId="22" priority="22" operator="containsText" text="WO">
      <formula>NOT(ISERROR(SEARCH("WO",J10)))</formula>
    </cfRule>
  </conditionalFormatting>
  <dataValidations count="1">
    <dataValidation type="list" allowBlank="1" showInputMessage="1" showErrorMessage="1" sqref="AK10:AO29 W10:AB29 AD10:AI29 K10:N29 P10:U29" xr:uid="{D8AF5176-940D-4D21-897B-56456CA81955}">
      <formula1>"P, A, 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883CB88-8E02-4412-8077-5F7C47EE1335}">
          <x14:formula1>
            <xm:f>Sheet2!$A$1:$A$12</xm:f>
          </x14:formula1>
          <xm:sqref>H6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D48A5A9A-4003-4B0E-ABFD-6AC1C4EE06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Oct!AV10:AY10</xm:f>
              <xm:sqref>BF10</xm:sqref>
            </x14:sparkline>
            <x14:sparkline>
              <xm:f>Oct!AV11:AY11</xm:f>
              <xm:sqref>BF11</xm:sqref>
            </x14:sparkline>
            <x14:sparkline>
              <xm:f>Oct!AV12:AY12</xm:f>
              <xm:sqref>BF12</xm:sqref>
            </x14:sparkline>
            <x14:sparkline>
              <xm:f>Oct!AV13:AY13</xm:f>
              <xm:sqref>BF13</xm:sqref>
            </x14:sparkline>
            <x14:sparkline>
              <xm:f>Oct!AV14:AY14</xm:f>
              <xm:sqref>BF14</xm:sqref>
            </x14:sparkline>
            <x14:sparkline>
              <xm:f>Oct!AV15:AY15</xm:f>
              <xm:sqref>BF15</xm:sqref>
            </x14:sparkline>
            <x14:sparkline>
              <xm:f>Oct!AV16:AY16</xm:f>
              <xm:sqref>BF16</xm:sqref>
            </x14:sparkline>
            <x14:sparkline>
              <xm:f>Oct!AV17:AY17</xm:f>
              <xm:sqref>BF17</xm:sqref>
            </x14:sparkline>
            <x14:sparkline>
              <xm:f>Oct!AV18:AY18</xm:f>
              <xm:sqref>BF18</xm:sqref>
            </x14:sparkline>
            <x14:sparkline>
              <xm:f>Oct!AV19:AY19</xm:f>
              <xm:sqref>BF19</xm:sqref>
            </x14:sparkline>
            <x14:sparkline>
              <xm:f>Oct!AV20:AY20</xm:f>
              <xm:sqref>BF20</xm:sqref>
            </x14:sparkline>
            <x14:sparkline>
              <xm:f>Oct!AV21:AY21</xm:f>
              <xm:sqref>BF21</xm:sqref>
            </x14:sparkline>
            <x14:sparkline>
              <xm:f>Oct!AV22:AY22</xm:f>
              <xm:sqref>BF22</xm:sqref>
            </x14:sparkline>
            <x14:sparkline>
              <xm:f>Oct!AV23:AY23</xm:f>
              <xm:sqref>BF23</xm:sqref>
            </x14:sparkline>
            <x14:sparkline>
              <xm:f>Oct!AV24:AY24</xm:f>
              <xm:sqref>BF24</xm:sqref>
            </x14:sparkline>
            <x14:sparkline>
              <xm:f>Oct!AV25:AY25</xm:f>
              <xm:sqref>BF25</xm:sqref>
            </x14:sparkline>
            <x14:sparkline>
              <xm:f>Oct!AV26:AY26</xm:f>
              <xm:sqref>BF26</xm:sqref>
            </x14:sparkline>
            <x14:sparkline>
              <xm:f>Oct!AV27:AY27</xm:f>
              <xm:sqref>BF27</xm:sqref>
            </x14:sparkline>
            <x14:sparkline>
              <xm:f>Oct!AV28:AY28</xm:f>
              <xm:sqref>BF28</xm:sqref>
            </x14:sparkline>
            <x14:sparkline>
              <xm:f>Oct!AV29:AY29</xm:f>
              <xm:sqref>BF29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03F4-03E4-4232-99F4-FFB0A16BAEA8}">
  <dimension ref="E1:BO247"/>
  <sheetViews>
    <sheetView zoomScale="85" zoomScaleNormal="85" workbookViewId="0"/>
  </sheetViews>
  <sheetFormatPr defaultRowHeight="15.75" x14ac:dyDescent="0.25"/>
  <cols>
    <col min="1" max="4" width="9.140625" style="3"/>
    <col min="5" max="5" width="9.140625" style="22"/>
    <col min="6" max="6" width="9.140625" style="3"/>
    <col min="7" max="7" width="9.28515625" style="3" bestFit="1" customWidth="1"/>
    <col min="8" max="8" width="26.85546875" style="3" customWidth="1"/>
    <col min="9" max="9" width="15" style="3" customWidth="1"/>
    <col min="10" max="10" width="19.28515625" style="3" customWidth="1"/>
    <col min="11" max="11" width="9.140625" style="3"/>
    <col min="12" max="12" width="9.28515625" style="3" bestFit="1" customWidth="1"/>
    <col min="13" max="13" width="13.7109375" style="3" customWidth="1"/>
    <col min="14" max="41" width="9.28515625" style="3" bestFit="1" customWidth="1"/>
    <col min="42" max="42" width="9.140625" style="3"/>
    <col min="43" max="43" width="9.140625" style="22"/>
    <col min="44" max="44" width="9.140625" style="3"/>
    <col min="45" max="46" width="15.42578125" style="3" customWidth="1"/>
    <col min="47" max="47" width="15.5703125" style="3" customWidth="1"/>
    <col min="48" max="48" width="10.7109375" style="3" customWidth="1"/>
    <col min="49" max="49" width="10.28515625" style="3" customWidth="1"/>
    <col min="50" max="50" width="9.140625" style="3"/>
    <col min="51" max="51" width="11.5703125" style="3" customWidth="1"/>
    <col min="52" max="52" width="9.140625" style="3"/>
    <col min="53" max="53" width="13.7109375" style="3" customWidth="1"/>
    <col min="54" max="54" width="13.5703125" style="3" customWidth="1"/>
    <col min="55" max="55" width="17.85546875" style="3" customWidth="1"/>
    <col min="56" max="56" width="15" style="3" customWidth="1"/>
    <col min="57" max="57" width="18.140625" style="3" customWidth="1"/>
    <col min="58" max="58" width="25.140625" style="3" customWidth="1"/>
    <col min="59" max="59" width="9.140625" style="22"/>
    <col min="60" max="16384" width="9.140625" style="3"/>
  </cols>
  <sheetData>
    <row r="1" spans="6:67" x14ac:dyDescent="0.25">
      <c r="BH1" s="22"/>
      <c r="BI1" s="22"/>
      <c r="BJ1" s="22"/>
      <c r="BK1" s="22"/>
      <c r="BL1" s="22"/>
      <c r="BM1" s="22"/>
      <c r="BN1" s="22"/>
      <c r="BO1" s="22"/>
    </row>
    <row r="2" spans="6:67" x14ac:dyDescent="0.25">
      <c r="BH2" s="22"/>
      <c r="BI2" s="22"/>
      <c r="BJ2" s="22"/>
      <c r="BK2" s="22"/>
      <c r="BL2" s="22"/>
      <c r="BM2" s="22"/>
      <c r="BN2" s="22"/>
    </row>
    <row r="3" spans="6:67" x14ac:dyDescent="0.25">
      <c r="BH3" s="22"/>
      <c r="BI3" s="22"/>
      <c r="BJ3" s="22"/>
      <c r="BK3" s="22"/>
      <c r="BL3" s="22"/>
      <c r="BM3" s="22"/>
      <c r="BN3" s="22"/>
    </row>
    <row r="4" spans="6:67" s="22" customFormat="1" x14ac:dyDescent="0.25"/>
    <row r="5" spans="6:67" s="22" customFormat="1" x14ac:dyDescent="0.25"/>
    <row r="6" spans="6:67" s="22" customFormat="1" x14ac:dyDescent="0.25">
      <c r="G6" s="25" t="s">
        <v>22</v>
      </c>
      <c r="H6" s="26">
        <v>45962</v>
      </c>
      <c r="I6" s="27">
        <f>(DATEDIF($H$6,$M$6,"D"))+1</f>
        <v>30</v>
      </c>
      <c r="J6" s="25" t="str">
        <f>TEXT(H6,"MMMM")</f>
        <v>November</v>
      </c>
      <c r="K6" s="25"/>
      <c r="L6" s="25" t="s">
        <v>23</v>
      </c>
      <c r="M6" s="26">
        <f>EOMONTH(H6,0)</f>
        <v>45991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6:67" x14ac:dyDescent="0.25"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2"/>
      <c r="BI7" s="22"/>
      <c r="BJ7" s="22"/>
      <c r="BK7" s="22"/>
      <c r="BL7" s="22"/>
      <c r="BM7" s="22"/>
      <c r="BN7" s="22"/>
    </row>
    <row r="8" spans="6:67" x14ac:dyDescent="0.25">
      <c r="F8" s="21"/>
      <c r="G8" s="5"/>
      <c r="H8" s="5" t="s">
        <v>25</v>
      </c>
      <c r="I8" s="5"/>
      <c r="J8" s="5" t="s">
        <v>26</v>
      </c>
      <c r="K8" s="5" t="str">
        <f>TEXT(K9,"DDD")</f>
        <v>Sat</v>
      </c>
      <c r="L8" s="5" t="str">
        <f t="shared" ref="L8:AO8" si="0">TEXT(L9,"DDD")</f>
        <v>Sun</v>
      </c>
      <c r="M8" s="5" t="str">
        <f t="shared" si="0"/>
        <v>Mon</v>
      </c>
      <c r="N8" s="5" t="str">
        <f t="shared" si="0"/>
        <v>Tue</v>
      </c>
      <c r="O8" s="5" t="str">
        <f t="shared" si="0"/>
        <v>Wed</v>
      </c>
      <c r="P8" s="5" t="str">
        <f t="shared" si="0"/>
        <v>Thu</v>
      </c>
      <c r="Q8" s="5" t="str">
        <f t="shared" si="0"/>
        <v>Fri</v>
      </c>
      <c r="R8" s="5" t="str">
        <f t="shared" si="0"/>
        <v>Sat</v>
      </c>
      <c r="S8" s="5" t="str">
        <f t="shared" si="0"/>
        <v>Sun</v>
      </c>
      <c r="T8" s="5" t="str">
        <f t="shared" si="0"/>
        <v>Mon</v>
      </c>
      <c r="U8" s="5" t="str">
        <f t="shared" si="0"/>
        <v>Tue</v>
      </c>
      <c r="V8" s="5" t="str">
        <f t="shared" si="0"/>
        <v>Wed</v>
      </c>
      <c r="W8" s="5" t="str">
        <f t="shared" si="0"/>
        <v>Thu</v>
      </c>
      <c r="X8" s="5" t="str">
        <f t="shared" si="0"/>
        <v>Fri</v>
      </c>
      <c r="Y8" s="5" t="str">
        <f t="shared" si="0"/>
        <v>Sat</v>
      </c>
      <c r="Z8" s="5" t="str">
        <f t="shared" si="0"/>
        <v>Sun</v>
      </c>
      <c r="AA8" s="5" t="str">
        <f t="shared" si="0"/>
        <v>Mon</v>
      </c>
      <c r="AB8" s="5" t="str">
        <f t="shared" si="0"/>
        <v>Tue</v>
      </c>
      <c r="AC8" s="5" t="str">
        <f t="shared" si="0"/>
        <v>Wed</v>
      </c>
      <c r="AD8" s="5" t="str">
        <f t="shared" si="0"/>
        <v>Thu</v>
      </c>
      <c r="AE8" s="5" t="str">
        <f t="shared" si="0"/>
        <v>Fri</v>
      </c>
      <c r="AF8" s="5" t="str">
        <f t="shared" si="0"/>
        <v>Sat</v>
      </c>
      <c r="AG8" s="5" t="str">
        <f t="shared" si="0"/>
        <v>Sun</v>
      </c>
      <c r="AH8" s="5" t="str">
        <f t="shared" si="0"/>
        <v>Mon</v>
      </c>
      <c r="AI8" s="5" t="str">
        <f t="shared" si="0"/>
        <v>Tue</v>
      </c>
      <c r="AJ8" s="5" t="str">
        <f t="shared" si="0"/>
        <v>Wed</v>
      </c>
      <c r="AK8" s="5" t="str">
        <f t="shared" si="0"/>
        <v>Thu</v>
      </c>
      <c r="AL8" s="5" t="str">
        <f t="shared" si="0"/>
        <v>Fri</v>
      </c>
      <c r="AM8" s="5" t="str">
        <f t="shared" si="0"/>
        <v>Sat</v>
      </c>
      <c r="AN8" s="5" t="str">
        <f t="shared" si="0"/>
        <v>Sun</v>
      </c>
      <c r="AO8" s="5" t="str">
        <f t="shared" si="0"/>
        <v/>
      </c>
      <c r="AP8" s="21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2"/>
      <c r="BI8" s="22"/>
      <c r="BJ8" s="22"/>
      <c r="BK8" s="22"/>
      <c r="BL8" s="22"/>
      <c r="BM8" s="22"/>
      <c r="BN8" s="22"/>
    </row>
    <row r="9" spans="6:67" ht="16.5" thickBot="1" x14ac:dyDescent="0.3">
      <c r="F9" s="21"/>
      <c r="G9" s="13" t="s">
        <v>0</v>
      </c>
      <c r="H9" s="13" t="s">
        <v>1</v>
      </c>
      <c r="I9" s="13" t="s">
        <v>2</v>
      </c>
      <c r="J9" s="14" t="s">
        <v>21</v>
      </c>
      <c r="K9" s="15">
        <f>H6</f>
        <v>45962</v>
      </c>
      <c r="L9" s="15">
        <f>IF(K9&lt;$M$6,K9+1,"")</f>
        <v>45963</v>
      </c>
      <c r="M9" s="15">
        <f t="shared" ref="M9:AO9" si="1">IF(L9&lt;$M$6,L9+1,"")</f>
        <v>45964</v>
      </c>
      <c r="N9" s="15">
        <f t="shared" si="1"/>
        <v>45965</v>
      </c>
      <c r="O9" s="15">
        <f t="shared" si="1"/>
        <v>45966</v>
      </c>
      <c r="P9" s="15">
        <f t="shared" si="1"/>
        <v>45967</v>
      </c>
      <c r="Q9" s="15">
        <f t="shared" si="1"/>
        <v>45968</v>
      </c>
      <c r="R9" s="15">
        <f t="shared" si="1"/>
        <v>45969</v>
      </c>
      <c r="S9" s="15">
        <f t="shared" si="1"/>
        <v>45970</v>
      </c>
      <c r="T9" s="15">
        <f t="shared" si="1"/>
        <v>45971</v>
      </c>
      <c r="U9" s="15">
        <f t="shared" si="1"/>
        <v>45972</v>
      </c>
      <c r="V9" s="15">
        <f t="shared" si="1"/>
        <v>45973</v>
      </c>
      <c r="W9" s="15">
        <f t="shared" si="1"/>
        <v>45974</v>
      </c>
      <c r="X9" s="15">
        <f t="shared" si="1"/>
        <v>45975</v>
      </c>
      <c r="Y9" s="15">
        <f t="shared" si="1"/>
        <v>45976</v>
      </c>
      <c r="Z9" s="15">
        <f t="shared" si="1"/>
        <v>45977</v>
      </c>
      <c r="AA9" s="15">
        <f t="shared" si="1"/>
        <v>45978</v>
      </c>
      <c r="AB9" s="15">
        <f t="shared" si="1"/>
        <v>45979</v>
      </c>
      <c r="AC9" s="15">
        <f t="shared" si="1"/>
        <v>45980</v>
      </c>
      <c r="AD9" s="15">
        <f t="shared" si="1"/>
        <v>45981</v>
      </c>
      <c r="AE9" s="15">
        <f t="shared" si="1"/>
        <v>45982</v>
      </c>
      <c r="AF9" s="15">
        <f t="shared" si="1"/>
        <v>45983</v>
      </c>
      <c r="AG9" s="15">
        <f t="shared" si="1"/>
        <v>45984</v>
      </c>
      <c r="AH9" s="15">
        <f t="shared" si="1"/>
        <v>45985</v>
      </c>
      <c r="AI9" s="15">
        <f t="shared" si="1"/>
        <v>45986</v>
      </c>
      <c r="AJ9" s="15">
        <f t="shared" si="1"/>
        <v>45987</v>
      </c>
      <c r="AK9" s="15">
        <f t="shared" si="1"/>
        <v>45988</v>
      </c>
      <c r="AL9" s="15">
        <f t="shared" si="1"/>
        <v>45989</v>
      </c>
      <c r="AM9" s="15">
        <f t="shared" si="1"/>
        <v>45990</v>
      </c>
      <c r="AN9" s="15">
        <f t="shared" si="1"/>
        <v>45991</v>
      </c>
      <c r="AO9" s="15" t="str">
        <f t="shared" si="1"/>
        <v/>
      </c>
      <c r="AP9" s="21"/>
      <c r="AQ9" s="24"/>
      <c r="AR9" s="18" t="s">
        <v>0</v>
      </c>
      <c r="AS9" s="18" t="s">
        <v>1</v>
      </c>
      <c r="AT9" s="18" t="s">
        <v>37</v>
      </c>
      <c r="AU9" s="18" t="s">
        <v>2</v>
      </c>
      <c r="AV9" s="18" t="s">
        <v>27</v>
      </c>
      <c r="AW9" s="18" t="s">
        <v>28</v>
      </c>
      <c r="AX9" s="18" t="s">
        <v>29</v>
      </c>
      <c r="AY9" s="18" t="s">
        <v>30</v>
      </c>
      <c r="AZ9" s="18" t="s">
        <v>26</v>
      </c>
      <c r="BA9" s="18" t="s">
        <v>31</v>
      </c>
      <c r="BB9" s="18" t="s">
        <v>32</v>
      </c>
      <c r="BC9" s="18" t="s">
        <v>33</v>
      </c>
      <c r="BD9" s="18" t="s">
        <v>34</v>
      </c>
      <c r="BE9" s="18" t="s">
        <v>35</v>
      </c>
      <c r="BF9" s="18" t="s">
        <v>36</v>
      </c>
      <c r="BG9" s="24"/>
      <c r="BH9" s="22"/>
      <c r="BI9" s="22"/>
      <c r="BJ9" s="22"/>
      <c r="BK9" s="22"/>
      <c r="BL9" s="22"/>
      <c r="BM9" s="22"/>
      <c r="BN9" s="22"/>
    </row>
    <row r="10" spans="6:67" x14ac:dyDescent="0.25">
      <c r="F10" s="21"/>
      <c r="G10" s="6">
        <v>1</v>
      </c>
      <c r="H10" s="7" t="s">
        <v>3</v>
      </c>
      <c r="I10" s="7">
        <v>1001</v>
      </c>
      <c r="J10" s="46">
        <f>COUNTIF($J$8:$AO$8,"SUN")</f>
        <v>5</v>
      </c>
      <c r="K10" s="7" t="s">
        <v>38</v>
      </c>
      <c r="L10" s="43" t="str">
        <f t="shared" ref="L10:AG20" si="2">IF(L$8="SUN","WO","")</f>
        <v>WO</v>
      </c>
      <c r="M10" s="50" t="s">
        <v>38</v>
      </c>
      <c r="N10" s="51" t="s">
        <v>38</v>
      </c>
      <c r="O10" s="51" t="s">
        <v>38</v>
      </c>
      <c r="P10" s="51" t="s">
        <v>38</v>
      </c>
      <c r="Q10" s="51" t="s">
        <v>38</v>
      </c>
      <c r="R10" s="51" t="s">
        <v>39</v>
      </c>
      <c r="S10" s="43" t="str">
        <f t="shared" si="2"/>
        <v>WO</v>
      </c>
      <c r="T10" s="52" t="s">
        <v>38</v>
      </c>
      <c r="U10" s="51" t="s">
        <v>38</v>
      </c>
      <c r="V10" s="51" t="s">
        <v>38</v>
      </c>
      <c r="W10" s="51" t="s">
        <v>38</v>
      </c>
      <c r="X10" s="51" t="s">
        <v>38</v>
      </c>
      <c r="Y10" s="51" t="s">
        <v>39</v>
      </c>
      <c r="Z10" s="43" t="str">
        <f t="shared" ref="Z10:Z11" si="3">IF(Z$8="SUN","WO","")</f>
        <v>WO</v>
      </c>
      <c r="AA10" s="52" t="s">
        <v>38</v>
      </c>
      <c r="AB10" s="51" t="s">
        <v>38</v>
      </c>
      <c r="AC10" s="51" t="s">
        <v>38</v>
      </c>
      <c r="AD10" s="51" t="s">
        <v>38</v>
      </c>
      <c r="AE10" s="51" t="s">
        <v>38</v>
      </c>
      <c r="AF10" s="51" t="s">
        <v>39</v>
      </c>
      <c r="AG10" s="43" t="str">
        <f t="shared" si="2"/>
        <v>WO</v>
      </c>
      <c r="AH10" s="52" t="s">
        <v>38</v>
      </c>
      <c r="AI10" s="51" t="s">
        <v>38</v>
      </c>
      <c r="AJ10" s="51" t="s">
        <v>38</v>
      </c>
      <c r="AK10" s="51" t="s">
        <v>38</v>
      </c>
      <c r="AL10" s="51" t="s">
        <v>38</v>
      </c>
      <c r="AM10" s="53" t="s">
        <v>39</v>
      </c>
      <c r="AN10" s="43" t="str">
        <f t="shared" ref="AN10:AN25" si="4">IF(AN$8="SUN","WO","")</f>
        <v>WO</v>
      </c>
      <c r="AO10" s="31"/>
      <c r="AP10" s="21"/>
      <c r="AQ10" s="24"/>
      <c r="AR10" s="10">
        <v>1</v>
      </c>
      <c r="AS10" s="9" t="s">
        <v>3</v>
      </c>
      <c r="AT10" s="9" t="str">
        <f t="shared" ref="AT10:AT29" si="5">$J$6</f>
        <v>November</v>
      </c>
      <c r="AU10" s="9">
        <v>1001</v>
      </c>
      <c r="AV10" s="9">
        <f t="shared" ref="AV10:AV29" si="6">COUNTIF($K10:$AO10,"P")</f>
        <v>21</v>
      </c>
      <c r="AW10" s="9">
        <f t="shared" ref="AW10:AW29" si="7">COUNTIF($K10:$AO10,"A")</f>
        <v>4</v>
      </c>
      <c r="AX10" s="9">
        <f t="shared" ref="AX10:AX29" si="8">COUNTIF($K10:$AO10,"L")</f>
        <v>0</v>
      </c>
      <c r="AY10" s="16">
        <f t="shared" ref="AY10:AY29" si="9">$J$10</f>
        <v>5</v>
      </c>
      <c r="AZ10" s="16">
        <f t="shared" ref="AZ10:AZ29" si="10">$I$6</f>
        <v>30</v>
      </c>
      <c r="BA10" s="16">
        <f>NovReport[[#This Row],[Days]]-NovReport[[#This Row],[Absent]]</f>
        <v>26</v>
      </c>
      <c r="BB10" s="19">
        <v>10000</v>
      </c>
      <c r="BC10" s="20">
        <f>NovReport[[#This Row],[Salary ]]/NovReport[[#This Row],[Days]]</f>
        <v>333.33333333333331</v>
      </c>
      <c r="BD10" s="20">
        <f>NovReport[[#This Row],[Per Day Salary ]]*NovReport[[#This Row],[Absent]]</f>
        <v>1333.3333333333333</v>
      </c>
      <c r="BE10" s="20">
        <f>NovReport[[#This Row],[Salary ]]-NovReport[[#This Row],[Deduction]]</f>
        <v>8666.6666666666661</v>
      </c>
      <c r="BF10" s="20"/>
      <c r="BG10" s="24"/>
      <c r="BH10" s="22"/>
      <c r="BI10" s="22"/>
      <c r="BJ10" s="22"/>
      <c r="BK10" s="22"/>
      <c r="BL10" s="22"/>
      <c r="BM10" s="22"/>
      <c r="BN10" s="22"/>
    </row>
    <row r="11" spans="6:67" x14ac:dyDescent="0.25">
      <c r="F11" s="21"/>
      <c r="G11" s="8">
        <v>2</v>
      </c>
      <c r="H11" s="9" t="s">
        <v>4</v>
      </c>
      <c r="I11" s="10">
        <v>1002</v>
      </c>
      <c r="J11" s="47">
        <f t="shared" ref="J11:J29" si="11">COUNTIF($J$8:$AO$8,"SUN")</f>
        <v>5</v>
      </c>
      <c r="K11" s="16" t="s">
        <v>38</v>
      </c>
      <c r="L11" s="44" t="str">
        <f t="shared" ref="L11:Z29" si="12">IF(L$8="SUN","WO","")</f>
        <v>WO</v>
      </c>
      <c r="M11" s="16" t="s">
        <v>39</v>
      </c>
      <c r="N11" s="10" t="s">
        <v>38</v>
      </c>
      <c r="O11" s="10" t="s">
        <v>38</v>
      </c>
      <c r="P11" s="10" t="s">
        <v>38</v>
      </c>
      <c r="Q11" s="10" t="s">
        <v>38</v>
      </c>
      <c r="R11" s="16" t="s">
        <v>38</v>
      </c>
      <c r="S11" s="44" t="str">
        <f t="shared" si="12"/>
        <v>WO</v>
      </c>
      <c r="T11" s="16" t="s">
        <v>39</v>
      </c>
      <c r="U11" s="10" t="s">
        <v>38</v>
      </c>
      <c r="V11" s="10" t="s">
        <v>38</v>
      </c>
      <c r="W11" s="10" t="s">
        <v>38</v>
      </c>
      <c r="X11" s="10" t="s">
        <v>38</v>
      </c>
      <c r="Y11" s="16" t="s">
        <v>38</v>
      </c>
      <c r="Z11" s="44" t="str">
        <f t="shared" si="3"/>
        <v>WO</v>
      </c>
      <c r="AA11" s="16" t="s">
        <v>39</v>
      </c>
      <c r="AB11" s="10" t="s">
        <v>38</v>
      </c>
      <c r="AC11" s="10" t="s">
        <v>38</v>
      </c>
      <c r="AD11" s="10" t="s">
        <v>38</v>
      </c>
      <c r="AE11" s="10" t="s">
        <v>38</v>
      </c>
      <c r="AF11" s="16" t="s">
        <v>38</v>
      </c>
      <c r="AG11" s="44" t="str">
        <f t="shared" si="2"/>
        <v>WO</v>
      </c>
      <c r="AH11" s="16" t="s">
        <v>39</v>
      </c>
      <c r="AI11" s="10" t="s">
        <v>38</v>
      </c>
      <c r="AJ11" s="10" t="s">
        <v>38</v>
      </c>
      <c r="AK11" s="10" t="s">
        <v>38</v>
      </c>
      <c r="AL11" s="10" t="s">
        <v>38</v>
      </c>
      <c r="AM11" s="16" t="s">
        <v>38</v>
      </c>
      <c r="AN11" s="44" t="str">
        <f t="shared" ref="AN11:AN29" si="13">IF(AN$8="SUN","WO","")</f>
        <v>WO</v>
      </c>
      <c r="AO11" s="32"/>
      <c r="AP11" s="21"/>
      <c r="AQ11" s="24"/>
      <c r="AR11" s="10">
        <v>2</v>
      </c>
      <c r="AS11" s="9" t="s">
        <v>4</v>
      </c>
      <c r="AT11" s="9" t="str">
        <f t="shared" si="5"/>
        <v>November</v>
      </c>
      <c r="AU11" s="9">
        <v>1002</v>
      </c>
      <c r="AV11" s="9">
        <f t="shared" si="6"/>
        <v>21</v>
      </c>
      <c r="AW11" s="16">
        <f t="shared" si="7"/>
        <v>4</v>
      </c>
      <c r="AX11" s="16">
        <f t="shared" si="8"/>
        <v>0</v>
      </c>
      <c r="AY11" s="16">
        <f t="shared" si="9"/>
        <v>5</v>
      </c>
      <c r="AZ11" s="16">
        <f t="shared" si="10"/>
        <v>30</v>
      </c>
      <c r="BA11" s="16">
        <f>NovReport[[#This Row],[Days]]-NovReport[[#This Row],[Absent]]</f>
        <v>26</v>
      </c>
      <c r="BB11" s="19">
        <v>20000</v>
      </c>
      <c r="BC11" s="20">
        <f>NovReport[[#This Row],[Salary ]]/NovReport[[#This Row],[Days]]</f>
        <v>666.66666666666663</v>
      </c>
      <c r="BD11" s="20">
        <f>NovReport[[#This Row],[Per Day Salary ]]*NovReport[[#This Row],[Absent]]</f>
        <v>2666.6666666666665</v>
      </c>
      <c r="BE11" s="20">
        <f>NovReport[[#This Row],[Salary ]]-NovReport[[#This Row],[Deduction]]</f>
        <v>17333.333333333332</v>
      </c>
      <c r="BF11" s="20"/>
      <c r="BG11" s="24"/>
      <c r="BH11" s="22"/>
      <c r="BI11" s="22"/>
      <c r="BJ11" s="22"/>
      <c r="BK11" s="22"/>
      <c r="BL11" s="22"/>
      <c r="BM11" s="22"/>
      <c r="BN11" s="22"/>
    </row>
    <row r="12" spans="6:67" x14ac:dyDescent="0.25">
      <c r="F12" s="21"/>
      <c r="G12" s="8">
        <v>3</v>
      </c>
      <c r="H12" s="10" t="s">
        <v>5</v>
      </c>
      <c r="I12" s="10">
        <v>1003</v>
      </c>
      <c r="J12" s="47">
        <f t="shared" si="11"/>
        <v>5</v>
      </c>
      <c r="K12" s="16" t="s">
        <v>38</v>
      </c>
      <c r="L12" s="44" t="str">
        <f t="shared" si="2"/>
        <v>WO</v>
      </c>
      <c r="M12" s="16" t="s">
        <v>38</v>
      </c>
      <c r="N12" s="10" t="s">
        <v>38</v>
      </c>
      <c r="O12" s="10" t="s">
        <v>40</v>
      </c>
      <c r="P12" s="10" t="s">
        <v>38</v>
      </c>
      <c r="Q12" s="10" t="s">
        <v>38</v>
      </c>
      <c r="R12" s="16" t="s">
        <v>38</v>
      </c>
      <c r="S12" s="44" t="str">
        <f t="shared" si="2"/>
        <v>WO</v>
      </c>
      <c r="T12" s="16" t="s">
        <v>38</v>
      </c>
      <c r="U12" s="10" t="s">
        <v>38</v>
      </c>
      <c r="V12" s="10" t="s">
        <v>40</v>
      </c>
      <c r="W12" s="10" t="s">
        <v>38</v>
      </c>
      <c r="X12" s="10" t="s">
        <v>38</v>
      </c>
      <c r="Y12" s="16" t="s">
        <v>38</v>
      </c>
      <c r="Z12" s="44" t="str">
        <f t="shared" si="2"/>
        <v>WO</v>
      </c>
      <c r="AA12" s="16" t="s">
        <v>38</v>
      </c>
      <c r="AB12" s="10" t="s">
        <v>38</v>
      </c>
      <c r="AC12" s="10" t="s">
        <v>40</v>
      </c>
      <c r="AD12" s="10" t="s">
        <v>38</v>
      </c>
      <c r="AE12" s="10" t="s">
        <v>38</v>
      </c>
      <c r="AF12" s="16" t="s">
        <v>38</v>
      </c>
      <c r="AG12" s="44" t="str">
        <f t="shared" si="2"/>
        <v>WO</v>
      </c>
      <c r="AH12" s="16" t="s">
        <v>38</v>
      </c>
      <c r="AI12" s="10" t="s">
        <v>38</v>
      </c>
      <c r="AJ12" s="10" t="s">
        <v>40</v>
      </c>
      <c r="AK12" s="10" t="s">
        <v>38</v>
      </c>
      <c r="AL12" s="10" t="s">
        <v>38</v>
      </c>
      <c r="AM12" s="16" t="s">
        <v>38</v>
      </c>
      <c r="AN12" s="44" t="str">
        <f t="shared" si="13"/>
        <v>WO</v>
      </c>
      <c r="AO12" s="32"/>
      <c r="AP12" s="21"/>
      <c r="AQ12" s="24"/>
      <c r="AR12" s="10">
        <v>3</v>
      </c>
      <c r="AS12" s="10" t="s">
        <v>5</v>
      </c>
      <c r="AT12" s="10" t="str">
        <f t="shared" si="5"/>
        <v>November</v>
      </c>
      <c r="AU12" s="10">
        <v>1003</v>
      </c>
      <c r="AV12" s="9">
        <f t="shared" si="6"/>
        <v>21</v>
      </c>
      <c r="AW12" s="16">
        <f t="shared" si="7"/>
        <v>0</v>
      </c>
      <c r="AX12" s="16">
        <f t="shared" si="8"/>
        <v>4</v>
      </c>
      <c r="AY12" s="16">
        <f t="shared" si="9"/>
        <v>5</v>
      </c>
      <c r="AZ12" s="16">
        <f t="shared" si="10"/>
        <v>30</v>
      </c>
      <c r="BA12" s="16">
        <f>NovReport[[#This Row],[Days]]-NovReport[[#This Row],[Absent]]</f>
        <v>30</v>
      </c>
      <c r="BB12" s="19">
        <v>30000</v>
      </c>
      <c r="BC12" s="20">
        <f>NovReport[[#This Row],[Salary ]]/NovReport[[#This Row],[Days]]</f>
        <v>1000</v>
      </c>
      <c r="BD12" s="20">
        <f>NovReport[[#This Row],[Per Day Salary ]]*NovReport[[#This Row],[Absent]]</f>
        <v>0</v>
      </c>
      <c r="BE12" s="20">
        <f>NovReport[[#This Row],[Salary ]]-NovReport[[#This Row],[Deduction]]</f>
        <v>30000</v>
      </c>
      <c r="BF12" s="20"/>
      <c r="BG12" s="24"/>
      <c r="BH12" s="22"/>
      <c r="BI12" s="22"/>
      <c r="BJ12" s="22"/>
      <c r="BK12" s="22"/>
      <c r="BL12" s="22"/>
      <c r="BM12" s="22"/>
      <c r="BN12" s="22"/>
    </row>
    <row r="13" spans="6:67" x14ac:dyDescent="0.25">
      <c r="F13" s="21"/>
      <c r="G13" s="8">
        <v>4</v>
      </c>
      <c r="H13" s="10" t="s">
        <v>6</v>
      </c>
      <c r="I13" s="10">
        <v>1004</v>
      </c>
      <c r="J13" s="47">
        <f t="shared" si="11"/>
        <v>5</v>
      </c>
      <c r="K13" s="16" t="s">
        <v>39</v>
      </c>
      <c r="L13" s="44" t="str">
        <f t="shared" si="2"/>
        <v>WO</v>
      </c>
      <c r="M13" s="16" t="s">
        <v>38</v>
      </c>
      <c r="N13" s="10" t="s">
        <v>38</v>
      </c>
      <c r="O13" s="10" t="s">
        <v>38</v>
      </c>
      <c r="P13" s="10" t="s">
        <v>38</v>
      </c>
      <c r="Q13" s="10" t="s">
        <v>38</v>
      </c>
      <c r="R13" s="16" t="s">
        <v>38</v>
      </c>
      <c r="S13" s="44" t="str">
        <f t="shared" si="2"/>
        <v>WO</v>
      </c>
      <c r="T13" s="16" t="s">
        <v>38</v>
      </c>
      <c r="U13" s="10" t="s">
        <v>38</v>
      </c>
      <c r="V13" s="10" t="s">
        <v>38</v>
      </c>
      <c r="W13" s="10" t="s">
        <v>38</v>
      </c>
      <c r="X13" s="10" t="s">
        <v>38</v>
      </c>
      <c r="Y13" s="16" t="s">
        <v>38</v>
      </c>
      <c r="Z13" s="44" t="str">
        <f t="shared" si="2"/>
        <v>WO</v>
      </c>
      <c r="AA13" s="16" t="s">
        <v>38</v>
      </c>
      <c r="AB13" s="10" t="s">
        <v>38</v>
      </c>
      <c r="AC13" s="10" t="s">
        <v>38</v>
      </c>
      <c r="AD13" s="10" t="s">
        <v>38</v>
      </c>
      <c r="AE13" s="10" t="s">
        <v>38</v>
      </c>
      <c r="AF13" s="16" t="s">
        <v>38</v>
      </c>
      <c r="AG13" s="44" t="str">
        <f t="shared" si="2"/>
        <v>WO</v>
      </c>
      <c r="AH13" s="16" t="s">
        <v>38</v>
      </c>
      <c r="AI13" s="10" t="s">
        <v>38</v>
      </c>
      <c r="AJ13" s="10" t="s">
        <v>38</v>
      </c>
      <c r="AK13" s="10" t="s">
        <v>38</v>
      </c>
      <c r="AL13" s="10" t="s">
        <v>38</v>
      </c>
      <c r="AM13" s="16" t="s">
        <v>38</v>
      </c>
      <c r="AN13" s="44" t="str">
        <f t="shared" si="4"/>
        <v>WO</v>
      </c>
      <c r="AO13" s="32"/>
      <c r="AP13" s="21"/>
      <c r="AQ13" s="24"/>
      <c r="AR13" s="10">
        <v>4</v>
      </c>
      <c r="AS13" s="10" t="s">
        <v>6</v>
      </c>
      <c r="AT13" s="10" t="str">
        <f t="shared" si="5"/>
        <v>November</v>
      </c>
      <c r="AU13" s="10">
        <v>1004</v>
      </c>
      <c r="AV13" s="9">
        <f t="shared" si="6"/>
        <v>24</v>
      </c>
      <c r="AW13" s="16">
        <f t="shared" si="7"/>
        <v>1</v>
      </c>
      <c r="AX13" s="16">
        <f t="shared" si="8"/>
        <v>0</v>
      </c>
      <c r="AY13" s="16">
        <f t="shared" si="9"/>
        <v>5</v>
      </c>
      <c r="AZ13" s="16">
        <f t="shared" si="10"/>
        <v>30</v>
      </c>
      <c r="BA13" s="16">
        <f>NovReport[[#This Row],[Days]]-NovReport[[#This Row],[Absent]]</f>
        <v>29</v>
      </c>
      <c r="BB13" s="19">
        <v>45000</v>
      </c>
      <c r="BC13" s="20">
        <f>NovReport[[#This Row],[Salary ]]/NovReport[[#This Row],[Days]]</f>
        <v>1500</v>
      </c>
      <c r="BD13" s="20">
        <f>NovReport[[#This Row],[Per Day Salary ]]*NovReport[[#This Row],[Absent]]</f>
        <v>1500</v>
      </c>
      <c r="BE13" s="20">
        <f>NovReport[[#This Row],[Salary ]]-NovReport[[#This Row],[Deduction]]</f>
        <v>43500</v>
      </c>
      <c r="BF13" s="20"/>
      <c r="BG13" s="24"/>
      <c r="BH13" s="22"/>
      <c r="BI13" s="22"/>
      <c r="BJ13" s="22"/>
      <c r="BK13" s="22"/>
      <c r="BL13" s="22"/>
      <c r="BM13" s="22"/>
      <c r="BN13" s="22"/>
    </row>
    <row r="14" spans="6:67" x14ac:dyDescent="0.25">
      <c r="F14" s="21"/>
      <c r="G14" s="8">
        <v>5</v>
      </c>
      <c r="H14" s="10" t="s">
        <v>7</v>
      </c>
      <c r="I14" s="10">
        <v>1005</v>
      </c>
      <c r="J14" s="47">
        <f t="shared" si="11"/>
        <v>5</v>
      </c>
      <c r="K14" s="16" t="s">
        <v>38</v>
      </c>
      <c r="L14" s="44" t="str">
        <f t="shared" si="2"/>
        <v>WO</v>
      </c>
      <c r="M14" s="16" t="s">
        <v>38</v>
      </c>
      <c r="N14" s="10" t="s">
        <v>38</v>
      </c>
      <c r="O14" s="10" t="s">
        <v>38</v>
      </c>
      <c r="P14" s="10" t="s">
        <v>38</v>
      </c>
      <c r="Q14" s="10" t="s">
        <v>39</v>
      </c>
      <c r="R14" s="16" t="s">
        <v>38</v>
      </c>
      <c r="S14" s="44" t="str">
        <f t="shared" si="2"/>
        <v>WO</v>
      </c>
      <c r="T14" s="16" t="s">
        <v>38</v>
      </c>
      <c r="U14" s="10" t="s">
        <v>38</v>
      </c>
      <c r="V14" s="10" t="s">
        <v>38</v>
      </c>
      <c r="W14" s="10" t="s">
        <v>38</v>
      </c>
      <c r="X14" s="10" t="s">
        <v>39</v>
      </c>
      <c r="Y14" s="16" t="s">
        <v>38</v>
      </c>
      <c r="Z14" s="44" t="str">
        <f t="shared" si="2"/>
        <v>WO</v>
      </c>
      <c r="AA14" s="16" t="s">
        <v>38</v>
      </c>
      <c r="AB14" s="10" t="s">
        <v>38</v>
      </c>
      <c r="AC14" s="10" t="s">
        <v>38</v>
      </c>
      <c r="AD14" s="10" t="s">
        <v>38</v>
      </c>
      <c r="AE14" s="10" t="s">
        <v>39</v>
      </c>
      <c r="AF14" s="16" t="s">
        <v>38</v>
      </c>
      <c r="AG14" s="44" t="str">
        <f t="shared" si="2"/>
        <v>WO</v>
      </c>
      <c r="AH14" s="16" t="s">
        <v>38</v>
      </c>
      <c r="AI14" s="10" t="s">
        <v>38</v>
      </c>
      <c r="AJ14" s="10" t="s">
        <v>38</v>
      </c>
      <c r="AK14" s="10" t="s">
        <v>38</v>
      </c>
      <c r="AL14" s="10" t="s">
        <v>39</v>
      </c>
      <c r="AM14" s="16" t="s">
        <v>38</v>
      </c>
      <c r="AN14" s="44" t="str">
        <f t="shared" si="4"/>
        <v>WO</v>
      </c>
      <c r="AO14" s="32"/>
      <c r="AP14" s="21"/>
      <c r="AQ14" s="24"/>
      <c r="AR14" s="10">
        <v>5</v>
      </c>
      <c r="AS14" s="10" t="s">
        <v>7</v>
      </c>
      <c r="AT14" s="10" t="str">
        <f t="shared" si="5"/>
        <v>November</v>
      </c>
      <c r="AU14" s="10">
        <v>1005</v>
      </c>
      <c r="AV14" s="9">
        <f t="shared" si="6"/>
        <v>21</v>
      </c>
      <c r="AW14" s="16">
        <f t="shared" si="7"/>
        <v>4</v>
      </c>
      <c r="AX14" s="16">
        <f t="shared" si="8"/>
        <v>0</v>
      </c>
      <c r="AY14" s="16">
        <f t="shared" si="9"/>
        <v>5</v>
      </c>
      <c r="AZ14" s="16">
        <f t="shared" si="10"/>
        <v>30</v>
      </c>
      <c r="BA14" s="16">
        <f>NovReport[[#This Row],[Days]]-NovReport[[#This Row],[Absent]]</f>
        <v>26</v>
      </c>
      <c r="BB14" s="19">
        <v>62000</v>
      </c>
      <c r="BC14" s="20">
        <f>NovReport[[#This Row],[Salary ]]/NovReport[[#This Row],[Days]]</f>
        <v>2066.6666666666665</v>
      </c>
      <c r="BD14" s="20">
        <f>NovReport[[#This Row],[Per Day Salary ]]*NovReport[[#This Row],[Absent]]</f>
        <v>8266.6666666666661</v>
      </c>
      <c r="BE14" s="20">
        <f>NovReport[[#This Row],[Salary ]]-NovReport[[#This Row],[Deduction]]</f>
        <v>53733.333333333336</v>
      </c>
      <c r="BF14" s="20"/>
      <c r="BG14" s="24"/>
      <c r="BH14" s="22"/>
      <c r="BI14" s="22"/>
      <c r="BJ14" s="22"/>
      <c r="BK14" s="22"/>
      <c r="BL14" s="22"/>
      <c r="BM14" s="22"/>
      <c r="BN14" s="22"/>
    </row>
    <row r="15" spans="6:67" x14ac:dyDescent="0.25">
      <c r="F15" s="21"/>
      <c r="G15" s="8">
        <v>6</v>
      </c>
      <c r="H15" s="10" t="s">
        <v>8</v>
      </c>
      <c r="I15" s="10">
        <v>1006</v>
      </c>
      <c r="J15" s="47">
        <f t="shared" si="11"/>
        <v>5</v>
      </c>
      <c r="K15" s="16" t="s">
        <v>38</v>
      </c>
      <c r="L15" s="44" t="str">
        <f t="shared" si="2"/>
        <v>WO</v>
      </c>
      <c r="M15" s="16" t="s">
        <v>38</v>
      </c>
      <c r="N15" s="10" t="s">
        <v>38</v>
      </c>
      <c r="O15" s="10" t="s">
        <v>38</v>
      </c>
      <c r="P15" s="10" t="s">
        <v>38</v>
      </c>
      <c r="Q15" s="10" t="s">
        <v>38</v>
      </c>
      <c r="R15" s="16" t="s">
        <v>38</v>
      </c>
      <c r="S15" s="44" t="str">
        <f t="shared" si="2"/>
        <v>WO</v>
      </c>
      <c r="T15" s="16" t="s">
        <v>38</v>
      </c>
      <c r="U15" s="10" t="s">
        <v>38</v>
      </c>
      <c r="V15" s="10" t="s">
        <v>38</v>
      </c>
      <c r="W15" s="10" t="s">
        <v>38</v>
      </c>
      <c r="X15" s="10" t="s">
        <v>38</v>
      </c>
      <c r="Y15" s="16" t="s">
        <v>38</v>
      </c>
      <c r="Z15" s="44" t="str">
        <f t="shared" si="2"/>
        <v>WO</v>
      </c>
      <c r="AA15" s="16" t="s">
        <v>38</v>
      </c>
      <c r="AB15" s="10" t="s">
        <v>38</v>
      </c>
      <c r="AC15" s="10" t="s">
        <v>38</v>
      </c>
      <c r="AD15" s="10" t="s">
        <v>38</v>
      </c>
      <c r="AE15" s="10" t="s">
        <v>38</v>
      </c>
      <c r="AF15" s="16" t="s">
        <v>38</v>
      </c>
      <c r="AG15" s="44" t="str">
        <f t="shared" si="2"/>
        <v>WO</v>
      </c>
      <c r="AH15" s="16" t="s">
        <v>38</v>
      </c>
      <c r="AI15" s="10" t="s">
        <v>38</v>
      </c>
      <c r="AJ15" s="10" t="s">
        <v>38</v>
      </c>
      <c r="AK15" s="10" t="s">
        <v>38</v>
      </c>
      <c r="AL15" s="10" t="s">
        <v>38</v>
      </c>
      <c r="AM15" s="16" t="s">
        <v>38</v>
      </c>
      <c r="AN15" s="44" t="str">
        <f t="shared" si="4"/>
        <v>WO</v>
      </c>
      <c r="AO15" s="32"/>
      <c r="AP15" s="21"/>
      <c r="AQ15" s="24"/>
      <c r="AR15" s="10">
        <v>6</v>
      </c>
      <c r="AS15" s="10" t="s">
        <v>8</v>
      </c>
      <c r="AT15" s="10" t="str">
        <f t="shared" si="5"/>
        <v>November</v>
      </c>
      <c r="AU15" s="10">
        <v>1006</v>
      </c>
      <c r="AV15" s="9">
        <f t="shared" si="6"/>
        <v>25</v>
      </c>
      <c r="AW15" s="16">
        <f t="shared" si="7"/>
        <v>0</v>
      </c>
      <c r="AX15" s="16">
        <f t="shared" si="8"/>
        <v>0</v>
      </c>
      <c r="AY15" s="16">
        <f t="shared" si="9"/>
        <v>5</v>
      </c>
      <c r="AZ15" s="16">
        <f t="shared" si="10"/>
        <v>30</v>
      </c>
      <c r="BA15" s="16">
        <f>NovReport[[#This Row],[Days]]-NovReport[[#This Row],[Absent]]</f>
        <v>30</v>
      </c>
      <c r="BB15" s="19">
        <v>13000</v>
      </c>
      <c r="BC15" s="20">
        <f>NovReport[[#This Row],[Salary ]]/NovReport[[#This Row],[Days]]</f>
        <v>433.33333333333331</v>
      </c>
      <c r="BD15" s="20">
        <f>NovReport[[#This Row],[Per Day Salary ]]*NovReport[[#This Row],[Absent]]</f>
        <v>0</v>
      </c>
      <c r="BE15" s="20">
        <f>NovReport[[#This Row],[Salary ]]-NovReport[[#This Row],[Deduction]]</f>
        <v>13000</v>
      </c>
      <c r="BF15" s="20"/>
      <c r="BG15" s="24"/>
      <c r="BH15" s="22"/>
      <c r="BI15" s="22"/>
      <c r="BJ15" s="22"/>
      <c r="BK15" s="22"/>
      <c r="BL15" s="22"/>
      <c r="BM15" s="22"/>
      <c r="BN15" s="22"/>
    </row>
    <row r="16" spans="6:67" x14ac:dyDescent="0.25">
      <c r="F16" s="21"/>
      <c r="G16" s="8">
        <v>7</v>
      </c>
      <c r="H16" s="10" t="s">
        <v>9</v>
      </c>
      <c r="I16" s="10">
        <v>1007</v>
      </c>
      <c r="J16" s="47">
        <f t="shared" si="11"/>
        <v>5</v>
      </c>
      <c r="K16" s="16" t="s">
        <v>38</v>
      </c>
      <c r="L16" s="44" t="str">
        <f t="shared" si="2"/>
        <v>WO</v>
      </c>
      <c r="M16" s="16" t="s">
        <v>38</v>
      </c>
      <c r="N16" s="10" t="s">
        <v>39</v>
      </c>
      <c r="O16" s="10" t="s">
        <v>38</v>
      </c>
      <c r="P16" s="10" t="s">
        <v>38</v>
      </c>
      <c r="Q16" s="10" t="s">
        <v>38</v>
      </c>
      <c r="R16" s="16" t="s">
        <v>38</v>
      </c>
      <c r="S16" s="44" t="str">
        <f t="shared" si="2"/>
        <v>WO</v>
      </c>
      <c r="T16" s="16" t="s">
        <v>38</v>
      </c>
      <c r="U16" s="10" t="s">
        <v>39</v>
      </c>
      <c r="V16" s="10" t="s">
        <v>38</v>
      </c>
      <c r="W16" s="10" t="s">
        <v>38</v>
      </c>
      <c r="X16" s="10" t="s">
        <v>38</v>
      </c>
      <c r="Y16" s="16" t="s">
        <v>38</v>
      </c>
      <c r="Z16" s="44" t="str">
        <f t="shared" si="2"/>
        <v>WO</v>
      </c>
      <c r="AA16" s="16" t="s">
        <v>38</v>
      </c>
      <c r="AB16" s="10" t="s">
        <v>39</v>
      </c>
      <c r="AC16" s="10" t="s">
        <v>38</v>
      </c>
      <c r="AD16" s="10" t="s">
        <v>38</v>
      </c>
      <c r="AE16" s="10" t="s">
        <v>38</v>
      </c>
      <c r="AF16" s="16" t="s">
        <v>38</v>
      </c>
      <c r="AG16" s="44" t="str">
        <f t="shared" si="2"/>
        <v>WO</v>
      </c>
      <c r="AH16" s="16" t="s">
        <v>38</v>
      </c>
      <c r="AI16" s="10" t="s">
        <v>39</v>
      </c>
      <c r="AJ16" s="10" t="s">
        <v>38</v>
      </c>
      <c r="AK16" s="10" t="s">
        <v>38</v>
      </c>
      <c r="AL16" s="10" t="s">
        <v>38</v>
      </c>
      <c r="AM16" s="16" t="s">
        <v>38</v>
      </c>
      <c r="AN16" s="44" t="str">
        <f t="shared" si="4"/>
        <v>WO</v>
      </c>
      <c r="AO16" s="32"/>
      <c r="AP16" s="21"/>
      <c r="AQ16" s="24"/>
      <c r="AR16" s="10">
        <v>7</v>
      </c>
      <c r="AS16" s="10" t="s">
        <v>9</v>
      </c>
      <c r="AT16" s="10" t="str">
        <f t="shared" si="5"/>
        <v>November</v>
      </c>
      <c r="AU16" s="10">
        <v>1007</v>
      </c>
      <c r="AV16" s="9">
        <f t="shared" si="6"/>
        <v>21</v>
      </c>
      <c r="AW16" s="16">
        <f t="shared" si="7"/>
        <v>4</v>
      </c>
      <c r="AX16" s="16">
        <f t="shared" si="8"/>
        <v>0</v>
      </c>
      <c r="AY16" s="16">
        <f t="shared" si="9"/>
        <v>5</v>
      </c>
      <c r="AZ16" s="16">
        <f t="shared" si="10"/>
        <v>30</v>
      </c>
      <c r="BA16" s="16">
        <f>NovReport[[#This Row],[Days]]-NovReport[[#This Row],[Absent]]</f>
        <v>26</v>
      </c>
      <c r="BB16" s="19">
        <v>48000</v>
      </c>
      <c r="BC16" s="20">
        <f>NovReport[[#This Row],[Salary ]]/NovReport[[#This Row],[Days]]</f>
        <v>1600</v>
      </c>
      <c r="BD16" s="20">
        <f>NovReport[[#This Row],[Per Day Salary ]]*NovReport[[#This Row],[Absent]]</f>
        <v>6400</v>
      </c>
      <c r="BE16" s="20">
        <f>NovReport[[#This Row],[Salary ]]-NovReport[[#This Row],[Deduction]]</f>
        <v>41600</v>
      </c>
      <c r="BF16" s="20"/>
      <c r="BG16" s="24"/>
      <c r="BH16" s="22"/>
      <c r="BI16" s="22"/>
      <c r="BJ16" s="22"/>
      <c r="BK16" s="22"/>
      <c r="BL16" s="22"/>
      <c r="BM16" s="22"/>
      <c r="BN16" s="22"/>
    </row>
    <row r="17" spans="6:66" x14ac:dyDescent="0.25">
      <c r="F17" s="21"/>
      <c r="G17" s="8">
        <v>8</v>
      </c>
      <c r="H17" s="10" t="s">
        <v>10</v>
      </c>
      <c r="I17" s="10">
        <v>1008</v>
      </c>
      <c r="J17" s="47">
        <f t="shared" si="11"/>
        <v>5</v>
      </c>
      <c r="K17" s="16" t="s">
        <v>38</v>
      </c>
      <c r="L17" s="44" t="str">
        <f t="shared" si="2"/>
        <v>WO</v>
      </c>
      <c r="M17" s="16" t="s">
        <v>38</v>
      </c>
      <c r="N17" s="10" t="s">
        <v>38</v>
      </c>
      <c r="O17" s="10" t="s">
        <v>38</v>
      </c>
      <c r="P17" s="10" t="s">
        <v>38</v>
      </c>
      <c r="Q17" s="10" t="s">
        <v>38</v>
      </c>
      <c r="R17" s="16" t="s">
        <v>38</v>
      </c>
      <c r="S17" s="44" t="str">
        <f t="shared" si="2"/>
        <v>WO</v>
      </c>
      <c r="T17" s="16" t="s">
        <v>38</v>
      </c>
      <c r="U17" s="10" t="s">
        <v>38</v>
      </c>
      <c r="V17" s="10" t="s">
        <v>38</v>
      </c>
      <c r="W17" s="10" t="s">
        <v>38</v>
      </c>
      <c r="X17" s="10" t="s">
        <v>38</v>
      </c>
      <c r="Y17" s="16" t="s">
        <v>38</v>
      </c>
      <c r="Z17" s="44" t="str">
        <f t="shared" si="2"/>
        <v>WO</v>
      </c>
      <c r="AA17" s="16" t="s">
        <v>38</v>
      </c>
      <c r="AB17" s="10" t="s">
        <v>38</v>
      </c>
      <c r="AC17" s="10" t="s">
        <v>38</v>
      </c>
      <c r="AD17" s="10" t="s">
        <v>38</v>
      </c>
      <c r="AE17" s="10" t="s">
        <v>38</v>
      </c>
      <c r="AF17" s="16" t="s">
        <v>38</v>
      </c>
      <c r="AG17" s="44" t="str">
        <f t="shared" si="2"/>
        <v>WO</v>
      </c>
      <c r="AH17" s="16" t="s">
        <v>38</v>
      </c>
      <c r="AI17" s="10" t="s">
        <v>38</v>
      </c>
      <c r="AJ17" s="10" t="s">
        <v>38</v>
      </c>
      <c r="AK17" s="10" t="s">
        <v>38</v>
      </c>
      <c r="AL17" s="10" t="s">
        <v>38</v>
      </c>
      <c r="AM17" s="16" t="s">
        <v>38</v>
      </c>
      <c r="AN17" s="44" t="str">
        <f t="shared" si="4"/>
        <v>WO</v>
      </c>
      <c r="AO17" s="32"/>
      <c r="AP17" s="21"/>
      <c r="AQ17" s="24"/>
      <c r="AR17" s="10">
        <v>8</v>
      </c>
      <c r="AS17" s="10" t="s">
        <v>10</v>
      </c>
      <c r="AT17" s="10" t="str">
        <f t="shared" si="5"/>
        <v>November</v>
      </c>
      <c r="AU17" s="10">
        <v>1008</v>
      </c>
      <c r="AV17" s="9">
        <f t="shared" si="6"/>
        <v>25</v>
      </c>
      <c r="AW17" s="16">
        <f t="shared" si="7"/>
        <v>0</v>
      </c>
      <c r="AX17" s="16">
        <f t="shared" si="8"/>
        <v>0</v>
      </c>
      <c r="AY17" s="16">
        <f t="shared" si="9"/>
        <v>5</v>
      </c>
      <c r="AZ17" s="16">
        <f t="shared" si="10"/>
        <v>30</v>
      </c>
      <c r="BA17" s="16">
        <f>NovReport[[#This Row],[Days]]-NovReport[[#This Row],[Absent]]</f>
        <v>30</v>
      </c>
      <c r="BB17" s="19">
        <v>17000</v>
      </c>
      <c r="BC17" s="20">
        <f>NovReport[[#This Row],[Salary ]]/NovReport[[#This Row],[Days]]</f>
        <v>566.66666666666663</v>
      </c>
      <c r="BD17" s="20">
        <f>NovReport[[#This Row],[Per Day Salary ]]*NovReport[[#This Row],[Absent]]</f>
        <v>0</v>
      </c>
      <c r="BE17" s="20">
        <f>NovReport[[#This Row],[Salary ]]-NovReport[[#This Row],[Deduction]]</f>
        <v>17000</v>
      </c>
      <c r="BF17" s="20"/>
      <c r="BG17" s="24"/>
      <c r="BH17" s="22"/>
      <c r="BI17" s="22"/>
      <c r="BJ17" s="22"/>
      <c r="BK17" s="22"/>
      <c r="BL17" s="22"/>
      <c r="BM17" s="22"/>
      <c r="BN17" s="22"/>
    </row>
    <row r="18" spans="6:66" x14ac:dyDescent="0.25">
      <c r="F18" s="21"/>
      <c r="G18" s="8">
        <v>9</v>
      </c>
      <c r="H18" s="10" t="s">
        <v>11</v>
      </c>
      <c r="I18" s="10">
        <v>1009</v>
      </c>
      <c r="J18" s="47">
        <f t="shared" si="11"/>
        <v>5</v>
      </c>
      <c r="K18" s="16" t="s">
        <v>38</v>
      </c>
      <c r="L18" s="44" t="str">
        <f t="shared" si="2"/>
        <v>WO</v>
      </c>
      <c r="M18" s="16" t="s">
        <v>38</v>
      </c>
      <c r="N18" s="10" t="s">
        <v>38</v>
      </c>
      <c r="O18" s="10" t="s">
        <v>38</v>
      </c>
      <c r="P18" s="10" t="s">
        <v>40</v>
      </c>
      <c r="Q18" s="10" t="s">
        <v>38</v>
      </c>
      <c r="R18" s="16" t="s">
        <v>38</v>
      </c>
      <c r="S18" s="44" t="str">
        <f t="shared" si="2"/>
        <v>WO</v>
      </c>
      <c r="T18" s="16" t="s">
        <v>38</v>
      </c>
      <c r="U18" s="10" t="s">
        <v>38</v>
      </c>
      <c r="V18" s="10" t="s">
        <v>38</v>
      </c>
      <c r="W18" s="10" t="s">
        <v>40</v>
      </c>
      <c r="X18" s="10" t="s">
        <v>38</v>
      </c>
      <c r="Y18" s="16" t="s">
        <v>38</v>
      </c>
      <c r="Z18" s="44" t="str">
        <f t="shared" si="2"/>
        <v>WO</v>
      </c>
      <c r="AA18" s="16" t="s">
        <v>38</v>
      </c>
      <c r="AB18" s="10" t="s">
        <v>38</v>
      </c>
      <c r="AC18" s="10" t="s">
        <v>38</v>
      </c>
      <c r="AD18" s="10" t="s">
        <v>40</v>
      </c>
      <c r="AE18" s="10" t="s">
        <v>38</v>
      </c>
      <c r="AF18" s="16" t="s">
        <v>38</v>
      </c>
      <c r="AG18" s="44" t="str">
        <f t="shared" si="2"/>
        <v>WO</v>
      </c>
      <c r="AH18" s="16" t="s">
        <v>38</v>
      </c>
      <c r="AI18" s="10" t="s">
        <v>38</v>
      </c>
      <c r="AJ18" s="10" t="s">
        <v>38</v>
      </c>
      <c r="AK18" s="10" t="s">
        <v>40</v>
      </c>
      <c r="AL18" s="10" t="s">
        <v>38</v>
      </c>
      <c r="AM18" s="16" t="s">
        <v>38</v>
      </c>
      <c r="AN18" s="44" t="str">
        <f t="shared" si="4"/>
        <v>WO</v>
      </c>
      <c r="AO18" s="32"/>
      <c r="AP18" s="21"/>
      <c r="AQ18" s="24"/>
      <c r="AR18" s="10">
        <v>9</v>
      </c>
      <c r="AS18" s="10" t="s">
        <v>11</v>
      </c>
      <c r="AT18" s="10" t="str">
        <f t="shared" si="5"/>
        <v>November</v>
      </c>
      <c r="AU18" s="10">
        <v>1009</v>
      </c>
      <c r="AV18" s="9">
        <f t="shared" si="6"/>
        <v>21</v>
      </c>
      <c r="AW18" s="16">
        <f t="shared" si="7"/>
        <v>0</v>
      </c>
      <c r="AX18" s="16">
        <f t="shared" si="8"/>
        <v>4</v>
      </c>
      <c r="AY18" s="16">
        <f t="shared" si="9"/>
        <v>5</v>
      </c>
      <c r="AZ18" s="16">
        <f t="shared" si="10"/>
        <v>30</v>
      </c>
      <c r="BA18" s="16">
        <f>NovReport[[#This Row],[Days]]-NovReport[[#This Row],[Absent]]</f>
        <v>30</v>
      </c>
      <c r="BB18" s="19">
        <v>39000</v>
      </c>
      <c r="BC18" s="20">
        <f>NovReport[[#This Row],[Salary ]]/NovReport[[#This Row],[Days]]</f>
        <v>1300</v>
      </c>
      <c r="BD18" s="20">
        <f>NovReport[[#This Row],[Per Day Salary ]]*NovReport[[#This Row],[Absent]]</f>
        <v>0</v>
      </c>
      <c r="BE18" s="20">
        <f>NovReport[[#This Row],[Salary ]]-NovReport[[#This Row],[Deduction]]</f>
        <v>39000</v>
      </c>
      <c r="BF18" s="20"/>
      <c r="BG18" s="24"/>
      <c r="BH18" s="22"/>
      <c r="BI18" s="22"/>
      <c r="BJ18" s="22"/>
      <c r="BK18" s="22"/>
      <c r="BL18" s="22"/>
      <c r="BM18" s="22"/>
      <c r="BN18" s="22"/>
    </row>
    <row r="19" spans="6:66" x14ac:dyDescent="0.25">
      <c r="F19" s="21"/>
      <c r="G19" s="8">
        <v>10</v>
      </c>
      <c r="H19" s="10" t="s">
        <v>3</v>
      </c>
      <c r="I19" s="10">
        <v>1010</v>
      </c>
      <c r="J19" s="47">
        <f t="shared" si="11"/>
        <v>5</v>
      </c>
      <c r="K19" s="16" t="s">
        <v>38</v>
      </c>
      <c r="L19" s="44" t="str">
        <f t="shared" si="2"/>
        <v>WO</v>
      </c>
      <c r="M19" s="16" t="s">
        <v>38</v>
      </c>
      <c r="N19" s="10" t="s">
        <v>38</v>
      </c>
      <c r="O19" s="10" t="s">
        <v>38</v>
      </c>
      <c r="P19" s="10" t="s">
        <v>38</v>
      </c>
      <c r="Q19" s="10" t="s">
        <v>38</v>
      </c>
      <c r="R19" s="16" t="s">
        <v>38</v>
      </c>
      <c r="S19" s="44" t="str">
        <f t="shared" si="2"/>
        <v>WO</v>
      </c>
      <c r="T19" s="16" t="s">
        <v>38</v>
      </c>
      <c r="U19" s="10" t="s">
        <v>38</v>
      </c>
      <c r="V19" s="10" t="s">
        <v>38</v>
      </c>
      <c r="W19" s="10" t="s">
        <v>38</v>
      </c>
      <c r="X19" s="10" t="s">
        <v>38</v>
      </c>
      <c r="Y19" s="16" t="s">
        <v>38</v>
      </c>
      <c r="Z19" s="44" t="str">
        <f t="shared" si="2"/>
        <v>WO</v>
      </c>
      <c r="AA19" s="16" t="s">
        <v>38</v>
      </c>
      <c r="AB19" s="10" t="s">
        <v>38</v>
      </c>
      <c r="AC19" s="10" t="s">
        <v>38</v>
      </c>
      <c r="AD19" s="10" t="s">
        <v>38</v>
      </c>
      <c r="AE19" s="10" t="s">
        <v>38</v>
      </c>
      <c r="AF19" s="16" t="s">
        <v>38</v>
      </c>
      <c r="AG19" s="44" t="str">
        <f t="shared" si="2"/>
        <v>WO</v>
      </c>
      <c r="AH19" s="16" t="s">
        <v>38</v>
      </c>
      <c r="AI19" s="10" t="s">
        <v>38</v>
      </c>
      <c r="AJ19" s="10" t="s">
        <v>38</v>
      </c>
      <c r="AK19" s="10" t="s">
        <v>38</v>
      </c>
      <c r="AL19" s="10" t="s">
        <v>38</v>
      </c>
      <c r="AM19" s="16" t="s">
        <v>38</v>
      </c>
      <c r="AN19" s="44" t="str">
        <f t="shared" si="4"/>
        <v>WO</v>
      </c>
      <c r="AO19" s="32"/>
      <c r="AP19" s="21"/>
      <c r="AQ19" s="24"/>
      <c r="AR19" s="10">
        <v>10</v>
      </c>
      <c r="AS19" s="10" t="s">
        <v>3</v>
      </c>
      <c r="AT19" s="10" t="str">
        <f t="shared" si="5"/>
        <v>November</v>
      </c>
      <c r="AU19" s="10">
        <v>1010</v>
      </c>
      <c r="AV19" s="9">
        <f t="shared" si="6"/>
        <v>25</v>
      </c>
      <c r="AW19" s="16">
        <f t="shared" si="7"/>
        <v>0</v>
      </c>
      <c r="AX19" s="16">
        <f t="shared" si="8"/>
        <v>0</v>
      </c>
      <c r="AY19" s="16">
        <f t="shared" si="9"/>
        <v>5</v>
      </c>
      <c r="AZ19" s="16">
        <f t="shared" si="10"/>
        <v>30</v>
      </c>
      <c r="BA19" s="16">
        <f>NovReport[[#This Row],[Days]]-NovReport[[#This Row],[Absent]]</f>
        <v>30</v>
      </c>
      <c r="BB19" s="19">
        <v>72000</v>
      </c>
      <c r="BC19" s="20">
        <f>NovReport[[#This Row],[Salary ]]/NovReport[[#This Row],[Days]]</f>
        <v>2400</v>
      </c>
      <c r="BD19" s="20">
        <f>NovReport[[#This Row],[Per Day Salary ]]*NovReport[[#This Row],[Absent]]</f>
        <v>0</v>
      </c>
      <c r="BE19" s="20">
        <f>NovReport[[#This Row],[Salary ]]-NovReport[[#This Row],[Deduction]]</f>
        <v>72000</v>
      </c>
      <c r="BF19" s="20"/>
      <c r="BG19" s="24"/>
      <c r="BH19" s="22"/>
      <c r="BI19" s="22"/>
      <c r="BJ19" s="22"/>
      <c r="BK19" s="22"/>
      <c r="BL19" s="22"/>
      <c r="BM19" s="22"/>
      <c r="BN19" s="22"/>
    </row>
    <row r="20" spans="6:66" x14ac:dyDescent="0.25">
      <c r="F20" s="21"/>
      <c r="G20" s="8">
        <v>11</v>
      </c>
      <c r="H20" s="9" t="s">
        <v>12</v>
      </c>
      <c r="I20" s="10">
        <v>1011</v>
      </c>
      <c r="J20" s="47">
        <f t="shared" si="11"/>
        <v>5</v>
      </c>
      <c r="K20" s="16" t="s">
        <v>38</v>
      </c>
      <c r="L20" s="44" t="str">
        <f t="shared" si="2"/>
        <v>WO</v>
      </c>
      <c r="M20" s="16" t="s">
        <v>38</v>
      </c>
      <c r="N20" s="10" t="s">
        <v>38</v>
      </c>
      <c r="O20" s="10" t="s">
        <v>38</v>
      </c>
      <c r="P20" s="10" t="s">
        <v>40</v>
      </c>
      <c r="Q20" s="10" t="s">
        <v>38</v>
      </c>
      <c r="R20" s="16" t="s">
        <v>38</v>
      </c>
      <c r="S20" s="44" t="str">
        <f t="shared" si="2"/>
        <v>WO</v>
      </c>
      <c r="T20" s="16" t="s">
        <v>38</v>
      </c>
      <c r="U20" s="10" t="s">
        <v>38</v>
      </c>
      <c r="V20" s="10" t="s">
        <v>38</v>
      </c>
      <c r="W20" s="10" t="s">
        <v>40</v>
      </c>
      <c r="X20" s="10" t="s">
        <v>38</v>
      </c>
      <c r="Y20" s="16" t="s">
        <v>38</v>
      </c>
      <c r="Z20" s="44" t="str">
        <f t="shared" si="2"/>
        <v>WO</v>
      </c>
      <c r="AA20" s="16" t="s">
        <v>38</v>
      </c>
      <c r="AB20" s="10" t="s">
        <v>38</v>
      </c>
      <c r="AC20" s="10" t="s">
        <v>38</v>
      </c>
      <c r="AD20" s="10" t="s">
        <v>40</v>
      </c>
      <c r="AE20" s="10" t="s">
        <v>38</v>
      </c>
      <c r="AF20" s="16" t="s">
        <v>38</v>
      </c>
      <c r="AG20" s="44" t="str">
        <f t="shared" ref="AG20" si="14">IF(AG$8="SUN","WO","")</f>
        <v>WO</v>
      </c>
      <c r="AH20" s="16" t="s">
        <v>38</v>
      </c>
      <c r="AI20" s="10" t="s">
        <v>38</v>
      </c>
      <c r="AJ20" s="10" t="s">
        <v>38</v>
      </c>
      <c r="AK20" s="10" t="s">
        <v>40</v>
      </c>
      <c r="AL20" s="10" t="s">
        <v>38</v>
      </c>
      <c r="AM20" s="16" t="s">
        <v>38</v>
      </c>
      <c r="AN20" s="44" t="str">
        <f t="shared" si="4"/>
        <v>WO</v>
      </c>
      <c r="AO20" s="32"/>
      <c r="AP20" s="21"/>
      <c r="AQ20" s="24"/>
      <c r="AR20" s="10">
        <v>11</v>
      </c>
      <c r="AS20" s="9" t="s">
        <v>12</v>
      </c>
      <c r="AT20" s="9" t="str">
        <f t="shared" si="5"/>
        <v>November</v>
      </c>
      <c r="AU20" s="10">
        <v>1011</v>
      </c>
      <c r="AV20" s="9">
        <f t="shared" si="6"/>
        <v>21</v>
      </c>
      <c r="AW20" s="16">
        <f t="shared" si="7"/>
        <v>0</v>
      </c>
      <c r="AX20" s="16">
        <f t="shared" si="8"/>
        <v>4</v>
      </c>
      <c r="AY20" s="16">
        <f t="shared" si="9"/>
        <v>5</v>
      </c>
      <c r="AZ20" s="16">
        <f t="shared" si="10"/>
        <v>30</v>
      </c>
      <c r="BA20" s="16">
        <f>NovReport[[#This Row],[Days]]-NovReport[[#This Row],[Absent]]</f>
        <v>30</v>
      </c>
      <c r="BB20" s="19">
        <v>13000</v>
      </c>
      <c r="BC20" s="20">
        <f>NovReport[[#This Row],[Salary ]]/NovReport[[#This Row],[Days]]</f>
        <v>433.33333333333331</v>
      </c>
      <c r="BD20" s="20">
        <f>NovReport[[#This Row],[Per Day Salary ]]*NovReport[[#This Row],[Absent]]</f>
        <v>0</v>
      </c>
      <c r="BE20" s="20">
        <f>NovReport[[#This Row],[Salary ]]-NovReport[[#This Row],[Deduction]]</f>
        <v>13000</v>
      </c>
      <c r="BF20" s="20"/>
      <c r="BG20" s="24"/>
      <c r="BH20" s="22"/>
      <c r="BI20" s="22"/>
      <c r="BJ20" s="22"/>
      <c r="BK20" s="22"/>
      <c r="BL20" s="22"/>
      <c r="BM20" s="22"/>
      <c r="BN20" s="22"/>
    </row>
    <row r="21" spans="6:66" x14ac:dyDescent="0.25">
      <c r="F21" s="21"/>
      <c r="G21" s="8">
        <v>12</v>
      </c>
      <c r="H21" s="10" t="s">
        <v>13</v>
      </c>
      <c r="I21" s="10">
        <v>1012</v>
      </c>
      <c r="J21" s="47">
        <f t="shared" si="11"/>
        <v>5</v>
      </c>
      <c r="K21" s="16" t="s">
        <v>38</v>
      </c>
      <c r="L21" s="44" t="str">
        <f t="shared" si="12"/>
        <v>WO</v>
      </c>
      <c r="M21" s="16" t="s">
        <v>38</v>
      </c>
      <c r="N21" s="10" t="s">
        <v>38</v>
      </c>
      <c r="O21" s="10" t="s">
        <v>38</v>
      </c>
      <c r="P21" s="10" t="s">
        <v>38</v>
      </c>
      <c r="Q21" s="10" t="s">
        <v>38</v>
      </c>
      <c r="R21" s="16" t="s">
        <v>38</v>
      </c>
      <c r="S21" s="44" t="str">
        <f t="shared" si="12"/>
        <v>WO</v>
      </c>
      <c r="T21" s="16" t="s">
        <v>38</v>
      </c>
      <c r="U21" s="10" t="s">
        <v>38</v>
      </c>
      <c r="V21" s="10" t="s">
        <v>38</v>
      </c>
      <c r="W21" s="10" t="s">
        <v>38</v>
      </c>
      <c r="X21" s="10" t="s">
        <v>38</v>
      </c>
      <c r="Y21" s="16" t="s">
        <v>38</v>
      </c>
      <c r="Z21" s="44" t="str">
        <f t="shared" si="12"/>
        <v>WO</v>
      </c>
      <c r="AA21" s="16" t="s">
        <v>38</v>
      </c>
      <c r="AB21" s="10" t="s">
        <v>38</v>
      </c>
      <c r="AC21" s="10" t="s">
        <v>38</v>
      </c>
      <c r="AD21" s="10" t="s">
        <v>38</v>
      </c>
      <c r="AE21" s="10" t="s">
        <v>38</v>
      </c>
      <c r="AF21" s="16" t="s">
        <v>38</v>
      </c>
      <c r="AG21" s="44" t="str">
        <f t="shared" ref="AG21:AG29" si="15">IF(AG$8="SUN","WO","")</f>
        <v>WO</v>
      </c>
      <c r="AH21" s="16" t="s">
        <v>38</v>
      </c>
      <c r="AI21" s="10" t="s">
        <v>38</v>
      </c>
      <c r="AJ21" s="10" t="s">
        <v>38</v>
      </c>
      <c r="AK21" s="10" t="s">
        <v>38</v>
      </c>
      <c r="AL21" s="10" t="s">
        <v>38</v>
      </c>
      <c r="AM21" s="16" t="s">
        <v>38</v>
      </c>
      <c r="AN21" s="44" t="str">
        <f t="shared" si="4"/>
        <v>WO</v>
      </c>
      <c r="AO21" s="32"/>
      <c r="AP21" s="21"/>
      <c r="AQ21" s="24"/>
      <c r="AR21" s="10">
        <v>12</v>
      </c>
      <c r="AS21" s="10" t="s">
        <v>13</v>
      </c>
      <c r="AT21" s="10" t="str">
        <f t="shared" si="5"/>
        <v>November</v>
      </c>
      <c r="AU21" s="10">
        <v>1012</v>
      </c>
      <c r="AV21" s="9">
        <f t="shared" si="6"/>
        <v>25</v>
      </c>
      <c r="AW21" s="16">
        <f t="shared" si="7"/>
        <v>0</v>
      </c>
      <c r="AX21" s="16">
        <f t="shared" si="8"/>
        <v>0</v>
      </c>
      <c r="AY21" s="16">
        <f t="shared" si="9"/>
        <v>5</v>
      </c>
      <c r="AZ21" s="16">
        <f t="shared" si="10"/>
        <v>30</v>
      </c>
      <c r="BA21" s="16">
        <f>NovReport[[#This Row],[Days]]-NovReport[[#This Row],[Absent]]</f>
        <v>30</v>
      </c>
      <c r="BB21" s="19">
        <v>22000</v>
      </c>
      <c r="BC21" s="20">
        <f>NovReport[[#This Row],[Salary ]]/NovReport[[#This Row],[Days]]</f>
        <v>733.33333333333337</v>
      </c>
      <c r="BD21" s="20">
        <f>NovReport[[#This Row],[Per Day Salary ]]*NovReport[[#This Row],[Absent]]</f>
        <v>0</v>
      </c>
      <c r="BE21" s="20">
        <f>NovReport[[#This Row],[Salary ]]-NovReport[[#This Row],[Deduction]]</f>
        <v>22000</v>
      </c>
      <c r="BF21" s="20"/>
      <c r="BG21" s="24"/>
      <c r="BH21" s="22"/>
      <c r="BI21" s="22"/>
      <c r="BJ21" s="22"/>
      <c r="BK21" s="22"/>
      <c r="BL21" s="22"/>
      <c r="BM21" s="22"/>
      <c r="BN21" s="22"/>
    </row>
    <row r="22" spans="6:66" x14ac:dyDescent="0.25">
      <c r="F22" s="21"/>
      <c r="G22" s="8">
        <v>13</v>
      </c>
      <c r="H22" s="10" t="s">
        <v>14</v>
      </c>
      <c r="I22" s="10">
        <v>1013</v>
      </c>
      <c r="J22" s="47">
        <f t="shared" si="11"/>
        <v>5</v>
      </c>
      <c r="K22" s="16" t="s">
        <v>38</v>
      </c>
      <c r="L22" s="44" t="str">
        <f t="shared" si="12"/>
        <v>WO</v>
      </c>
      <c r="M22" s="16" t="s">
        <v>40</v>
      </c>
      <c r="N22" s="10" t="s">
        <v>38</v>
      </c>
      <c r="O22" s="10" t="s">
        <v>38</v>
      </c>
      <c r="P22" s="10" t="s">
        <v>38</v>
      </c>
      <c r="Q22" s="10" t="s">
        <v>38</v>
      </c>
      <c r="R22" s="16" t="s">
        <v>38</v>
      </c>
      <c r="S22" s="44" t="str">
        <f t="shared" si="12"/>
        <v>WO</v>
      </c>
      <c r="T22" s="16" t="s">
        <v>40</v>
      </c>
      <c r="U22" s="10" t="s">
        <v>38</v>
      </c>
      <c r="V22" s="10" t="s">
        <v>38</v>
      </c>
      <c r="W22" s="10" t="s">
        <v>38</v>
      </c>
      <c r="X22" s="10" t="s">
        <v>38</v>
      </c>
      <c r="Y22" s="16" t="s">
        <v>38</v>
      </c>
      <c r="Z22" s="44" t="str">
        <f t="shared" si="12"/>
        <v>WO</v>
      </c>
      <c r="AA22" s="16" t="s">
        <v>40</v>
      </c>
      <c r="AB22" s="10" t="s">
        <v>38</v>
      </c>
      <c r="AC22" s="10" t="s">
        <v>38</v>
      </c>
      <c r="AD22" s="10" t="s">
        <v>38</v>
      </c>
      <c r="AE22" s="10" t="s">
        <v>38</v>
      </c>
      <c r="AF22" s="16" t="s">
        <v>38</v>
      </c>
      <c r="AG22" s="44" t="str">
        <f t="shared" si="15"/>
        <v>WO</v>
      </c>
      <c r="AH22" s="16" t="s">
        <v>40</v>
      </c>
      <c r="AI22" s="10" t="s">
        <v>38</v>
      </c>
      <c r="AJ22" s="10" t="s">
        <v>38</v>
      </c>
      <c r="AK22" s="10" t="s">
        <v>38</v>
      </c>
      <c r="AL22" s="10" t="s">
        <v>38</v>
      </c>
      <c r="AM22" s="16" t="s">
        <v>38</v>
      </c>
      <c r="AN22" s="44" t="str">
        <f t="shared" si="4"/>
        <v>WO</v>
      </c>
      <c r="AO22" s="32"/>
      <c r="AP22" s="21"/>
      <c r="AQ22" s="24"/>
      <c r="AR22" s="10">
        <v>13</v>
      </c>
      <c r="AS22" s="10" t="s">
        <v>14</v>
      </c>
      <c r="AT22" s="10" t="str">
        <f t="shared" si="5"/>
        <v>November</v>
      </c>
      <c r="AU22" s="10">
        <v>1013</v>
      </c>
      <c r="AV22" s="9">
        <f t="shared" si="6"/>
        <v>21</v>
      </c>
      <c r="AW22" s="16">
        <f t="shared" si="7"/>
        <v>0</v>
      </c>
      <c r="AX22" s="16">
        <f t="shared" si="8"/>
        <v>4</v>
      </c>
      <c r="AY22" s="16">
        <f t="shared" si="9"/>
        <v>5</v>
      </c>
      <c r="AZ22" s="16">
        <f t="shared" si="10"/>
        <v>30</v>
      </c>
      <c r="BA22" s="16">
        <f>NovReport[[#This Row],[Days]]-NovReport[[#This Row],[Absent]]</f>
        <v>30</v>
      </c>
      <c r="BB22" s="19">
        <v>35000</v>
      </c>
      <c r="BC22" s="20">
        <f>NovReport[[#This Row],[Salary ]]/NovReport[[#This Row],[Days]]</f>
        <v>1166.6666666666667</v>
      </c>
      <c r="BD22" s="20">
        <f>NovReport[[#This Row],[Per Day Salary ]]*NovReport[[#This Row],[Absent]]</f>
        <v>0</v>
      </c>
      <c r="BE22" s="20">
        <f>NovReport[[#This Row],[Salary ]]-NovReport[[#This Row],[Deduction]]</f>
        <v>35000</v>
      </c>
      <c r="BF22" s="20"/>
      <c r="BG22" s="24"/>
      <c r="BH22" s="22"/>
      <c r="BI22" s="22"/>
      <c r="BJ22" s="22"/>
      <c r="BK22" s="22"/>
      <c r="BL22" s="22"/>
      <c r="BM22" s="22"/>
      <c r="BN22" s="22"/>
    </row>
    <row r="23" spans="6:66" x14ac:dyDescent="0.25">
      <c r="F23" s="21"/>
      <c r="G23" s="8">
        <v>14</v>
      </c>
      <c r="H23" s="10" t="s">
        <v>15</v>
      </c>
      <c r="I23" s="10">
        <v>1014</v>
      </c>
      <c r="J23" s="47">
        <f t="shared" si="11"/>
        <v>5</v>
      </c>
      <c r="K23" s="16" t="s">
        <v>38</v>
      </c>
      <c r="L23" s="44" t="str">
        <f t="shared" si="12"/>
        <v>WO</v>
      </c>
      <c r="M23" s="16" t="s">
        <v>38</v>
      </c>
      <c r="N23" s="10" t="s">
        <v>38</v>
      </c>
      <c r="O23" s="10" t="s">
        <v>38</v>
      </c>
      <c r="P23" s="10" t="s">
        <v>38</v>
      </c>
      <c r="Q23" s="10" t="s">
        <v>38</v>
      </c>
      <c r="R23" s="16" t="s">
        <v>38</v>
      </c>
      <c r="S23" s="44" t="str">
        <f t="shared" si="12"/>
        <v>WO</v>
      </c>
      <c r="T23" s="16" t="s">
        <v>38</v>
      </c>
      <c r="U23" s="10" t="s">
        <v>38</v>
      </c>
      <c r="V23" s="10" t="s">
        <v>38</v>
      </c>
      <c r="W23" s="10" t="s">
        <v>38</v>
      </c>
      <c r="X23" s="10" t="s">
        <v>38</v>
      </c>
      <c r="Y23" s="16" t="s">
        <v>38</v>
      </c>
      <c r="Z23" s="44" t="str">
        <f t="shared" si="12"/>
        <v>WO</v>
      </c>
      <c r="AA23" s="16" t="s">
        <v>38</v>
      </c>
      <c r="AB23" s="10" t="s">
        <v>38</v>
      </c>
      <c r="AC23" s="10" t="s">
        <v>38</v>
      </c>
      <c r="AD23" s="10" t="s">
        <v>38</v>
      </c>
      <c r="AE23" s="10" t="s">
        <v>38</v>
      </c>
      <c r="AF23" s="16" t="s">
        <v>38</v>
      </c>
      <c r="AG23" s="44" t="str">
        <f t="shared" si="15"/>
        <v>WO</v>
      </c>
      <c r="AH23" s="16" t="s">
        <v>38</v>
      </c>
      <c r="AI23" s="10" t="s">
        <v>38</v>
      </c>
      <c r="AJ23" s="10" t="s">
        <v>38</v>
      </c>
      <c r="AK23" s="10" t="s">
        <v>38</v>
      </c>
      <c r="AL23" s="10" t="s">
        <v>38</v>
      </c>
      <c r="AM23" s="16" t="s">
        <v>38</v>
      </c>
      <c r="AN23" s="44" t="str">
        <f t="shared" si="4"/>
        <v>WO</v>
      </c>
      <c r="AO23" s="32"/>
      <c r="AP23" s="21"/>
      <c r="AQ23" s="24"/>
      <c r="AR23" s="10">
        <v>14</v>
      </c>
      <c r="AS23" s="10" t="s">
        <v>15</v>
      </c>
      <c r="AT23" s="10" t="str">
        <f t="shared" si="5"/>
        <v>November</v>
      </c>
      <c r="AU23" s="10">
        <v>1014</v>
      </c>
      <c r="AV23" s="9">
        <f t="shared" si="6"/>
        <v>25</v>
      </c>
      <c r="AW23" s="16">
        <f t="shared" si="7"/>
        <v>0</v>
      </c>
      <c r="AX23" s="16">
        <f t="shared" si="8"/>
        <v>0</v>
      </c>
      <c r="AY23" s="16">
        <f t="shared" si="9"/>
        <v>5</v>
      </c>
      <c r="AZ23" s="16">
        <f t="shared" si="10"/>
        <v>30</v>
      </c>
      <c r="BA23" s="16">
        <f>NovReport[[#This Row],[Days]]-NovReport[[#This Row],[Absent]]</f>
        <v>30</v>
      </c>
      <c r="BB23" s="19">
        <v>14000</v>
      </c>
      <c r="BC23" s="20">
        <f>NovReport[[#This Row],[Salary ]]/NovReport[[#This Row],[Days]]</f>
        <v>466.66666666666669</v>
      </c>
      <c r="BD23" s="20">
        <f>NovReport[[#This Row],[Per Day Salary ]]*NovReport[[#This Row],[Absent]]</f>
        <v>0</v>
      </c>
      <c r="BE23" s="20">
        <f>NovReport[[#This Row],[Salary ]]-NovReport[[#This Row],[Deduction]]</f>
        <v>14000</v>
      </c>
      <c r="BF23" s="20"/>
      <c r="BG23" s="24"/>
      <c r="BH23" s="22"/>
      <c r="BI23" s="22"/>
      <c r="BJ23" s="22"/>
      <c r="BK23" s="22"/>
      <c r="BL23" s="22"/>
      <c r="BM23" s="22"/>
      <c r="BN23" s="22"/>
    </row>
    <row r="24" spans="6:66" x14ac:dyDescent="0.25">
      <c r="F24" s="21"/>
      <c r="G24" s="8">
        <v>15</v>
      </c>
      <c r="H24" s="10" t="s">
        <v>16</v>
      </c>
      <c r="I24" s="10">
        <v>1015</v>
      </c>
      <c r="J24" s="47">
        <f t="shared" si="11"/>
        <v>5</v>
      </c>
      <c r="K24" s="16" t="s">
        <v>38</v>
      </c>
      <c r="L24" s="44" t="str">
        <f t="shared" si="12"/>
        <v>WO</v>
      </c>
      <c r="M24" s="16" t="s">
        <v>38</v>
      </c>
      <c r="N24" s="10" t="s">
        <v>39</v>
      </c>
      <c r="O24" s="10" t="s">
        <v>38</v>
      </c>
      <c r="P24" s="10" t="s">
        <v>38</v>
      </c>
      <c r="Q24" s="10" t="s">
        <v>38</v>
      </c>
      <c r="R24" s="16" t="s">
        <v>40</v>
      </c>
      <c r="S24" s="44" t="str">
        <f t="shared" si="12"/>
        <v>WO</v>
      </c>
      <c r="T24" s="16" t="s">
        <v>38</v>
      </c>
      <c r="U24" s="10" t="s">
        <v>39</v>
      </c>
      <c r="V24" s="10" t="s">
        <v>38</v>
      </c>
      <c r="W24" s="10" t="s">
        <v>38</v>
      </c>
      <c r="X24" s="10" t="s">
        <v>38</v>
      </c>
      <c r="Y24" s="16" t="s">
        <v>40</v>
      </c>
      <c r="Z24" s="44" t="str">
        <f t="shared" si="12"/>
        <v>WO</v>
      </c>
      <c r="AA24" s="16" t="s">
        <v>38</v>
      </c>
      <c r="AB24" s="10" t="s">
        <v>39</v>
      </c>
      <c r="AC24" s="10" t="s">
        <v>38</v>
      </c>
      <c r="AD24" s="10" t="s">
        <v>38</v>
      </c>
      <c r="AE24" s="10" t="s">
        <v>38</v>
      </c>
      <c r="AF24" s="16" t="s">
        <v>40</v>
      </c>
      <c r="AG24" s="44" t="str">
        <f t="shared" si="15"/>
        <v>WO</v>
      </c>
      <c r="AH24" s="16" t="s">
        <v>38</v>
      </c>
      <c r="AI24" s="10" t="s">
        <v>39</v>
      </c>
      <c r="AJ24" s="10" t="s">
        <v>38</v>
      </c>
      <c r="AK24" s="10" t="s">
        <v>38</v>
      </c>
      <c r="AL24" s="10" t="s">
        <v>38</v>
      </c>
      <c r="AM24" s="16" t="s">
        <v>40</v>
      </c>
      <c r="AN24" s="44" t="str">
        <f t="shared" si="4"/>
        <v>WO</v>
      </c>
      <c r="AO24" s="32"/>
      <c r="AP24" s="21"/>
      <c r="AQ24" s="24"/>
      <c r="AR24" s="10">
        <v>15</v>
      </c>
      <c r="AS24" s="10" t="s">
        <v>16</v>
      </c>
      <c r="AT24" s="10" t="str">
        <f t="shared" si="5"/>
        <v>November</v>
      </c>
      <c r="AU24" s="10">
        <v>1015</v>
      </c>
      <c r="AV24" s="9">
        <f t="shared" si="6"/>
        <v>17</v>
      </c>
      <c r="AW24" s="16">
        <f t="shared" si="7"/>
        <v>4</v>
      </c>
      <c r="AX24" s="16">
        <f t="shared" si="8"/>
        <v>4</v>
      </c>
      <c r="AY24" s="16">
        <f t="shared" si="9"/>
        <v>5</v>
      </c>
      <c r="AZ24" s="16">
        <f t="shared" si="10"/>
        <v>30</v>
      </c>
      <c r="BA24" s="16">
        <f>NovReport[[#This Row],[Days]]-NovReport[[#This Row],[Absent]]</f>
        <v>26</v>
      </c>
      <c r="BB24" s="19">
        <v>72000</v>
      </c>
      <c r="BC24" s="20">
        <f>NovReport[[#This Row],[Salary ]]/NovReport[[#This Row],[Days]]</f>
        <v>2400</v>
      </c>
      <c r="BD24" s="20">
        <f>NovReport[[#This Row],[Per Day Salary ]]*NovReport[[#This Row],[Absent]]</f>
        <v>9600</v>
      </c>
      <c r="BE24" s="20">
        <f>NovReport[[#This Row],[Salary ]]-NovReport[[#This Row],[Deduction]]</f>
        <v>62400</v>
      </c>
      <c r="BF24" s="20"/>
      <c r="BG24" s="24"/>
      <c r="BH24" s="22"/>
      <c r="BI24" s="22"/>
      <c r="BJ24" s="22"/>
      <c r="BK24" s="22"/>
      <c r="BL24" s="22"/>
      <c r="BM24" s="22"/>
      <c r="BN24" s="22"/>
    </row>
    <row r="25" spans="6:66" x14ac:dyDescent="0.25">
      <c r="F25" s="21"/>
      <c r="G25" s="8">
        <v>16</v>
      </c>
      <c r="H25" s="10" t="s">
        <v>17</v>
      </c>
      <c r="I25" s="10">
        <v>1016</v>
      </c>
      <c r="J25" s="47">
        <f t="shared" si="11"/>
        <v>5</v>
      </c>
      <c r="K25" s="16" t="s">
        <v>39</v>
      </c>
      <c r="L25" s="44" t="str">
        <f t="shared" si="12"/>
        <v>WO</v>
      </c>
      <c r="M25" s="16" t="s">
        <v>38</v>
      </c>
      <c r="N25" s="10" t="s">
        <v>38</v>
      </c>
      <c r="O25" s="10" t="s">
        <v>38</v>
      </c>
      <c r="P25" s="10" t="s">
        <v>38</v>
      </c>
      <c r="Q25" s="10" t="s">
        <v>38</v>
      </c>
      <c r="R25" s="16" t="s">
        <v>38</v>
      </c>
      <c r="S25" s="44" t="str">
        <f t="shared" si="12"/>
        <v>WO</v>
      </c>
      <c r="T25" s="16" t="s">
        <v>38</v>
      </c>
      <c r="U25" s="10" t="s">
        <v>38</v>
      </c>
      <c r="V25" s="10" t="s">
        <v>38</v>
      </c>
      <c r="W25" s="10" t="s">
        <v>38</v>
      </c>
      <c r="X25" s="10" t="s">
        <v>38</v>
      </c>
      <c r="Y25" s="16" t="s">
        <v>38</v>
      </c>
      <c r="Z25" s="44" t="str">
        <f t="shared" si="12"/>
        <v>WO</v>
      </c>
      <c r="AA25" s="16" t="s">
        <v>38</v>
      </c>
      <c r="AB25" s="10" t="s">
        <v>38</v>
      </c>
      <c r="AC25" s="10" t="s">
        <v>38</v>
      </c>
      <c r="AD25" s="10" t="s">
        <v>38</v>
      </c>
      <c r="AE25" s="10" t="s">
        <v>38</v>
      </c>
      <c r="AF25" s="16" t="s">
        <v>38</v>
      </c>
      <c r="AG25" s="44" t="str">
        <f t="shared" si="15"/>
        <v>WO</v>
      </c>
      <c r="AH25" s="16" t="s">
        <v>38</v>
      </c>
      <c r="AI25" s="10" t="s">
        <v>38</v>
      </c>
      <c r="AJ25" s="10" t="s">
        <v>38</v>
      </c>
      <c r="AK25" s="10" t="s">
        <v>38</v>
      </c>
      <c r="AL25" s="10" t="s">
        <v>38</v>
      </c>
      <c r="AM25" s="16" t="s">
        <v>38</v>
      </c>
      <c r="AN25" s="44" t="str">
        <f t="shared" si="4"/>
        <v>WO</v>
      </c>
      <c r="AO25" s="32"/>
      <c r="AP25" s="21"/>
      <c r="AQ25" s="24"/>
      <c r="AR25" s="10">
        <v>16</v>
      </c>
      <c r="AS25" s="10" t="s">
        <v>17</v>
      </c>
      <c r="AT25" s="10" t="str">
        <f t="shared" si="5"/>
        <v>November</v>
      </c>
      <c r="AU25" s="10">
        <v>1016</v>
      </c>
      <c r="AV25" s="9">
        <f t="shared" si="6"/>
        <v>24</v>
      </c>
      <c r="AW25" s="16">
        <f t="shared" si="7"/>
        <v>1</v>
      </c>
      <c r="AX25" s="16">
        <f t="shared" si="8"/>
        <v>0</v>
      </c>
      <c r="AY25" s="16">
        <f t="shared" si="9"/>
        <v>5</v>
      </c>
      <c r="AZ25" s="16">
        <f t="shared" si="10"/>
        <v>30</v>
      </c>
      <c r="BA25" s="16">
        <f>NovReport[[#This Row],[Days]]-NovReport[[#This Row],[Absent]]</f>
        <v>29</v>
      </c>
      <c r="BB25" s="19">
        <v>79000</v>
      </c>
      <c r="BC25" s="20">
        <f>NovReport[[#This Row],[Salary ]]/NovReport[[#This Row],[Days]]</f>
        <v>2633.3333333333335</v>
      </c>
      <c r="BD25" s="20">
        <f>NovReport[[#This Row],[Per Day Salary ]]*NovReport[[#This Row],[Absent]]</f>
        <v>2633.3333333333335</v>
      </c>
      <c r="BE25" s="20">
        <f>NovReport[[#This Row],[Salary ]]-NovReport[[#This Row],[Deduction]]</f>
        <v>76366.666666666672</v>
      </c>
      <c r="BF25" s="20"/>
      <c r="BG25" s="24"/>
      <c r="BH25" s="22"/>
      <c r="BI25" s="22"/>
      <c r="BJ25" s="22"/>
      <c r="BK25" s="22"/>
      <c r="BL25" s="22"/>
      <c r="BM25" s="22"/>
      <c r="BN25" s="22"/>
    </row>
    <row r="26" spans="6:66" x14ac:dyDescent="0.25">
      <c r="F26" s="21"/>
      <c r="G26" s="8">
        <v>17</v>
      </c>
      <c r="H26" s="10" t="s">
        <v>18</v>
      </c>
      <c r="I26" s="10">
        <v>1017</v>
      </c>
      <c r="J26" s="47">
        <f t="shared" si="11"/>
        <v>5</v>
      </c>
      <c r="K26" s="16" t="s">
        <v>38</v>
      </c>
      <c r="L26" s="44" t="str">
        <f t="shared" si="12"/>
        <v>WO</v>
      </c>
      <c r="M26" s="16" t="s">
        <v>38</v>
      </c>
      <c r="N26" s="10" t="s">
        <v>38</v>
      </c>
      <c r="O26" s="10" t="s">
        <v>38</v>
      </c>
      <c r="P26" s="10" t="s">
        <v>38</v>
      </c>
      <c r="Q26" s="10" t="s">
        <v>38</v>
      </c>
      <c r="R26" s="16" t="s">
        <v>38</v>
      </c>
      <c r="S26" s="44" t="str">
        <f t="shared" si="12"/>
        <v>WO</v>
      </c>
      <c r="T26" s="16" t="s">
        <v>38</v>
      </c>
      <c r="U26" s="10" t="s">
        <v>38</v>
      </c>
      <c r="V26" s="10" t="s">
        <v>38</v>
      </c>
      <c r="W26" s="10" t="s">
        <v>38</v>
      </c>
      <c r="X26" s="10" t="s">
        <v>38</v>
      </c>
      <c r="Y26" s="16" t="s">
        <v>38</v>
      </c>
      <c r="Z26" s="44" t="str">
        <f t="shared" si="12"/>
        <v>WO</v>
      </c>
      <c r="AA26" s="16" t="s">
        <v>38</v>
      </c>
      <c r="AB26" s="10" t="s">
        <v>38</v>
      </c>
      <c r="AC26" s="10" t="s">
        <v>38</v>
      </c>
      <c r="AD26" s="10" t="s">
        <v>38</v>
      </c>
      <c r="AE26" s="10" t="s">
        <v>38</v>
      </c>
      <c r="AF26" s="16" t="s">
        <v>38</v>
      </c>
      <c r="AG26" s="44" t="str">
        <f t="shared" si="15"/>
        <v>WO</v>
      </c>
      <c r="AH26" s="16" t="s">
        <v>38</v>
      </c>
      <c r="AI26" s="10" t="s">
        <v>38</v>
      </c>
      <c r="AJ26" s="10" t="s">
        <v>38</v>
      </c>
      <c r="AK26" s="10" t="s">
        <v>38</v>
      </c>
      <c r="AL26" s="10" t="s">
        <v>38</v>
      </c>
      <c r="AM26" s="16" t="s">
        <v>38</v>
      </c>
      <c r="AN26" s="44" t="str">
        <f t="shared" si="13"/>
        <v>WO</v>
      </c>
      <c r="AO26" s="32"/>
      <c r="AP26" s="21"/>
      <c r="AQ26" s="24"/>
      <c r="AR26" s="10">
        <v>17</v>
      </c>
      <c r="AS26" s="10" t="s">
        <v>18</v>
      </c>
      <c r="AT26" s="10" t="str">
        <f t="shared" si="5"/>
        <v>November</v>
      </c>
      <c r="AU26" s="10">
        <v>1017</v>
      </c>
      <c r="AV26" s="9">
        <f t="shared" si="6"/>
        <v>25</v>
      </c>
      <c r="AW26" s="16">
        <f t="shared" si="7"/>
        <v>0</v>
      </c>
      <c r="AX26" s="16">
        <f t="shared" si="8"/>
        <v>0</v>
      </c>
      <c r="AY26" s="16">
        <f t="shared" si="9"/>
        <v>5</v>
      </c>
      <c r="AZ26" s="16">
        <f t="shared" si="10"/>
        <v>30</v>
      </c>
      <c r="BA26" s="16">
        <f>NovReport[[#This Row],[Days]]-NovReport[[#This Row],[Absent]]</f>
        <v>30</v>
      </c>
      <c r="BB26" s="19">
        <v>33000</v>
      </c>
      <c r="BC26" s="20">
        <f>NovReport[[#This Row],[Salary ]]/NovReport[[#This Row],[Days]]</f>
        <v>1100</v>
      </c>
      <c r="BD26" s="20">
        <f>NovReport[[#This Row],[Per Day Salary ]]*NovReport[[#This Row],[Absent]]</f>
        <v>0</v>
      </c>
      <c r="BE26" s="20">
        <f>NovReport[[#This Row],[Salary ]]-NovReport[[#This Row],[Deduction]]</f>
        <v>33000</v>
      </c>
      <c r="BF26" s="20"/>
      <c r="BG26" s="24"/>
      <c r="BH26" s="22"/>
      <c r="BI26" s="22"/>
      <c r="BJ26" s="22"/>
      <c r="BK26" s="22"/>
      <c r="BL26" s="22"/>
      <c r="BM26" s="22"/>
      <c r="BN26" s="22"/>
    </row>
    <row r="27" spans="6:66" x14ac:dyDescent="0.25">
      <c r="F27" s="21"/>
      <c r="G27" s="8">
        <v>18</v>
      </c>
      <c r="H27" s="10" t="s">
        <v>41</v>
      </c>
      <c r="I27" s="10">
        <v>1018</v>
      </c>
      <c r="J27" s="47">
        <f t="shared" si="11"/>
        <v>5</v>
      </c>
      <c r="K27" s="16" t="s">
        <v>38</v>
      </c>
      <c r="L27" s="44" t="str">
        <f t="shared" si="12"/>
        <v>WO</v>
      </c>
      <c r="M27" s="16" t="s">
        <v>38</v>
      </c>
      <c r="N27" s="10" t="s">
        <v>38</v>
      </c>
      <c r="O27" s="10" t="s">
        <v>38</v>
      </c>
      <c r="P27" s="10" t="s">
        <v>38</v>
      </c>
      <c r="Q27" s="10" t="s">
        <v>38</v>
      </c>
      <c r="R27" s="16" t="s">
        <v>38</v>
      </c>
      <c r="S27" s="44" t="str">
        <f t="shared" si="12"/>
        <v>WO</v>
      </c>
      <c r="T27" s="16" t="s">
        <v>38</v>
      </c>
      <c r="U27" s="10" t="s">
        <v>38</v>
      </c>
      <c r="V27" s="10" t="s">
        <v>38</v>
      </c>
      <c r="W27" s="10" t="s">
        <v>38</v>
      </c>
      <c r="X27" s="10" t="s">
        <v>38</v>
      </c>
      <c r="Y27" s="16" t="s">
        <v>38</v>
      </c>
      <c r="Z27" s="44" t="str">
        <f t="shared" si="12"/>
        <v>WO</v>
      </c>
      <c r="AA27" s="16" t="s">
        <v>38</v>
      </c>
      <c r="AB27" s="10" t="s">
        <v>38</v>
      </c>
      <c r="AC27" s="10" t="s">
        <v>38</v>
      </c>
      <c r="AD27" s="10" t="s">
        <v>38</v>
      </c>
      <c r="AE27" s="10" t="s">
        <v>38</v>
      </c>
      <c r="AF27" s="16" t="s">
        <v>38</v>
      </c>
      <c r="AG27" s="44" t="str">
        <f t="shared" si="15"/>
        <v>WO</v>
      </c>
      <c r="AH27" s="16" t="s">
        <v>38</v>
      </c>
      <c r="AI27" s="10" t="s">
        <v>38</v>
      </c>
      <c r="AJ27" s="10" t="s">
        <v>38</v>
      </c>
      <c r="AK27" s="10" t="s">
        <v>38</v>
      </c>
      <c r="AL27" s="10" t="s">
        <v>38</v>
      </c>
      <c r="AM27" s="16" t="s">
        <v>38</v>
      </c>
      <c r="AN27" s="44" t="str">
        <f t="shared" si="13"/>
        <v>WO</v>
      </c>
      <c r="AO27" s="32"/>
      <c r="AP27" s="21"/>
      <c r="AQ27" s="24"/>
      <c r="AR27" s="10">
        <v>18</v>
      </c>
      <c r="AS27" s="10" t="s">
        <v>41</v>
      </c>
      <c r="AT27" s="10" t="str">
        <f t="shared" si="5"/>
        <v>November</v>
      </c>
      <c r="AU27" s="10">
        <v>1018</v>
      </c>
      <c r="AV27" s="9">
        <f t="shared" si="6"/>
        <v>25</v>
      </c>
      <c r="AW27" s="16">
        <f t="shared" si="7"/>
        <v>0</v>
      </c>
      <c r="AX27" s="16">
        <f t="shared" si="8"/>
        <v>0</v>
      </c>
      <c r="AY27" s="16">
        <f t="shared" si="9"/>
        <v>5</v>
      </c>
      <c r="AZ27" s="16">
        <f t="shared" si="10"/>
        <v>30</v>
      </c>
      <c r="BA27" s="16">
        <f>NovReport[[#This Row],[Days]]-NovReport[[#This Row],[Absent]]</f>
        <v>30</v>
      </c>
      <c r="BB27" s="19">
        <v>12000</v>
      </c>
      <c r="BC27" s="20">
        <f>NovReport[[#This Row],[Salary ]]/NovReport[[#This Row],[Days]]</f>
        <v>400</v>
      </c>
      <c r="BD27" s="20">
        <f>NovReport[[#This Row],[Per Day Salary ]]*NovReport[[#This Row],[Absent]]</f>
        <v>0</v>
      </c>
      <c r="BE27" s="20">
        <f>NovReport[[#This Row],[Salary ]]-NovReport[[#This Row],[Deduction]]</f>
        <v>12000</v>
      </c>
      <c r="BF27" s="20"/>
      <c r="BG27" s="24"/>
      <c r="BH27" s="22"/>
      <c r="BI27" s="22"/>
      <c r="BJ27" s="22"/>
      <c r="BK27" s="22"/>
      <c r="BL27" s="22"/>
      <c r="BM27" s="22"/>
      <c r="BN27" s="22"/>
    </row>
    <row r="28" spans="6:66" x14ac:dyDescent="0.25">
      <c r="F28" s="21"/>
      <c r="G28" s="8">
        <v>19</v>
      </c>
      <c r="H28" s="10" t="s">
        <v>19</v>
      </c>
      <c r="I28" s="10">
        <v>1019</v>
      </c>
      <c r="J28" s="47">
        <f t="shared" si="11"/>
        <v>5</v>
      </c>
      <c r="K28" s="16" t="s">
        <v>38</v>
      </c>
      <c r="L28" s="44" t="str">
        <f t="shared" si="12"/>
        <v>WO</v>
      </c>
      <c r="M28" s="16" t="s">
        <v>38</v>
      </c>
      <c r="N28" s="10" t="s">
        <v>38</v>
      </c>
      <c r="O28" s="10" t="s">
        <v>38</v>
      </c>
      <c r="P28" s="10" t="s">
        <v>38</v>
      </c>
      <c r="Q28" s="10" t="s">
        <v>38</v>
      </c>
      <c r="R28" s="16" t="s">
        <v>38</v>
      </c>
      <c r="S28" s="44" t="str">
        <f t="shared" si="12"/>
        <v>WO</v>
      </c>
      <c r="T28" s="16" t="s">
        <v>38</v>
      </c>
      <c r="U28" s="10" t="s">
        <v>38</v>
      </c>
      <c r="V28" s="10" t="s">
        <v>38</v>
      </c>
      <c r="W28" s="10" t="s">
        <v>38</v>
      </c>
      <c r="X28" s="10" t="s">
        <v>38</v>
      </c>
      <c r="Y28" s="16" t="s">
        <v>38</v>
      </c>
      <c r="Z28" s="44" t="str">
        <f t="shared" si="12"/>
        <v>WO</v>
      </c>
      <c r="AA28" s="16" t="s">
        <v>38</v>
      </c>
      <c r="AB28" s="10" t="s">
        <v>38</v>
      </c>
      <c r="AC28" s="10" t="s">
        <v>38</v>
      </c>
      <c r="AD28" s="10" t="s">
        <v>38</v>
      </c>
      <c r="AE28" s="10" t="s">
        <v>38</v>
      </c>
      <c r="AF28" s="16" t="s">
        <v>38</v>
      </c>
      <c r="AG28" s="44" t="str">
        <f t="shared" si="15"/>
        <v>WO</v>
      </c>
      <c r="AH28" s="16" t="s">
        <v>38</v>
      </c>
      <c r="AI28" s="10" t="s">
        <v>38</v>
      </c>
      <c r="AJ28" s="10" t="s">
        <v>38</v>
      </c>
      <c r="AK28" s="10" t="s">
        <v>38</v>
      </c>
      <c r="AL28" s="10" t="s">
        <v>38</v>
      </c>
      <c r="AM28" s="16" t="s">
        <v>38</v>
      </c>
      <c r="AN28" s="44" t="str">
        <f t="shared" si="13"/>
        <v>WO</v>
      </c>
      <c r="AO28" s="32"/>
      <c r="AP28" s="21"/>
      <c r="AQ28" s="24"/>
      <c r="AR28" s="10">
        <v>19</v>
      </c>
      <c r="AS28" s="10" t="s">
        <v>19</v>
      </c>
      <c r="AT28" s="10" t="str">
        <f t="shared" si="5"/>
        <v>November</v>
      </c>
      <c r="AU28" s="10">
        <v>1019</v>
      </c>
      <c r="AV28" s="9">
        <f t="shared" si="6"/>
        <v>25</v>
      </c>
      <c r="AW28" s="16">
        <f t="shared" si="7"/>
        <v>0</v>
      </c>
      <c r="AX28" s="16">
        <f t="shared" si="8"/>
        <v>0</v>
      </c>
      <c r="AY28" s="16">
        <f t="shared" si="9"/>
        <v>5</v>
      </c>
      <c r="AZ28" s="16">
        <f t="shared" si="10"/>
        <v>30</v>
      </c>
      <c r="BA28" s="16">
        <f>NovReport[[#This Row],[Days]]-NovReport[[#This Row],[Absent]]</f>
        <v>30</v>
      </c>
      <c r="BB28" s="19">
        <v>19000</v>
      </c>
      <c r="BC28" s="20">
        <f>NovReport[[#This Row],[Salary ]]/NovReport[[#This Row],[Days]]</f>
        <v>633.33333333333337</v>
      </c>
      <c r="BD28" s="20">
        <f>NovReport[[#This Row],[Per Day Salary ]]*NovReport[[#This Row],[Absent]]</f>
        <v>0</v>
      </c>
      <c r="BE28" s="20">
        <f>NovReport[[#This Row],[Salary ]]-NovReport[[#This Row],[Deduction]]</f>
        <v>19000</v>
      </c>
      <c r="BF28" s="20"/>
      <c r="BG28" s="24"/>
      <c r="BH28" s="22"/>
      <c r="BI28" s="22"/>
      <c r="BJ28" s="22"/>
      <c r="BK28" s="22"/>
      <c r="BL28" s="22"/>
      <c r="BM28" s="22"/>
      <c r="BN28" s="22"/>
    </row>
    <row r="29" spans="6:66" ht="16.5" thickBot="1" x14ac:dyDescent="0.3">
      <c r="F29" s="21"/>
      <c r="G29" s="11">
        <v>20</v>
      </c>
      <c r="H29" s="12" t="s">
        <v>24</v>
      </c>
      <c r="I29" s="12">
        <v>1020</v>
      </c>
      <c r="J29" s="48">
        <f t="shared" si="11"/>
        <v>5</v>
      </c>
      <c r="K29" s="34" t="s">
        <v>38</v>
      </c>
      <c r="L29" s="45" t="str">
        <f t="shared" si="12"/>
        <v>WO</v>
      </c>
      <c r="M29" s="34" t="s">
        <v>38</v>
      </c>
      <c r="N29" s="39" t="s">
        <v>38</v>
      </c>
      <c r="O29" s="39" t="s">
        <v>38</v>
      </c>
      <c r="P29" s="39" t="s">
        <v>39</v>
      </c>
      <c r="Q29" s="39" t="s">
        <v>38</v>
      </c>
      <c r="R29" s="34" t="s">
        <v>38</v>
      </c>
      <c r="S29" s="45" t="str">
        <f t="shared" si="12"/>
        <v>WO</v>
      </c>
      <c r="T29" s="34" t="s">
        <v>38</v>
      </c>
      <c r="U29" s="39" t="s">
        <v>38</v>
      </c>
      <c r="V29" s="39" t="s">
        <v>38</v>
      </c>
      <c r="W29" s="39" t="s">
        <v>39</v>
      </c>
      <c r="X29" s="39" t="s">
        <v>38</v>
      </c>
      <c r="Y29" s="34" t="s">
        <v>38</v>
      </c>
      <c r="Z29" s="45" t="str">
        <f t="shared" si="12"/>
        <v>WO</v>
      </c>
      <c r="AA29" s="34" t="s">
        <v>38</v>
      </c>
      <c r="AB29" s="39" t="s">
        <v>38</v>
      </c>
      <c r="AC29" s="39" t="s">
        <v>38</v>
      </c>
      <c r="AD29" s="39" t="s">
        <v>39</v>
      </c>
      <c r="AE29" s="39" t="s">
        <v>38</v>
      </c>
      <c r="AF29" s="34" t="s">
        <v>38</v>
      </c>
      <c r="AG29" s="45" t="str">
        <f t="shared" si="15"/>
        <v>WO</v>
      </c>
      <c r="AH29" s="34" t="s">
        <v>38</v>
      </c>
      <c r="AI29" s="39" t="s">
        <v>38</v>
      </c>
      <c r="AJ29" s="39" t="s">
        <v>38</v>
      </c>
      <c r="AK29" s="39" t="s">
        <v>39</v>
      </c>
      <c r="AL29" s="39" t="s">
        <v>38</v>
      </c>
      <c r="AM29" s="34" t="s">
        <v>38</v>
      </c>
      <c r="AN29" s="45" t="str">
        <f t="shared" si="13"/>
        <v>WO</v>
      </c>
      <c r="AO29" s="49"/>
      <c r="AP29" s="21"/>
      <c r="AQ29" s="24"/>
      <c r="AR29" s="10">
        <v>20</v>
      </c>
      <c r="AS29" s="10" t="s">
        <v>24</v>
      </c>
      <c r="AT29" s="10" t="str">
        <f t="shared" si="5"/>
        <v>November</v>
      </c>
      <c r="AU29" s="10">
        <v>1020</v>
      </c>
      <c r="AV29" s="9">
        <f t="shared" si="6"/>
        <v>21</v>
      </c>
      <c r="AW29" s="16">
        <f t="shared" si="7"/>
        <v>4</v>
      </c>
      <c r="AX29" s="16">
        <f t="shared" si="8"/>
        <v>0</v>
      </c>
      <c r="AY29" s="16">
        <f t="shared" si="9"/>
        <v>5</v>
      </c>
      <c r="AZ29" s="16">
        <f t="shared" si="10"/>
        <v>30</v>
      </c>
      <c r="BA29" s="16">
        <f>NovReport[[#This Row],[Days]]-NovReport[[#This Row],[Absent]]</f>
        <v>26</v>
      </c>
      <c r="BB29" s="19">
        <v>17000</v>
      </c>
      <c r="BC29" s="20">
        <f>NovReport[[#This Row],[Salary ]]/NovReport[[#This Row],[Days]]</f>
        <v>566.66666666666663</v>
      </c>
      <c r="BD29" s="20">
        <f>NovReport[[#This Row],[Per Day Salary ]]*NovReport[[#This Row],[Absent]]</f>
        <v>2266.6666666666665</v>
      </c>
      <c r="BE29" s="20">
        <f>NovReport[[#This Row],[Salary ]]-NovReport[[#This Row],[Deduction]]</f>
        <v>14733.333333333334</v>
      </c>
      <c r="BF29" s="20"/>
      <c r="BG29" s="24"/>
      <c r="BH29" s="22"/>
      <c r="BI29" s="22"/>
      <c r="BJ29" s="22"/>
      <c r="BK29" s="22"/>
      <c r="BL29" s="22"/>
      <c r="BM29" s="22"/>
      <c r="BN29" s="22"/>
    </row>
    <row r="30" spans="6:66" x14ac:dyDescent="0.25"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2"/>
      <c r="BI30" s="22"/>
      <c r="BJ30" s="22"/>
      <c r="BK30" s="22"/>
      <c r="BL30" s="22"/>
      <c r="BM30" s="22"/>
      <c r="BN30" s="22"/>
    </row>
    <row r="31" spans="6:66" s="22" customFormat="1" x14ac:dyDescent="0.25"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</row>
    <row r="32" spans="6:66" s="22" customFormat="1" x14ac:dyDescent="0.25"/>
    <row r="33" spans="6:66" x14ac:dyDescent="0.25"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H33" s="22"/>
      <c r="BI33" s="22"/>
      <c r="BJ33" s="22"/>
      <c r="BK33" s="22"/>
      <c r="BL33" s="22"/>
      <c r="BM33" s="22"/>
      <c r="BN33" s="22"/>
    </row>
    <row r="34" spans="6:66" x14ac:dyDescent="0.25"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H34" s="22"/>
      <c r="BI34" s="22"/>
      <c r="BJ34" s="22"/>
      <c r="BK34" s="22"/>
      <c r="BL34" s="22"/>
      <c r="BM34" s="22"/>
      <c r="BN34" s="22"/>
    </row>
    <row r="35" spans="6:66" x14ac:dyDescent="0.25"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H35" s="22"/>
      <c r="BI35" s="22"/>
      <c r="BJ35" s="22"/>
      <c r="BK35" s="22"/>
      <c r="BL35" s="22"/>
      <c r="BM35" s="22"/>
      <c r="BN35" s="22"/>
    </row>
    <row r="36" spans="6:66" x14ac:dyDescent="0.25"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H36" s="22"/>
      <c r="BI36" s="22"/>
      <c r="BJ36" s="22"/>
      <c r="BK36" s="22"/>
      <c r="BL36" s="22"/>
      <c r="BM36" s="22"/>
      <c r="BN36" s="22"/>
    </row>
    <row r="37" spans="6:66" x14ac:dyDescent="0.25"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H37" s="22"/>
      <c r="BI37" s="22"/>
      <c r="BJ37" s="22"/>
      <c r="BK37" s="22"/>
      <c r="BL37" s="22"/>
      <c r="BM37" s="22"/>
      <c r="BN37" s="22"/>
    </row>
    <row r="38" spans="6:66" x14ac:dyDescent="0.25"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H38" s="22"/>
      <c r="BI38" s="22"/>
      <c r="BJ38" s="22"/>
      <c r="BK38" s="22"/>
      <c r="BL38" s="22"/>
      <c r="BM38" s="22"/>
      <c r="BN38" s="22"/>
    </row>
    <row r="39" spans="6:66" x14ac:dyDescent="0.25"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H39" s="22"/>
      <c r="BI39" s="22"/>
      <c r="BJ39" s="22"/>
      <c r="BK39" s="22"/>
      <c r="BL39" s="22"/>
      <c r="BM39" s="22"/>
      <c r="BN39" s="22"/>
    </row>
    <row r="40" spans="6:66" x14ac:dyDescent="0.25"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H40" s="22"/>
      <c r="BI40" s="22"/>
      <c r="BJ40" s="22"/>
      <c r="BK40" s="22"/>
      <c r="BL40" s="22"/>
      <c r="BM40" s="22"/>
      <c r="BN40" s="22"/>
    </row>
    <row r="41" spans="6:66" x14ac:dyDescent="0.25"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H41" s="22"/>
      <c r="BI41" s="22"/>
      <c r="BJ41" s="22"/>
      <c r="BK41" s="22"/>
      <c r="BL41" s="22"/>
      <c r="BM41" s="22"/>
      <c r="BN41" s="22"/>
    </row>
    <row r="42" spans="6:66" x14ac:dyDescent="0.25"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H42" s="22"/>
      <c r="BI42" s="22"/>
      <c r="BJ42" s="22"/>
      <c r="BK42" s="22"/>
      <c r="BL42" s="22"/>
      <c r="BM42" s="22"/>
      <c r="BN42" s="22"/>
    </row>
    <row r="43" spans="6:66" x14ac:dyDescent="0.25"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H43" s="22"/>
      <c r="BI43" s="22"/>
      <c r="BJ43" s="22"/>
      <c r="BK43" s="22"/>
      <c r="BL43" s="22"/>
      <c r="BM43" s="22"/>
      <c r="BN43" s="22"/>
    </row>
    <row r="44" spans="6:66" x14ac:dyDescent="0.25"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H44" s="22"/>
      <c r="BI44" s="22"/>
      <c r="BJ44" s="22"/>
      <c r="BK44" s="22"/>
      <c r="BL44" s="22"/>
      <c r="BM44" s="22"/>
      <c r="BN44" s="22"/>
    </row>
    <row r="45" spans="6:66" x14ac:dyDescent="0.25"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H45" s="22"/>
      <c r="BI45" s="22"/>
      <c r="BJ45" s="22"/>
      <c r="BK45" s="22"/>
      <c r="BL45" s="22"/>
      <c r="BM45" s="22"/>
      <c r="BN45" s="22"/>
    </row>
    <row r="46" spans="6:66" x14ac:dyDescent="0.25"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H46" s="22"/>
      <c r="BI46" s="22"/>
      <c r="BJ46" s="22"/>
      <c r="BK46" s="22"/>
      <c r="BL46" s="22"/>
      <c r="BM46" s="22"/>
      <c r="BN46" s="22"/>
    </row>
    <row r="47" spans="6:66" x14ac:dyDescent="0.25"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H47" s="22"/>
      <c r="BI47" s="22"/>
      <c r="BJ47" s="22"/>
      <c r="BK47" s="22"/>
      <c r="BL47" s="22"/>
      <c r="BM47" s="22"/>
      <c r="BN47" s="22"/>
    </row>
    <row r="48" spans="6:66" x14ac:dyDescent="0.25"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H48" s="22"/>
      <c r="BI48" s="22"/>
      <c r="BJ48" s="22"/>
      <c r="BK48" s="22"/>
      <c r="BL48" s="22"/>
      <c r="BM48" s="22"/>
      <c r="BN48" s="22"/>
    </row>
    <row r="49" spans="6:66" x14ac:dyDescent="0.25"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H49" s="22"/>
      <c r="BI49" s="22"/>
      <c r="BJ49" s="22"/>
      <c r="BK49" s="22"/>
      <c r="BL49" s="22"/>
      <c r="BM49" s="22"/>
      <c r="BN49" s="22"/>
    </row>
    <row r="50" spans="6:66" x14ac:dyDescent="0.25"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H50" s="22"/>
      <c r="BI50" s="22"/>
      <c r="BJ50" s="22"/>
      <c r="BK50" s="22"/>
      <c r="BL50" s="22"/>
      <c r="BM50" s="22"/>
      <c r="BN50" s="22"/>
    </row>
    <row r="51" spans="6:66" x14ac:dyDescent="0.25"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H51" s="22"/>
      <c r="BI51" s="22"/>
      <c r="BJ51" s="22"/>
      <c r="BK51" s="22"/>
      <c r="BL51" s="22"/>
      <c r="BM51" s="22"/>
      <c r="BN51" s="22"/>
    </row>
    <row r="52" spans="6:66" x14ac:dyDescent="0.25"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H52" s="22"/>
      <c r="BI52" s="22"/>
      <c r="BJ52" s="22"/>
      <c r="BK52" s="22"/>
      <c r="BL52" s="22"/>
      <c r="BM52" s="22"/>
      <c r="BN52" s="22"/>
    </row>
    <row r="53" spans="6:66" x14ac:dyDescent="0.25"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H53" s="22"/>
      <c r="BI53" s="22"/>
      <c r="BJ53" s="22"/>
      <c r="BK53" s="22"/>
      <c r="BL53" s="22"/>
      <c r="BM53" s="22"/>
      <c r="BN53" s="22"/>
    </row>
    <row r="54" spans="6:66" x14ac:dyDescent="0.25"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H54" s="22"/>
      <c r="BI54" s="22"/>
      <c r="BJ54" s="22"/>
      <c r="BK54" s="22"/>
      <c r="BL54" s="22"/>
      <c r="BM54" s="22"/>
      <c r="BN54" s="22"/>
    </row>
    <row r="55" spans="6:66" x14ac:dyDescent="0.25"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H55" s="22"/>
      <c r="BI55" s="22"/>
      <c r="BJ55" s="22"/>
      <c r="BK55" s="22"/>
      <c r="BL55" s="22"/>
      <c r="BM55" s="22"/>
      <c r="BN55" s="22"/>
    </row>
    <row r="56" spans="6:66" x14ac:dyDescent="0.25"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H56" s="22"/>
      <c r="BI56" s="22"/>
      <c r="BJ56" s="22"/>
      <c r="BK56" s="22"/>
      <c r="BL56" s="22"/>
      <c r="BM56" s="22"/>
      <c r="BN56" s="22"/>
    </row>
    <row r="57" spans="6:66" x14ac:dyDescent="0.25"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H57" s="22"/>
      <c r="BI57" s="22"/>
      <c r="BJ57" s="22"/>
      <c r="BK57" s="22"/>
      <c r="BL57" s="22"/>
      <c r="BM57" s="22"/>
      <c r="BN57" s="22"/>
    </row>
    <row r="58" spans="6:66" x14ac:dyDescent="0.25"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H58" s="22"/>
      <c r="BI58" s="22"/>
      <c r="BJ58" s="22"/>
      <c r="BK58" s="22"/>
      <c r="BL58" s="22"/>
      <c r="BM58" s="22"/>
      <c r="BN58" s="22"/>
    </row>
    <row r="59" spans="6:66" x14ac:dyDescent="0.25"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H59" s="22"/>
      <c r="BI59" s="22"/>
      <c r="BJ59" s="22"/>
      <c r="BK59" s="22"/>
      <c r="BL59" s="22"/>
      <c r="BM59" s="22"/>
      <c r="BN59" s="22"/>
    </row>
    <row r="60" spans="6:66" x14ac:dyDescent="0.25"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H60" s="22"/>
      <c r="BI60" s="22"/>
      <c r="BJ60" s="22"/>
      <c r="BK60" s="22"/>
      <c r="BL60" s="22"/>
      <c r="BM60" s="22"/>
      <c r="BN60" s="22"/>
    </row>
    <row r="61" spans="6:66" x14ac:dyDescent="0.25"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H61" s="22"/>
      <c r="BI61" s="22"/>
      <c r="BJ61" s="22"/>
      <c r="BK61" s="22"/>
      <c r="BL61" s="22"/>
      <c r="BM61" s="22"/>
      <c r="BN61" s="22"/>
    </row>
    <row r="62" spans="6:66" x14ac:dyDescent="0.25"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H62" s="22"/>
      <c r="BI62" s="22"/>
      <c r="BJ62" s="22"/>
      <c r="BK62" s="22"/>
      <c r="BL62" s="22"/>
      <c r="BM62" s="22"/>
      <c r="BN62" s="22"/>
    </row>
    <row r="63" spans="6:66" x14ac:dyDescent="0.25"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H63" s="22"/>
      <c r="BI63" s="22"/>
      <c r="BJ63" s="22"/>
      <c r="BK63" s="22"/>
      <c r="BL63" s="22"/>
      <c r="BM63" s="22"/>
      <c r="BN63" s="22"/>
    </row>
    <row r="64" spans="6:66" x14ac:dyDescent="0.25"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H64" s="22"/>
      <c r="BI64" s="22"/>
      <c r="BJ64" s="22"/>
      <c r="BK64" s="22"/>
      <c r="BL64" s="22"/>
      <c r="BM64" s="22"/>
      <c r="BN64" s="22"/>
    </row>
    <row r="65" spans="6:66" x14ac:dyDescent="0.25"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H65" s="22"/>
      <c r="BI65" s="22"/>
      <c r="BJ65" s="22"/>
      <c r="BK65" s="22"/>
      <c r="BL65" s="22"/>
      <c r="BM65" s="22"/>
      <c r="BN65" s="22"/>
    </row>
    <row r="66" spans="6:66" x14ac:dyDescent="0.25"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H66" s="22"/>
      <c r="BI66" s="22"/>
      <c r="BJ66" s="22"/>
      <c r="BK66" s="22"/>
      <c r="BL66" s="22"/>
      <c r="BM66" s="22"/>
      <c r="BN66" s="22"/>
    </row>
    <row r="67" spans="6:66" x14ac:dyDescent="0.25"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H67" s="22"/>
      <c r="BI67" s="22"/>
      <c r="BJ67" s="22"/>
      <c r="BK67" s="22"/>
      <c r="BL67" s="22"/>
      <c r="BM67" s="22"/>
      <c r="BN67" s="22"/>
    </row>
    <row r="68" spans="6:66" x14ac:dyDescent="0.25"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H68" s="22"/>
      <c r="BI68" s="22"/>
      <c r="BJ68" s="22"/>
      <c r="BK68" s="22"/>
      <c r="BL68" s="22"/>
      <c r="BM68" s="22"/>
      <c r="BN68" s="22"/>
    </row>
    <row r="69" spans="6:66" x14ac:dyDescent="0.25"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H69" s="22"/>
      <c r="BI69" s="22"/>
      <c r="BJ69" s="22"/>
      <c r="BK69" s="22"/>
      <c r="BL69" s="22"/>
      <c r="BM69" s="22"/>
      <c r="BN69" s="22"/>
    </row>
    <row r="70" spans="6:66" x14ac:dyDescent="0.25"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H70" s="22"/>
      <c r="BI70" s="22"/>
      <c r="BJ70" s="22"/>
      <c r="BK70" s="22"/>
      <c r="BL70" s="22"/>
      <c r="BM70" s="22"/>
      <c r="BN70" s="22"/>
    </row>
    <row r="71" spans="6:66" x14ac:dyDescent="0.25"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H71" s="22"/>
      <c r="BI71" s="22"/>
      <c r="BJ71" s="22"/>
      <c r="BK71" s="22"/>
      <c r="BL71" s="22"/>
      <c r="BM71" s="22"/>
      <c r="BN71" s="22"/>
    </row>
    <row r="72" spans="6:66" x14ac:dyDescent="0.25"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H72" s="22"/>
      <c r="BI72" s="22"/>
      <c r="BJ72" s="22"/>
      <c r="BK72" s="22"/>
      <c r="BL72" s="22"/>
      <c r="BM72" s="22"/>
      <c r="BN72" s="22"/>
    </row>
    <row r="73" spans="6:66" x14ac:dyDescent="0.25"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H73" s="22"/>
      <c r="BI73" s="22"/>
      <c r="BJ73" s="22"/>
      <c r="BK73" s="22"/>
      <c r="BL73" s="22"/>
      <c r="BM73" s="22"/>
      <c r="BN73" s="22"/>
    </row>
    <row r="74" spans="6:66" x14ac:dyDescent="0.25"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H74" s="22"/>
      <c r="BI74" s="22"/>
      <c r="BJ74" s="22"/>
      <c r="BK74" s="22"/>
      <c r="BL74" s="22"/>
      <c r="BM74" s="22"/>
      <c r="BN74" s="22"/>
    </row>
    <row r="75" spans="6:66" x14ac:dyDescent="0.25"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H75" s="22"/>
      <c r="BI75" s="22"/>
      <c r="BJ75" s="22"/>
      <c r="BK75" s="22"/>
      <c r="BL75" s="22"/>
      <c r="BM75" s="22"/>
      <c r="BN75" s="22"/>
    </row>
    <row r="76" spans="6:66" x14ac:dyDescent="0.25"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H76" s="22"/>
      <c r="BI76" s="22"/>
      <c r="BJ76" s="22"/>
      <c r="BK76" s="22"/>
      <c r="BL76" s="22"/>
      <c r="BM76" s="22"/>
      <c r="BN76" s="22"/>
    </row>
    <row r="77" spans="6:66" x14ac:dyDescent="0.25"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H77" s="22"/>
      <c r="BI77" s="22"/>
      <c r="BJ77" s="22"/>
      <c r="BK77" s="22"/>
      <c r="BL77" s="22"/>
      <c r="BM77" s="22"/>
      <c r="BN77" s="22"/>
    </row>
    <row r="78" spans="6:66" x14ac:dyDescent="0.25"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H78" s="22"/>
      <c r="BI78" s="22"/>
      <c r="BJ78" s="22"/>
      <c r="BK78" s="22"/>
      <c r="BL78" s="22"/>
      <c r="BM78" s="22"/>
      <c r="BN78" s="22"/>
    </row>
    <row r="79" spans="6:66" x14ac:dyDescent="0.25"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H79" s="22"/>
      <c r="BI79" s="22"/>
      <c r="BJ79" s="22"/>
      <c r="BK79" s="22"/>
      <c r="BL79" s="22"/>
      <c r="BM79" s="22"/>
      <c r="BN79" s="22"/>
    </row>
    <row r="80" spans="6:66" x14ac:dyDescent="0.25"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H80" s="22"/>
      <c r="BI80" s="22"/>
      <c r="BJ80" s="22"/>
      <c r="BK80" s="22"/>
      <c r="BL80" s="22"/>
      <c r="BM80" s="22"/>
      <c r="BN80" s="22"/>
    </row>
    <row r="81" spans="6:66" x14ac:dyDescent="0.25"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H81" s="22"/>
      <c r="BI81" s="22"/>
      <c r="BJ81" s="22"/>
      <c r="BK81" s="22"/>
      <c r="BL81" s="22"/>
      <c r="BM81" s="22"/>
      <c r="BN81" s="22"/>
    </row>
    <row r="82" spans="6:66" x14ac:dyDescent="0.25"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H82" s="22"/>
      <c r="BI82" s="22"/>
      <c r="BJ82" s="22"/>
      <c r="BK82" s="22"/>
      <c r="BL82" s="22"/>
      <c r="BM82" s="22"/>
      <c r="BN82" s="22"/>
    </row>
    <row r="83" spans="6:66" x14ac:dyDescent="0.25"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H83" s="22"/>
      <c r="BI83" s="22"/>
      <c r="BJ83" s="22"/>
      <c r="BK83" s="22"/>
      <c r="BL83" s="22"/>
      <c r="BM83" s="22"/>
      <c r="BN83" s="22"/>
    </row>
    <row r="84" spans="6:66" x14ac:dyDescent="0.25"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H84" s="22"/>
      <c r="BI84" s="22"/>
      <c r="BJ84" s="22"/>
      <c r="BK84" s="22"/>
      <c r="BL84" s="22"/>
      <c r="BM84" s="22"/>
      <c r="BN84" s="22"/>
    </row>
    <row r="85" spans="6:66" x14ac:dyDescent="0.25"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H85" s="22"/>
      <c r="BI85" s="22"/>
      <c r="BJ85" s="22"/>
      <c r="BK85" s="22"/>
      <c r="BL85" s="22"/>
      <c r="BM85" s="22"/>
      <c r="BN85" s="22"/>
    </row>
    <row r="86" spans="6:66" x14ac:dyDescent="0.25"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H86" s="22"/>
      <c r="BI86" s="22"/>
      <c r="BJ86" s="22"/>
      <c r="BK86" s="22"/>
      <c r="BL86" s="22"/>
      <c r="BM86" s="22"/>
      <c r="BN86" s="22"/>
    </row>
    <row r="87" spans="6:66" x14ac:dyDescent="0.25"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H87" s="22"/>
      <c r="BI87" s="22"/>
      <c r="BJ87" s="22"/>
      <c r="BK87" s="22"/>
      <c r="BL87" s="22"/>
      <c r="BM87" s="22"/>
      <c r="BN87" s="22"/>
    </row>
    <row r="88" spans="6:66" x14ac:dyDescent="0.25"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H88" s="22"/>
      <c r="BI88" s="22"/>
      <c r="BJ88" s="22"/>
      <c r="BK88" s="22"/>
      <c r="BL88" s="22"/>
      <c r="BM88" s="22"/>
      <c r="BN88" s="22"/>
    </row>
    <row r="89" spans="6:66" x14ac:dyDescent="0.25"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H89" s="22"/>
      <c r="BI89" s="22"/>
      <c r="BJ89" s="22"/>
      <c r="BK89" s="22"/>
      <c r="BL89" s="22"/>
      <c r="BM89" s="22"/>
      <c r="BN89" s="22"/>
    </row>
    <row r="90" spans="6:66" x14ac:dyDescent="0.25"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H90" s="22"/>
      <c r="BI90" s="22"/>
      <c r="BJ90" s="22"/>
      <c r="BK90" s="22"/>
      <c r="BL90" s="22"/>
      <c r="BM90" s="22"/>
      <c r="BN90" s="22"/>
    </row>
    <row r="91" spans="6:66" x14ac:dyDescent="0.25"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H91" s="22"/>
      <c r="BI91" s="22"/>
      <c r="BJ91" s="22"/>
      <c r="BK91" s="22"/>
      <c r="BL91" s="22"/>
      <c r="BM91" s="22"/>
      <c r="BN91" s="22"/>
    </row>
    <row r="92" spans="6:66" x14ac:dyDescent="0.25"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H92" s="22"/>
      <c r="BI92" s="22"/>
      <c r="BJ92" s="22"/>
      <c r="BK92" s="22"/>
      <c r="BL92" s="22"/>
      <c r="BM92" s="22"/>
      <c r="BN92" s="22"/>
    </row>
    <row r="93" spans="6:66" x14ac:dyDescent="0.25"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H93" s="22"/>
      <c r="BI93" s="22"/>
      <c r="BJ93" s="22"/>
      <c r="BK93" s="22"/>
      <c r="BL93" s="22"/>
      <c r="BM93" s="22"/>
      <c r="BN93" s="22"/>
    </row>
    <row r="94" spans="6:66" x14ac:dyDescent="0.25"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H94" s="22"/>
      <c r="BI94" s="22"/>
      <c r="BJ94" s="22"/>
      <c r="BK94" s="22"/>
      <c r="BL94" s="22"/>
      <c r="BM94" s="22"/>
      <c r="BN94" s="22"/>
    </row>
    <row r="95" spans="6:66" x14ac:dyDescent="0.25"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H95" s="22"/>
      <c r="BI95" s="22"/>
      <c r="BJ95" s="22"/>
      <c r="BK95" s="22"/>
      <c r="BL95" s="22"/>
      <c r="BM95" s="22"/>
      <c r="BN95" s="22"/>
    </row>
    <row r="96" spans="6:66" x14ac:dyDescent="0.25"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H96" s="22"/>
      <c r="BI96" s="22"/>
      <c r="BJ96" s="22"/>
      <c r="BK96" s="22"/>
      <c r="BL96" s="22"/>
      <c r="BM96" s="22"/>
      <c r="BN96" s="22"/>
    </row>
    <row r="97" spans="6:66" x14ac:dyDescent="0.25"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H97" s="22"/>
      <c r="BI97" s="22"/>
      <c r="BJ97" s="22"/>
      <c r="BK97" s="22"/>
      <c r="BL97" s="22"/>
      <c r="BM97" s="22"/>
      <c r="BN97" s="22"/>
    </row>
    <row r="98" spans="6:66" x14ac:dyDescent="0.25"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H98" s="22"/>
      <c r="BI98" s="22"/>
      <c r="BJ98" s="22"/>
      <c r="BK98" s="22"/>
      <c r="BL98" s="22"/>
      <c r="BM98" s="22"/>
      <c r="BN98" s="22"/>
    </row>
    <row r="99" spans="6:66" x14ac:dyDescent="0.25"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H99" s="22"/>
      <c r="BI99" s="22"/>
      <c r="BJ99" s="22"/>
      <c r="BK99" s="22"/>
      <c r="BL99" s="22"/>
      <c r="BM99" s="22"/>
      <c r="BN99" s="22"/>
    </row>
    <row r="100" spans="6:66" x14ac:dyDescent="0.25"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H100" s="22"/>
      <c r="BI100" s="22"/>
      <c r="BJ100" s="22"/>
      <c r="BK100" s="22"/>
      <c r="BL100" s="22"/>
      <c r="BM100" s="22"/>
      <c r="BN100" s="22"/>
    </row>
    <row r="101" spans="6:66" x14ac:dyDescent="0.25"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H101" s="22"/>
      <c r="BI101" s="22"/>
      <c r="BJ101" s="22"/>
      <c r="BK101" s="22"/>
      <c r="BL101" s="22"/>
      <c r="BM101" s="22"/>
      <c r="BN101" s="22"/>
    </row>
    <row r="102" spans="6:66" x14ac:dyDescent="0.25"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H102" s="22"/>
      <c r="BI102" s="22"/>
      <c r="BJ102" s="22"/>
      <c r="BK102" s="22"/>
      <c r="BL102" s="22"/>
      <c r="BM102" s="22"/>
      <c r="BN102" s="22"/>
    </row>
    <row r="103" spans="6:66" x14ac:dyDescent="0.25"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H103" s="22"/>
      <c r="BI103" s="22"/>
      <c r="BJ103" s="22"/>
      <c r="BK103" s="22"/>
      <c r="BL103" s="22"/>
      <c r="BM103" s="22"/>
      <c r="BN103" s="22"/>
    </row>
    <row r="104" spans="6:66" x14ac:dyDescent="0.25"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H104" s="22"/>
      <c r="BI104" s="22"/>
      <c r="BJ104" s="22"/>
      <c r="BK104" s="22"/>
      <c r="BL104" s="22"/>
      <c r="BM104" s="22"/>
      <c r="BN104" s="22"/>
    </row>
    <row r="105" spans="6:66" x14ac:dyDescent="0.25"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H105" s="22"/>
      <c r="BI105" s="22"/>
      <c r="BJ105" s="22"/>
      <c r="BK105" s="22"/>
      <c r="BL105" s="22"/>
      <c r="BM105" s="22"/>
      <c r="BN105" s="22"/>
    </row>
    <row r="106" spans="6:66" x14ac:dyDescent="0.25"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H106" s="22"/>
      <c r="BI106" s="22"/>
      <c r="BJ106" s="22"/>
      <c r="BK106" s="22"/>
      <c r="BL106" s="22"/>
      <c r="BM106" s="22"/>
      <c r="BN106" s="22"/>
    </row>
    <row r="107" spans="6:66" x14ac:dyDescent="0.25"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H107" s="22"/>
      <c r="BI107" s="22"/>
      <c r="BJ107" s="22"/>
      <c r="BK107" s="22"/>
      <c r="BL107" s="22"/>
      <c r="BM107" s="22"/>
      <c r="BN107" s="22"/>
    </row>
    <row r="108" spans="6:66" x14ac:dyDescent="0.25"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H108" s="22"/>
      <c r="BI108" s="22"/>
      <c r="BJ108" s="22"/>
      <c r="BK108" s="22"/>
      <c r="BL108" s="22"/>
      <c r="BM108" s="22"/>
      <c r="BN108" s="22"/>
    </row>
    <row r="109" spans="6:66" x14ac:dyDescent="0.25"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H109" s="22"/>
      <c r="BI109" s="22"/>
      <c r="BJ109" s="22"/>
      <c r="BK109" s="22"/>
      <c r="BL109" s="22"/>
      <c r="BM109" s="22"/>
      <c r="BN109" s="22"/>
    </row>
    <row r="110" spans="6:66" x14ac:dyDescent="0.25"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H110" s="22"/>
      <c r="BI110" s="22"/>
      <c r="BJ110" s="22"/>
      <c r="BK110" s="22"/>
      <c r="BL110" s="22"/>
      <c r="BM110" s="22"/>
      <c r="BN110" s="22"/>
    </row>
    <row r="111" spans="6:66" x14ac:dyDescent="0.25"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H111" s="22"/>
      <c r="BI111" s="22"/>
      <c r="BJ111" s="22"/>
      <c r="BK111" s="22"/>
      <c r="BL111" s="22"/>
      <c r="BM111" s="22"/>
      <c r="BN111" s="22"/>
    </row>
    <row r="112" spans="6:66" x14ac:dyDescent="0.25"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H112" s="22"/>
      <c r="BI112" s="22"/>
      <c r="BJ112" s="22"/>
      <c r="BK112" s="22"/>
      <c r="BL112" s="22"/>
      <c r="BM112" s="22"/>
      <c r="BN112" s="22"/>
    </row>
    <row r="113" spans="6:66" x14ac:dyDescent="0.25"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H113" s="22"/>
      <c r="BI113" s="22"/>
      <c r="BJ113" s="22"/>
      <c r="BK113" s="22"/>
      <c r="BL113" s="22"/>
      <c r="BM113" s="22"/>
      <c r="BN113" s="22"/>
    </row>
    <row r="114" spans="6:66" x14ac:dyDescent="0.25"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H114" s="22"/>
      <c r="BI114" s="22"/>
      <c r="BJ114" s="22"/>
      <c r="BK114" s="22"/>
      <c r="BL114" s="22"/>
      <c r="BM114" s="22"/>
      <c r="BN114" s="22"/>
    </row>
    <row r="115" spans="6:66" x14ac:dyDescent="0.25"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H115" s="22"/>
      <c r="BI115" s="22"/>
      <c r="BJ115" s="22"/>
      <c r="BK115" s="22"/>
      <c r="BL115" s="22"/>
      <c r="BM115" s="22"/>
      <c r="BN115" s="22"/>
    </row>
    <row r="116" spans="6:66" x14ac:dyDescent="0.25"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H116" s="22"/>
      <c r="BI116" s="22"/>
      <c r="BJ116" s="22"/>
      <c r="BK116" s="22"/>
      <c r="BL116" s="22"/>
      <c r="BM116" s="22"/>
      <c r="BN116" s="22"/>
    </row>
    <row r="117" spans="6:66" x14ac:dyDescent="0.25"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H117" s="22"/>
      <c r="BI117" s="22"/>
      <c r="BJ117" s="22"/>
      <c r="BK117" s="22"/>
      <c r="BL117" s="22"/>
      <c r="BM117" s="22"/>
      <c r="BN117" s="22"/>
    </row>
    <row r="118" spans="6:66" x14ac:dyDescent="0.25"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H118" s="22"/>
      <c r="BI118" s="22"/>
      <c r="BJ118" s="22"/>
      <c r="BK118" s="22"/>
      <c r="BL118" s="22"/>
      <c r="BM118" s="22"/>
      <c r="BN118" s="22"/>
    </row>
    <row r="119" spans="6:66" x14ac:dyDescent="0.25"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H119" s="22"/>
      <c r="BI119" s="22"/>
      <c r="BJ119" s="22"/>
      <c r="BK119" s="22"/>
      <c r="BL119" s="22"/>
      <c r="BM119" s="22"/>
      <c r="BN119" s="22"/>
    </row>
    <row r="120" spans="6:66" x14ac:dyDescent="0.25"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H120" s="22"/>
      <c r="BI120" s="22"/>
      <c r="BJ120" s="22"/>
      <c r="BK120" s="22"/>
      <c r="BL120" s="22"/>
      <c r="BM120" s="22"/>
      <c r="BN120" s="22"/>
    </row>
    <row r="121" spans="6:66" x14ac:dyDescent="0.25"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H121" s="22"/>
      <c r="BI121" s="22"/>
      <c r="BJ121" s="22"/>
      <c r="BK121" s="22"/>
      <c r="BL121" s="22"/>
      <c r="BM121" s="22"/>
      <c r="BN121" s="22"/>
    </row>
    <row r="122" spans="6:66" x14ac:dyDescent="0.25"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H122" s="22"/>
      <c r="BI122" s="22"/>
      <c r="BJ122" s="22"/>
      <c r="BK122" s="22"/>
      <c r="BL122" s="22"/>
      <c r="BM122" s="22"/>
      <c r="BN122" s="22"/>
    </row>
    <row r="123" spans="6:66" x14ac:dyDescent="0.25"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H123" s="22"/>
      <c r="BI123" s="22"/>
      <c r="BJ123" s="22"/>
      <c r="BK123" s="22"/>
      <c r="BL123" s="22"/>
      <c r="BM123" s="22"/>
      <c r="BN123" s="22"/>
    </row>
    <row r="124" spans="6:66" x14ac:dyDescent="0.25"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H124" s="22"/>
      <c r="BI124" s="22"/>
      <c r="BJ124" s="22"/>
      <c r="BK124" s="22"/>
      <c r="BL124" s="22"/>
      <c r="BM124" s="22"/>
      <c r="BN124" s="22"/>
    </row>
    <row r="125" spans="6:66" x14ac:dyDescent="0.25"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H125" s="22"/>
      <c r="BI125" s="22"/>
      <c r="BJ125" s="22"/>
      <c r="BK125" s="22"/>
      <c r="BL125" s="22"/>
      <c r="BM125" s="22"/>
      <c r="BN125" s="22"/>
    </row>
    <row r="126" spans="6:66" x14ac:dyDescent="0.25"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H126" s="22"/>
      <c r="BI126" s="22"/>
      <c r="BJ126" s="22"/>
      <c r="BK126" s="22"/>
      <c r="BL126" s="22"/>
      <c r="BM126" s="22"/>
      <c r="BN126" s="22"/>
    </row>
    <row r="127" spans="6:66" x14ac:dyDescent="0.25"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H127" s="22"/>
      <c r="BI127" s="22"/>
      <c r="BJ127" s="22"/>
      <c r="BK127" s="22"/>
      <c r="BL127" s="22"/>
      <c r="BM127" s="22"/>
      <c r="BN127" s="22"/>
    </row>
    <row r="128" spans="6:66" x14ac:dyDescent="0.25"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H128" s="22"/>
      <c r="BI128" s="22"/>
      <c r="BJ128" s="22"/>
      <c r="BK128" s="22"/>
      <c r="BL128" s="22"/>
      <c r="BM128" s="22"/>
      <c r="BN128" s="22"/>
    </row>
    <row r="129" spans="6:66" x14ac:dyDescent="0.25"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H129" s="22"/>
      <c r="BI129" s="22"/>
      <c r="BJ129" s="22"/>
      <c r="BK129" s="22"/>
      <c r="BL129" s="22"/>
      <c r="BM129" s="22"/>
      <c r="BN129" s="22"/>
    </row>
    <row r="130" spans="6:66" x14ac:dyDescent="0.25"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H130" s="22"/>
      <c r="BI130" s="22"/>
      <c r="BJ130" s="22"/>
      <c r="BK130" s="22"/>
      <c r="BL130" s="22"/>
      <c r="BM130" s="22"/>
      <c r="BN130" s="22"/>
    </row>
    <row r="131" spans="6:66" x14ac:dyDescent="0.25"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H131" s="22"/>
      <c r="BI131" s="22"/>
      <c r="BJ131" s="22"/>
      <c r="BK131" s="22"/>
      <c r="BL131" s="22"/>
      <c r="BM131" s="22"/>
      <c r="BN131" s="22"/>
    </row>
    <row r="132" spans="6:66" x14ac:dyDescent="0.25"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H132" s="22"/>
      <c r="BI132" s="22"/>
      <c r="BJ132" s="22"/>
      <c r="BK132" s="22"/>
      <c r="BL132" s="22"/>
      <c r="BM132" s="22"/>
      <c r="BN132" s="22"/>
    </row>
    <row r="133" spans="6:66" x14ac:dyDescent="0.25"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H133" s="22"/>
      <c r="BI133" s="22"/>
      <c r="BJ133" s="22"/>
      <c r="BK133" s="22"/>
      <c r="BL133" s="22"/>
      <c r="BM133" s="22"/>
      <c r="BN133" s="22"/>
    </row>
    <row r="134" spans="6:66" x14ac:dyDescent="0.25"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H134" s="22"/>
      <c r="BI134" s="22"/>
      <c r="BJ134" s="22"/>
      <c r="BK134" s="22"/>
      <c r="BL134" s="22"/>
      <c r="BM134" s="22"/>
      <c r="BN134" s="22"/>
    </row>
    <row r="135" spans="6:66" x14ac:dyDescent="0.25"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H135" s="22"/>
      <c r="BI135" s="22"/>
      <c r="BJ135" s="22"/>
      <c r="BK135" s="22"/>
      <c r="BL135" s="22"/>
      <c r="BM135" s="22"/>
      <c r="BN135" s="22"/>
    </row>
    <row r="136" spans="6:66" x14ac:dyDescent="0.25"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H136" s="22"/>
      <c r="BI136" s="22"/>
      <c r="BJ136" s="22"/>
      <c r="BK136" s="22"/>
      <c r="BL136" s="22"/>
      <c r="BM136" s="22"/>
      <c r="BN136" s="22"/>
    </row>
    <row r="137" spans="6:66" x14ac:dyDescent="0.25"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H137" s="22"/>
      <c r="BI137" s="22"/>
      <c r="BJ137" s="22"/>
      <c r="BK137" s="22"/>
      <c r="BL137" s="22"/>
      <c r="BM137" s="22"/>
      <c r="BN137" s="22"/>
    </row>
    <row r="138" spans="6:66" x14ac:dyDescent="0.25"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H138" s="22"/>
      <c r="BI138" s="22"/>
      <c r="BJ138" s="22"/>
      <c r="BK138" s="22"/>
      <c r="BL138" s="22"/>
      <c r="BM138" s="22"/>
      <c r="BN138" s="22"/>
    </row>
    <row r="139" spans="6:66" x14ac:dyDescent="0.25"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H139" s="22"/>
      <c r="BI139" s="22"/>
      <c r="BJ139" s="22"/>
      <c r="BK139" s="22"/>
      <c r="BL139" s="22"/>
      <c r="BM139" s="22"/>
      <c r="BN139" s="22"/>
    </row>
    <row r="140" spans="6:66" x14ac:dyDescent="0.25"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H140" s="22"/>
      <c r="BI140" s="22"/>
      <c r="BJ140" s="22"/>
      <c r="BK140" s="22"/>
      <c r="BL140" s="22"/>
      <c r="BM140" s="22"/>
      <c r="BN140" s="22"/>
    </row>
    <row r="141" spans="6:66" x14ac:dyDescent="0.25"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H141" s="22"/>
      <c r="BI141" s="22"/>
      <c r="BJ141" s="22"/>
      <c r="BK141" s="22"/>
      <c r="BL141" s="22"/>
      <c r="BM141" s="22"/>
      <c r="BN141" s="22"/>
    </row>
    <row r="142" spans="6:66" x14ac:dyDescent="0.25"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H142" s="22"/>
      <c r="BI142" s="22"/>
      <c r="BJ142" s="22"/>
      <c r="BK142" s="22"/>
      <c r="BL142" s="22"/>
      <c r="BM142" s="22"/>
      <c r="BN142" s="22"/>
    </row>
    <row r="143" spans="6:66" x14ac:dyDescent="0.25"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H143" s="22"/>
      <c r="BI143" s="22"/>
      <c r="BJ143" s="22"/>
      <c r="BK143" s="22"/>
      <c r="BL143" s="22"/>
      <c r="BM143" s="22"/>
      <c r="BN143" s="22"/>
    </row>
    <row r="144" spans="6:66" x14ac:dyDescent="0.25"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H144" s="22"/>
      <c r="BI144" s="22"/>
      <c r="BJ144" s="22"/>
      <c r="BK144" s="22"/>
      <c r="BL144" s="22"/>
      <c r="BM144" s="22"/>
      <c r="BN144" s="22"/>
    </row>
    <row r="145" spans="6:66" x14ac:dyDescent="0.25"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H145" s="22"/>
      <c r="BI145" s="22"/>
      <c r="BJ145" s="22"/>
      <c r="BK145" s="22"/>
      <c r="BL145" s="22"/>
      <c r="BM145" s="22"/>
      <c r="BN145" s="22"/>
    </row>
    <row r="146" spans="6:66" x14ac:dyDescent="0.25"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H146" s="22"/>
      <c r="BI146" s="22"/>
      <c r="BJ146" s="22"/>
      <c r="BK146" s="22"/>
      <c r="BL146" s="22"/>
      <c r="BM146" s="22"/>
      <c r="BN146" s="22"/>
    </row>
    <row r="147" spans="6:66" x14ac:dyDescent="0.25"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H147" s="22"/>
      <c r="BI147" s="22"/>
      <c r="BJ147" s="22"/>
      <c r="BK147" s="22"/>
      <c r="BL147" s="22"/>
      <c r="BM147" s="22"/>
      <c r="BN147" s="22"/>
    </row>
    <row r="148" spans="6:66" x14ac:dyDescent="0.25"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H148" s="22"/>
      <c r="BI148" s="22"/>
      <c r="BJ148" s="22"/>
      <c r="BK148" s="22"/>
      <c r="BL148" s="22"/>
      <c r="BM148" s="22"/>
      <c r="BN148" s="22"/>
    </row>
    <row r="149" spans="6:66" x14ac:dyDescent="0.25"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H149" s="22"/>
      <c r="BI149" s="22"/>
      <c r="BJ149" s="22"/>
      <c r="BK149" s="22"/>
      <c r="BL149" s="22"/>
      <c r="BM149" s="22"/>
      <c r="BN149" s="22"/>
    </row>
    <row r="150" spans="6:66" x14ac:dyDescent="0.25"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H150" s="22"/>
      <c r="BI150" s="22"/>
      <c r="BJ150" s="22"/>
      <c r="BK150" s="22"/>
      <c r="BL150" s="22"/>
      <c r="BM150" s="22"/>
      <c r="BN150" s="22"/>
    </row>
    <row r="151" spans="6:66" x14ac:dyDescent="0.25"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H151" s="22"/>
      <c r="BI151" s="22"/>
      <c r="BJ151" s="22"/>
      <c r="BK151" s="22"/>
      <c r="BL151" s="22"/>
      <c r="BM151" s="22"/>
      <c r="BN151" s="22"/>
    </row>
    <row r="152" spans="6:66" x14ac:dyDescent="0.25"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H152" s="22"/>
      <c r="BI152" s="22"/>
      <c r="BJ152" s="22"/>
      <c r="BK152" s="22"/>
      <c r="BL152" s="22"/>
      <c r="BM152" s="22"/>
      <c r="BN152" s="22"/>
    </row>
    <row r="153" spans="6:66" x14ac:dyDescent="0.25"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H153" s="22"/>
      <c r="BI153" s="22"/>
      <c r="BJ153" s="22"/>
      <c r="BK153" s="22"/>
      <c r="BL153" s="22"/>
      <c r="BM153" s="22"/>
      <c r="BN153" s="22"/>
    </row>
    <row r="154" spans="6:66" x14ac:dyDescent="0.25"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H154" s="22"/>
      <c r="BI154" s="22"/>
      <c r="BJ154" s="22"/>
      <c r="BK154" s="22"/>
      <c r="BL154" s="22"/>
      <c r="BM154" s="22"/>
      <c r="BN154" s="22"/>
    </row>
    <row r="155" spans="6:66" x14ac:dyDescent="0.25"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H155" s="22"/>
      <c r="BI155" s="22"/>
      <c r="BJ155" s="22"/>
      <c r="BK155" s="22"/>
      <c r="BL155" s="22"/>
      <c r="BM155" s="22"/>
      <c r="BN155" s="22"/>
    </row>
    <row r="156" spans="6:66" x14ac:dyDescent="0.25"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H156" s="22"/>
      <c r="BI156" s="22"/>
      <c r="BJ156" s="22"/>
      <c r="BK156" s="22"/>
      <c r="BL156" s="22"/>
      <c r="BM156" s="22"/>
      <c r="BN156" s="22"/>
    </row>
    <row r="157" spans="6:66" x14ac:dyDescent="0.25"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H157" s="22"/>
      <c r="BI157" s="22"/>
      <c r="BJ157" s="22"/>
      <c r="BK157" s="22"/>
      <c r="BL157" s="22"/>
      <c r="BM157" s="22"/>
      <c r="BN157" s="22"/>
    </row>
    <row r="158" spans="6:66" x14ac:dyDescent="0.25"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H158" s="22"/>
      <c r="BI158" s="22"/>
      <c r="BJ158" s="22"/>
      <c r="BK158" s="22"/>
      <c r="BL158" s="22"/>
      <c r="BM158" s="22"/>
      <c r="BN158" s="22"/>
    </row>
    <row r="159" spans="6:66" x14ac:dyDescent="0.25"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H159" s="22"/>
      <c r="BI159" s="22"/>
      <c r="BJ159" s="22"/>
      <c r="BK159" s="22"/>
      <c r="BL159" s="22"/>
      <c r="BM159" s="22"/>
      <c r="BN159" s="22"/>
    </row>
    <row r="160" spans="6:66" x14ac:dyDescent="0.25"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H160" s="22"/>
      <c r="BI160" s="22"/>
      <c r="BJ160" s="22"/>
      <c r="BK160" s="22"/>
      <c r="BL160" s="22"/>
      <c r="BM160" s="22"/>
      <c r="BN160" s="22"/>
    </row>
    <row r="161" spans="6:66" x14ac:dyDescent="0.25"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H161" s="22"/>
      <c r="BI161" s="22"/>
      <c r="BJ161" s="22"/>
      <c r="BK161" s="22"/>
      <c r="BL161" s="22"/>
      <c r="BM161" s="22"/>
      <c r="BN161" s="22"/>
    </row>
    <row r="162" spans="6:66" x14ac:dyDescent="0.25"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H162" s="22"/>
      <c r="BI162" s="22"/>
      <c r="BJ162" s="22"/>
      <c r="BK162" s="22"/>
      <c r="BL162" s="22"/>
      <c r="BM162" s="22"/>
      <c r="BN162" s="22"/>
    </row>
    <row r="163" spans="6:66" x14ac:dyDescent="0.25"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H163" s="22"/>
      <c r="BI163" s="22"/>
      <c r="BJ163" s="22"/>
      <c r="BK163" s="22"/>
      <c r="BL163" s="22"/>
      <c r="BM163" s="22"/>
      <c r="BN163" s="22"/>
    </row>
    <row r="164" spans="6:66" x14ac:dyDescent="0.25"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H164" s="22"/>
      <c r="BI164" s="22"/>
      <c r="BJ164" s="22"/>
      <c r="BK164" s="22"/>
      <c r="BL164" s="22"/>
      <c r="BM164" s="22"/>
      <c r="BN164" s="22"/>
    </row>
    <row r="165" spans="6:66" x14ac:dyDescent="0.25"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H165" s="22"/>
      <c r="BI165" s="22"/>
      <c r="BJ165" s="22"/>
      <c r="BK165" s="22"/>
      <c r="BL165" s="22"/>
      <c r="BM165" s="22"/>
      <c r="BN165" s="22"/>
    </row>
    <row r="166" spans="6:66" x14ac:dyDescent="0.25"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H166" s="22"/>
      <c r="BI166" s="22"/>
      <c r="BJ166" s="22"/>
      <c r="BK166" s="22"/>
      <c r="BL166" s="22"/>
      <c r="BM166" s="22"/>
      <c r="BN166" s="22"/>
    </row>
    <row r="167" spans="6:66" x14ac:dyDescent="0.25"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H167" s="22"/>
      <c r="BI167" s="22"/>
      <c r="BJ167" s="22"/>
      <c r="BK167" s="22"/>
      <c r="BL167" s="22"/>
      <c r="BM167" s="22"/>
      <c r="BN167" s="22"/>
    </row>
    <row r="168" spans="6:66" x14ac:dyDescent="0.25"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H168" s="22"/>
      <c r="BI168" s="22"/>
      <c r="BJ168" s="22"/>
      <c r="BK168" s="22"/>
      <c r="BL168" s="22"/>
      <c r="BM168" s="22"/>
      <c r="BN168" s="22"/>
    </row>
    <row r="169" spans="6:66" x14ac:dyDescent="0.25"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H169" s="22"/>
      <c r="BI169" s="22"/>
      <c r="BJ169" s="22"/>
      <c r="BK169" s="22"/>
      <c r="BL169" s="22"/>
      <c r="BM169" s="22"/>
      <c r="BN169" s="22"/>
    </row>
    <row r="170" spans="6:66" x14ac:dyDescent="0.25"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H170" s="22"/>
      <c r="BI170" s="22"/>
      <c r="BJ170" s="22"/>
      <c r="BK170" s="22"/>
      <c r="BL170" s="22"/>
      <c r="BM170" s="22"/>
      <c r="BN170" s="22"/>
    </row>
    <row r="171" spans="6:66" x14ac:dyDescent="0.25"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H171" s="22"/>
      <c r="BI171" s="22"/>
      <c r="BJ171" s="22"/>
      <c r="BK171" s="22"/>
      <c r="BL171" s="22"/>
      <c r="BM171" s="22"/>
      <c r="BN171" s="22"/>
    </row>
    <row r="172" spans="6:66" x14ac:dyDescent="0.25"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H172" s="22"/>
      <c r="BI172" s="22"/>
      <c r="BJ172" s="22"/>
      <c r="BK172" s="22"/>
      <c r="BL172" s="22"/>
      <c r="BM172" s="22"/>
      <c r="BN172" s="22"/>
    </row>
    <row r="173" spans="6:66" x14ac:dyDescent="0.25"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H173" s="22"/>
      <c r="BI173" s="22"/>
      <c r="BJ173" s="22"/>
      <c r="BK173" s="22"/>
      <c r="BL173" s="22"/>
      <c r="BM173" s="22"/>
      <c r="BN173" s="22"/>
    </row>
    <row r="174" spans="6:66" x14ac:dyDescent="0.25"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H174" s="22"/>
      <c r="BI174" s="22"/>
      <c r="BJ174" s="22"/>
      <c r="BK174" s="22"/>
      <c r="BL174" s="22"/>
      <c r="BM174" s="22"/>
      <c r="BN174" s="22"/>
    </row>
    <row r="175" spans="6:66" x14ac:dyDescent="0.25"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H175" s="22"/>
      <c r="BI175" s="22"/>
      <c r="BJ175" s="22"/>
      <c r="BK175" s="22"/>
      <c r="BL175" s="22"/>
      <c r="BM175" s="22"/>
      <c r="BN175" s="22"/>
    </row>
    <row r="176" spans="6:66" x14ac:dyDescent="0.25"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H176" s="22"/>
      <c r="BI176" s="22"/>
      <c r="BJ176" s="22"/>
      <c r="BK176" s="22"/>
      <c r="BL176" s="22"/>
      <c r="BM176" s="22"/>
      <c r="BN176" s="22"/>
    </row>
    <row r="177" spans="6:66" x14ac:dyDescent="0.25"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H177" s="22"/>
      <c r="BI177" s="22"/>
      <c r="BJ177" s="22"/>
      <c r="BK177" s="22"/>
      <c r="BL177" s="22"/>
      <c r="BM177" s="22"/>
      <c r="BN177" s="22"/>
    </row>
    <row r="178" spans="6:66" x14ac:dyDescent="0.25"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H178" s="22"/>
      <c r="BI178" s="22"/>
      <c r="BJ178" s="22"/>
      <c r="BK178" s="22"/>
      <c r="BL178" s="22"/>
      <c r="BM178" s="22"/>
      <c r="BN178" s="22"/>
    </row>
    <row r="179" spans="6:66" x14ac:dyDescent="0.25"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H179" s="22"/>
      <c r="BI179" s="22"/>
      <c r="BJ179" s="22"/>
      <c r="BK179" s="22"/>
      <c r="BL179" s="22"/>
      <c r="BM179" s="22"/>
      <c r="BN179" s="22"/>
    </row>
    <row r="180" spans="6:66" x14ac:dyDescent="0.25"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H180" s="22"/>
      <c r="BI180" s="22"/>
      <c r="BJ180" s="22"/>
      <c r="BK180" s="22"/>
      <c r="BL180" s="22"/>
      <c r="BM180" s="22"/>
      <c r="BN180" s="22"/>
    </row>
    <row r="181" spans="6:66" x14ac:dyDescent="0.25"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H181" s="22"/>
      <c r="BI181" s="22"/>
      <c r="BJ181" s="22"/>
      <c r="BK181" s="22"/>
      <c r="BL181" s="22"/>
      <c r="BM181" s="22"/>
      <c r="BN181" s="22"/>
    </row>
    <row r="182" spans="6:66" x14ac:dyDescent="0.25"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H182" s="22"/>
      <c r="BI182" s="22"/>
      <c r="BJ182" s="22"/>
      <c r="BK182" s="22"/>
      <c r="BL182" s="22"/>
      <c r="BM182" s="22"/>
      <c r="BN182" s="22"/>
    </row>
    <row r="183" spans="6:66" x14ac:dyDescent="0.25"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H183" s="22"/>
      <c r="BI183" s="22"/>
      <c r="BJ183" s="22"/>
      <c r="BK183" s="22"/>
      <c r="BL183" s="22"/>
      <c r="BM183" s="22"/>
      <c r="BN183" s="22"/>
    </row>
    <row r="184" spans="6:66" x14ac:dyDescent="0.25"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H184" s="22"/>
      <c r="BI184" s="22"/>
      <c r="BJ184" s="22"/>
      <c r="BK184" s="22"/>
      <c r="BL184" s="22"/>
      <c r="BM184" s="22"/>
      <c r="BN184" s="22"/>
    </row>
    <row r="185" spans="6:66" x14ac:dyDescent="0.25"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H185" s="22"/>
      <c r="BI185" s="22"/>
      <c r="BJ185" s="22"/>
      <c r="BK185" s="22"/>
      <c r="BL185" s="22"/>
      <c r="BM185" s="22"/>
      <c r="BN185" s="22"/>
    </row>
    <row r="186" spans="6:66" x14ac:dyDescent="0.25"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H186" s="22"/>
      <c r="BI186" s="22"/>
      <c r="BJ186" s="22"/>
      <c r="BK186" s="22"/>
      <c r="BL186" s="22"/>
      <c r="BM186" s="22"/>
      <c r="BN186" s="22"/>
    </row>
    <row r="187" spans="6:66" x14ac:dyDescent="0.25"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H187" s="22"/>
      <c r="BI187" s="22"/>
      <c r="BJ187" s="22"/>
      <c r="BK187" s="22"/>
      <c r="BL187" s="22"/>
      <c r="BM187" s="22"/>
      <c r="BN187" s="22"/>
    </row>
    <row r="188" spans="6:66" x14ac:dyDescent="0.25"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H188" s="22"/>
      <c r="BI188" s="22"/>
      <c r="BJ188" s="22"/>
      <c r="BK188" s="22"/>
      <c r="BL188" s="22"/>
      <c r="BM188" s="22"/>
      <c r="BN188" s="22"/>
    </row>
    <row r="189" spans="6:66" x14ac:dyDescent="0.25"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H189" s="22"/>
      <c r="BI189" s="22"/>
      <c r="BJ189" s="22"/>
      <c r="BK189" s="22"/>
      <c r="BL189" s="22"/>
      <c r="BM189" s="22"/>
      <c r="BN189" s="22"/>
    </row>
    <row r="190" spans="6:66" x14ac:dyDescent="0.25"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H190" s="22"/>
      <c r="BI190" s="22"/>
      <c r="BJ190" s="22"/>
      <c r="BK190" s="22"/>
      <c r="BL190" s="22"/>
      <c r="BM190" s="22"/>
      <c r="BN190" s="22"/>
    </row>
    <row r="191" spans="6:66" x14ac:dyDescent="0.25"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H191" s="22"/>
      <c r="BI191" s="22"/>
      <c r="BJ191" s="22"/>
      <c r="BK191" s="22"/>
      <c r="BL191" s="22"/>
      <c r="BM191" s="22"/>
      <c r="BN191" s="22"/>
    </row>
    <row r="192" spans="6:66" x14ac:dyDescent="0.25"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H192" s="22"/>
      <c r="BI192" s="22"/>
      <c r="BJ192" s="22"/>
      <c r="BK192" s="22"/>
      <c r="BL192" s="22"/>
      <c r="BM192" s="22"/>
      <c r="BN192" s="22"/>
    </row>
    <row r="193" spans="6:66" x14ac:dyDescent="0.25"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H193" s="22"/>
      <c r="BI193" s="22"/>
      <c r="BJ193" s="22"/>
      <c r="BK193" s="22"/>
      <c r="BL193" s="22"/>
      <c r="BM193" s="22"/>
      <c r="BN193" s="22"/>
    </row>
    <row r="194" spans="6:66" x14ac:dyDescent="0.25"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H194" s="22"/>
      <c r="BI194" s="22"/>
      <c r="BJ194" s="22"/>
      <c r="BK194" s="22"/>
      <c r="BL194" s="22"/>
      <c r="BM194" s="22"/>
      <c r="BN194" s="22"/>
    </row>
    <row r="195" spans="6:66" x14ac:dyDescent="0.25">
      <c r="BH195" s="22"/>
      <c r="BI195" s="22"/>
      <c r="BJ195" s="22"/>
      <c r="BK195" s="22"/>
      <c r="BL195" s="22"/>
      <c r="BM195" s="22"/>
      <c r="BN195" s="22"/>
    </row>
    <row r="196" spans="6:66" x14ac:dyDescent="0.25">
      <c r="BH196" s="22"/>
      <c r="BI196" s="22"/>
      <c r="BJ196" s="22"/>
      <c r="BK196" s="22"/>
      <c r="BL196" s="22"/>
      <c r="BM196" s="22"/>
      <c r="BN196" s="22"/>
    </row>
    <row r="197" spans="6:66" x14ac:dyDescent="0.25">
      <c r="BH197" s="22"/>
      <c r="BI197" s="22"/>
      <c r="BJ197" s="22"/>
      <c r="BK197" s="22"/>
      <c r="BL197" s="22"/>
      <c r="BM197" s="22"/>
      <c r="BN197" s="22"/>
    </row>
    <row r="198" spans="6:66" x14ac:dyDescent="0.25">
      <c r="BH198" s="22"/>
      <c r="BI198" s="22"/>
      <c r="BJ198" s="22"/>
      <c r="BK198" s="22"/>
      <c r="BL198" s="22"/>
      <c r="BM198" s="22"/>
      <c r="BN198" s="22"/>
    </row>
    <row r="199" spans="6:66" x14ac:dyDescent="0.25">
      <c r="BH199" s="22"/>
      <c r="BI199" s="22"/>
      <c r="BJ199" s="22"/>
      <c r="BK199" s="22"/>
      <c r="BL199" s="22"/>
      <c r="BM199" s="22"/>
      <c r="BN199" s="22"/>
    </row>
    <row r="200" spans="6:66" x14ac:dyDescent="0.25">
      <c r="BH200" s="22"/>
      <c r="BI200" s="22"/>
      <c r="BJ200" s="22"/>
      <c r="BK200" s="22"/>
      <c r="BL200" s="22"/>
      <c r="BM200" s="22"/>
      <c r="BN200" s="22"/>
    </row>
    <row r="201" spans="6:66" x14ac:dyDescent="0.25">
      <c r="BH201" s="22"/>
      <c r="BI201" s="22"/>
      <c r="BJ201" s="22"/>
      <c r="BK201" s="22"/>
      <c r="BL201" s="22"/>
      <c r="BM201" s="22"/>
      <c r="BN201" s="22"/>
    </row>
    <row r="202" spans="6:66" x14ac:dyDescent="0.25">
      <c r="BH202" s="22"/>
      <c r="BI202" s="22"/>
      <c r="BJ202" s="22"/>
      <c r="BK202" s="22"/>
      <c r="BL202" s="22"/>
      <c r="BM202" s="22"/>
      <c r="BN202" s="22"/>
    </row>
    <row r="203" spans="6:66" x14ac:dyDescent="0.25">
      <c r="BH203" s="22"/>
      <c r="BI203" s="22"/>
      <c r="BJ203" s="22"/>
      <c r="BK203" s="22"/>
      <c r="BL203" s="22"/>
      <c r="BM203" s="22"/>
      <c r="BN203" s="22"/>
    </row>
    <row r="204" spans="6:66" x14ac:dyDescent="0.25">
      <c r="BH204" s="22"/>
      <c r="BI204" s="22"/>
      <c r="BJ204" s="22"/>
      <c r="BK204" s="22"/>
      <c r="BL204" s="22"/>
      <c r="BM204" s="22"/>
      <c r="BN204" s="22"/>
    </row>
    <row r="205" spans="6:66" x14ac:dyDescent="0.25">
      <c r="BH205" s="22"/>
      <c r="BI205" s="22"/>
      <c r="BJ205" s="22"/>
      <c r="BK205" s="22"/>
      <c r="BL205" s="22"/>
      <c r="BM205" s="22"/>
      <c r="BN205" s="22"/>
    </row>
    <row r="206" spans="6:66" x14ac:dyDescent="0.25">
      <c r="BH206" s="22"/>
      <c r="BI206" s="22"/>
      <c r="BJ206" s="22"/>
      <c r="BK206" s="22"/>
      <c r="BL206" s="22"/>
      <c r="BM206" s="22"/>
      <c r="BN206" s="22"/>
    </row>
    <row r="207" spans="6:66" x14ac:dyDescent="0.25">
      <c r="BH207" s="22"/>
      <c r="BI207" s="22"/>
      <c r="BJ207" s="22"/>
      <c r="BK207" s="22"/>
      <c r="BL207" s="22"/>
      <c r="BM207" s="22"/>
      <c r="BN207" s="22"/>
    </row>
    <row r="208" spans="6:66" x14ac:dyDescent="0.25">
      <c r="BH208" s="22"/>
      <c r="BI208" s="22"/>
      <c r="BJ208" s="22"/>
      <c r="BK208" s="22"/>
      <c r="BL208" s="22"/>
      <c r="BM208" s="22"/>
      <c r="BN208" s="22"/>
    </row>
    <row r="209" spans="60:66" x14ac:dyDescent="0.25">
      <c r="BH209" s="22"/>
      <c r="BI209" s="22"/>
      <c r="BJ209" s="22"/>
      <c r="BK209" s="22"/>
      <c r="BL209" s="22"/>
      <c r="BM209" s="22"/>
      <c r="BN209" s="22"/>
    </row>
    <row r="210" spans="60:66" x14ac:dyDescent="0.25">
      <c r="BH210" s="22"/>
      <c r="BI210" s="22"/>
      <c r="BJ210" s="22"/>
      <c r="BK210" s="22"/>
      <c r="BL210" s="22"/>
      <c r="BM210" s="22"/>
      <c r="BN210" s="22"/>
    </row>
    <row r="211" spans="60:66" x14ac:dyDescent="0.25">
      <c r="BH211" s="22"/>
      <c r="BI211" s="22"/>
      <c r="BJ211" s="22"/>
      <c r="BK211" s="22"/>
      <c r="BL211" s="22"/>
      <c r="BM211" s="22"/>
      <c r="BN211" s="22"/>
    </row>
    <row r="212" spans="60:66" x14ac:dyDescent="0.25">
      <c r="BH212" s="22"/>
      <c r="BI212" s="22"/>
      <c r="BJ212" s="22"/>
      <c r="BK212" s="22"/>
      <c r="BL212" s="22"/>
      <c r="BM212" s="22"/>
      <c r="BN212" s="22"/>
    </row>
    <row r="213" spans="60:66" x14ac:dyDescent="0.25">
      <c r="BH213" s="22"/>
      <c r="BI213" s="22"/>
      <c r="BJ213" s="22"/>
      <c r="BK213" s="22"/>
      <c r="BL213" s="22"/>
      <c r="BM213" s="22"/>
      <c r="BN213" s="22"/>
    </row>
    <row r="214" spans="60:66" x14ac:dyDescent="0.25">
      <c r="BH214" s="22"/>
      <c r="BI214" s="22"/>
      <c r="BJ214" s="22"/>
      <c r="BK214" s="22"/>
      <c r="BL214" s="22"/>
      <c r="BM214" s="22"/>
      <c r="BN214" s="22"/>
    </row>
    <row r="215" spans="60:66" x14ac:dyDescent="0.25">
      <c r="BH215" s="22"/>
      <c r="BI215" s="22"/>
      <c r="BJ215" s="22"/>
      <c r="BK215" s="22"/>
      <c r="BL215" s="22"/>
      <c r="BM215" s="22"/>
      <c r="BN215" s="22"/>
    </row>
    <row r="216" spans="60:66" x14ac:dyDescent="0.25">
      <c r="BH216" s="22"/>
      <c r="BI216" s="22"/>
      <c r="BJ216" s="22"/>
      <c r="BK216" s="22"/>
      <c r="BL216" s="22"/>
      <c r="BM216" s="22"/>
      <c r="BN216" s="22"/>
    </row>
    <row r="217" spans="60:66" x14ac:dyDescent="0.25">
      <c r="BH217" s="22"/>
      <c r="BI217" s="22"/>
      <c r="BJ217" s="22"/>
      <c r="BK217" s="22"/>
      <c r="BL217" s="22"/>
      <c r="BM217" s="22"/>
      <c r="BN217" s="22"/>
    </row>
    <row r="218" spans="60:66" x14ac:dyDescent="0.25">
      <c r="BH218" s="22"/>
      <c r="BI218" s="22"/>
      <c r="BJ218" s="22"/>
      <c r="BK218" s="22"/>
      <c r="BL218" s="22"/>
      <c r="BM218" s="22"/>
      <c r="BN218" s="22"/>
    </row>
    <row r="219" spans="60:66" x14ac:dyDescent="0.25">
      <c r="BH219" s="22"/>
      <c r="BI219" s="22"/>
      <c r="BJ219" s="22"/>
      <c r="BK219" s="22"/>
      <c r="BL219" s="22"/>
      <c r="BM219" s="22"/>
      <c r="BN219" s="22"/>
    </row>
    <row r="220" spans="60:66" x14ac:dyDescent="0.25">
      <c r="BH220" s="22"/>
      <c r="BI220" s="22"/>
      <c r="BJ220" s="22"/>
      <c r="BK220" s="22"/>
      <c r="BL220" s="22"/>
      <c r="BM220" s="22"/>
      <c r="BN220" s="22"/>
    </row>
    <row r="221" spans="60:66" x14ac:dyDescent="0.25">
      <c r="BH221" s="22"/>
      <c r="BI221" s="22"/>
      <c r="BJ221" s="22"/>
      <c r="BK221" s="22"/>
      <c r="BL221" s="22"/>
      <c r="BM221" s="22"/>
      <c r="BN221" s="22"/>
    </row>
    <row r="222" spans="60:66" x14ac:dyDescent="0.25">
      <c r="BH222" s="22"/>
      <c r="BI222" s="22"/>
      <c r="BJ222" s="22"/>
      <c r="BK222" s="22"/>
      <c r="BL222" s="22"/>
      <c r="BM222" s="22"/>
      <c r="BN222" s="22"/>
    </row>
    <row r="223" spans="60:66" x14ac:dyDescent="0.25">
      <c r="BH223" s="22"/>
      <c r="BI223" s="22"/>
      <c r="BJ223" s="22"/>
      <c r="BK223" s="22"/>
      <c r="BL223" s="22"/>
      <c r="BM223" s="22"/>
      <c r="BN223" s="22"/>
    </row>
    <row r="224" spans="60:66" x14ac:dyDescent="0.25">
      <c r="BH224" s="22"/>
      <c r="BI224" s="22"/>
      <c r="BJ224" s="22"/>
      <c r="BK224" s="22"/>
      <c r="BL224" s="22"/>
      <c r="BM224" s="22"/>
      <c r="BN224" s="22"/>
    </row>
    <row r="225" spans="60:66" x14ac:dyDescent="0.25">
      <c r="BH225" s="22"/>
      <c r="BI225" s="22"/>
      <c r="BJ225" s="22"/>
      <c r="BK225" s="22"/>
      <c r="BL225" s="22"/>
      <c r="BM225" s="22"/>
      <c r="BN225" s="22"/>
    </row>
    <row r="226" spans="60:66" x14ac:dyDescent="0.25">
      <c r="BH226" s="22"/>
      <c r="BI226" s="22"/>
      <c r="BJ226" s="22"/>
      <c r="BK226" s="22"/>
      <c r="BL226" s="22"/>
      <c r="BM226" s="22"/>
      <c r="BN226" s="22"/>
    </row>
    <row r="227" spans="60:66" x14ac:dyDescent="0.25">
      <c r="BH227" s="22"/>
      <c r="BI227" s="22"/>
      <c r="BJ227" s="22"/>
      <c r="BK227" s="22"/>
      <c r="BL227" s="22"/>
      <c r="BM227" s="22"/>
      <c r="BN227" s="22"/>
    </row>
    <row r="228" spans="60:66" x14ac:dyDescent="0.25">
      <c r="BH228" s="22"/>
      <c r="BI228" s="22"/>
      <c r="BJ228" s="22"/>
      <c r="BK228" s="22"/>
      <c r="BL228" s="22"/>
      <c r="BM228" s="22"/>
      <c r="BN228" s="22"/>
    </row>
    <row r="229" spans="60:66" x14ac:dyDescent="0.25">
      <c r="BH229" s="22"/>
      <c r="BI229" s="22"/>
      <c r="BJ229" s="22"/>
      <c r="BK229" s="22"/>
      <c r="BL229" s="22"/>
      <c r="BM229" s="22"/>
      <c r="BN229" s="22"/>
    </row>
    <row r="230" spans="60:66" x14ac:dyDescent="0.25">
      <c r="BH230" s="22"/>
      <c r="BI230" s="22"/>
      <c r="BJ230" s="22"/>
      <c r="BK230" s="22"/>
      <c r="BL230" s="22"/>
      <c r="BM230" s="22"/>
      <c r="BN230" s="22"/>
    </row>
    <row r="231" spans="60:66" x14ac:dyDescent="0.25">
      <c r="BH231" s="22"/>
      <c r="BI231" s="22"/>
      <c r="BJ231" s="22"/>
      <c r="BK231" s="22"/>
      <c r="BL231" s="22"/>
      <c r="BM231" s="22"/>
      <c r="BN231" s="22"/>
    </row>
    <row r="232" spans="60:66" x14ac:dyDescent="0.25">
      <c r="BH232" s="22"/>
      <c r="BI232" s="22"/>
      <c r="BJ232" s="22"/>
      <c r="BK232" s="22"/>
      <c r="BL232" s="22"/>
      <c r="BM232" s="22"/>
      <c r="BN232" s="22"/>
    </row>
    <row r="233" spans="60:66" x14ac:dyDescent="0.25">
      <c r="BH233" s="22"/>
      <c r="BI233" s="22"/>
      <c r="BJ233" s="22"/>
      <c r="BK233" s="22"/>
      <c r="BL233" s="22"/>
      <c r="BM233" s="22"/>
      <c r="BN233" s="22"/>
    </row>
    <row r="234" spans="60:66" x14ac:dyDescent="0.25">
      <c r="BH234" s="22"/>
      <c r="BI234" s="22"/>
      <c r="BJ234" s="22"/>
      <c r="BK234" s="22"/>
      <c r="BL234" s="22"/>
      <c r="BM234" s="22"/>
      <c r="BN234" s="22"/>
    </row>
    <row r="235" spans="60:66" x14ac:dyDescent="0.25">
      <c r="BH235" s="22"/>
      <c r="BI235" s="22"/>
      <c r="BJ235" s="22"/>
      <c r="BK235" s="22"/>
      <c r="BL235" s="22"/>
      <c r="BM235" s="22"/>
      <c r="BN235" s="22"/>
    </row>
    <row r="236" spans="60:66" x14ac:dyDescent="0.25">
      <c r="BH236" s="22"/>
      <c r="BI236" s="22"/>
      <c r="BJ236" s="22"/>
      <c r="BK236" s="22"/>
      <c r="BL236" s="22"/>
      <c r="BM236" s="22"/>
      <c r="BN236" s="22"/>
    </row>
    <row r="237" spans="60:66" x14ac:dyDescent="0.25">
      <c r="BH237" s="22"/>
      <c r="BI237" s="22"/>
      <c r="BJ237" s="22"/>
      <c r="BK237" s="22"/>
      <c r="BL237" s="22"/>
      <c r="BM237" s="22"/>
      <c r="BN237" s="22"/>
    </row>
    <row r="238" spans="60:66" x14ac:dyDescent="0.25">
      <c r="BH238" s="22"/>
      <c r="BI238" s="22"/>
      <c r="BJ238" s="22"/>
      <c r="BK238" s="22"/>
      <c r="BL238" s="22"/>
      <c r="BM238" s="22"/>
      <c r="BN238" s="22"/>
    </row>
    <row r="239" spans="60:66" x14ac:dyDescent="0.25">
      <c r="BH239" s="22"/>
      <c r="BI239" s="22"/>
      <c r="BJ239" s="22"/>
      <c r="BK239" s="22"/>
      <c r="BL239" s="22"/>
      <c r="BM239" s="22"/>
      <c r="BN239" s="22"/>
    </row>
    <row r="240" spans="60:66" x14ac:dyDescent="0.25">
      <c r="BH240" s="22"/>
      <c r="BI240" s="22"/>
      <c r="BJ240" s="22"/>
      <c r="BK240" s="22"/>
      <c r="BL240" s="22"/>
      <c r="BM240" s="22"/>
      <c r="BN240" s="22"/>
    </row>
    <row r="241" spans="60:66" x14ac:dyDescent="0.25">
      <c r="BH241" s="22"/>
      <c r="BI241" s="22"/>
      <c r="BJ241" s="22"/>
      <c r="BK241" s="22"/>
      <c r="BL241" s="22"/>
      <c r="BM241" s="22"/>
      <c r="BN241" s="22"/>
    </row>
    <row r="242" spans="60:66" x14ac:dyDescent="0.25">
      <c r="BH242" s="22"/>
      <c r="BI242" s="22"/>
      <c r="BJ242" s="22"/>
      <c r="BK242" s="22"/>
      <c r="BL242" s="22"/>
      <c r="BM242" s="22"/>
      <c r="BN242" s="22"/>
    </row>
    <row r="243" spans="60:66" x14ac:dyDescent="0.25">
      <c r="BH243" s="22"/>
      <c r="BI243" s="22"/>
      <c r="BJ243" s="22"/>
      <c r="BK243" s="22"/>
      <c r="BL243" s="22"/>
      <c r="BM243" s="22"/>
      <c r="BN243" s="22"/>
    </row>
    <row r="244" spans="60:66" x14ac:dyDescent="0.25">
      <c r="BH244" s="22"/>
      <c r="BI244" s="22"/>
      <c r="BJ244" s="22"/>
      <c r="BK244" s="22"/>
      <c r="BL244" s="22"/>
      <c r="BM244" s="22"/>
      <c r="BN244" s="22"/>
    </row>
    <row r="245" spans="60:66" x14ac:dyDescent="0.25">
      <c r="BH245" s="22"/>
      <c r="BI245" s="22"/>
      <c r="BJ245" s="22"/>
      <c r="BK245" s="22"/>
      <c r="BL245" s="22"/>
      <c r="BM245" s="22"/>
      <c r="BN245" s="22"/>
    </row>
    <row r="246" spans="60:66" x14ac:dyDescent="0.25">
      <c r="BH246" s="22"/>
      <c r="BI246" s="22"/>
      <c r="BJ246" s="22"/>
      <c r="BK246" s="22"/>
      <c r="BL246" s="22"/>
      <c r="BM246" s="22"/>
      <c r="BN246" s="22"/>
    </row>
    <row r="247" spans="60:66" x14ac:dyDescent="0.25">
      <c r="BH247" s="22"/>
      <c r="BI247" s="22"/>
      <c r="BJ247" s="22"/>
      <c r="BK247" s="22"/>
      <c r="BL247" s="22"/>
      <c r="BM247" s="22"/>
      <c r="BN247" s="22"/>
    </row>
  </sheetData>
  <conditionalFormatting sqref="K10:AO29">
    <cfRule type="containsText" dxfId="21" priority="1" operator="containsText" text="L">
      <formula>NOT(ISERROR(SEARCH("L",K10)))</formula>
    </cfRule>
    <cfRule type="containsText" dxfId="20" priority="2" operator="containsText" text="A">
      <formula>NOT(ISERROR(SEARCH("A",K10)))</formula>
    </cfRule>
    <cfRule type="containsText" dxfId="19" priority="3" operator="containsText" text="P">
      <formula>NOT(ISERROR(SEARCH("P",K10)))</formula>
    </cfRule>
  </conditionalFormatting>
  <conditionalFormatting sqref="L10 AN10:AO29 J11:L29 J10">
    <cfRule type="containsText" dxfId="18" priority="24" operator="containsText" text="WO">
      <formula>NOT(ISERROR(SEARCH("WO",J10)))</formula>
    </cfRule>
  </conditionalFormatting>
  <conditionalFormatting sqref="M10:M29">
    <cfRule type="containsText" dxfId="17" priority="20" operator="containsText" text="WO">
      <formula>NOT(ISERROR(SEARCH("WO",M10)))</formula>
    </cfRule>
  </conditionalFormatting>
  <conditionalFormatting sqref="R11:R29">
    <cfRule type="containsText" dxfId="16" priority="19" operator="containsText" text="WO">
      <formula>NOT(ISERROR(SEARCH("WO",R11)))</formula>
    </cfRule>
  </conditionalFormatting>
  <conditionalFormatting sqref="S10:T29">
    <cfRule type="containsText" dxfId="15" priority="10" operator="containsText" text="WO">
      <formula>NOT(ISERROR(SEARCH("WO",S10)))</formula>
    </cfRule>
  </conditionalFormatting>
  <conditionalFormatting sqref="Y11:Y29">
    <cfRule type="containsText" dxfId="14" priority="9" operator="containsText" text="WO">
      <formula>NOT(ISERROR(SEARCH("WO",Y11)))</formula>
    </cfRule>
  </conditionalFormatting>
  <conditionalFormatting sqref="Z10:AA29">
    <cfRule type="containsText" dxfId="13" priority="5" operator="containsText" text="WO">
      <formula>NOT(ISERROR(SEARCH("WO",Z10)))</formula>
    </cfRule>
  </conditionalFormatting>
  <conditionalFormatting sqref="AF11:AF29">
    <cfRule type="containsText" dxfId="12" priority="4" operator="containsText" text="WO">
      <formula>NOT(ISERROR(SEARCH("WO",AF11)))</formula>
    </cfRule>
  </conditionalFormatting>
  <conditionalFormatting sqref="AG10:AH29">
    <cfRule type="containsText" dxfId="11" priority="15" operator="containsText" text="WO">
      <formula>NOT(ISERROR(SEARCH("WO",AG10)))</formula>
    </cfRule>
  </conditionalFormatting>
  <conditionalFormatting sqref="AM11:AM29">
    <cfRule type="containsText" dxfId="10" priority="14" operator="containsText" text="WO">
      <formula>NOT(ISERROR(SEARCH("WO",AM11)))</formula>
    </cfRule>
  </conditionalFormatting>
  <dataValidations count="1">
    <dataValidation type="list" allowBlank="1" showInputMessage="1" showErrorMessage="1" sqref="K10:K29 M10:R29 AH10:AM29 T10:Y29 AA10:AF29" xr:uid="{8EB9417C-66C6-4AEF-A79C-7C19124235E8}">
      <formula1>"P, A, 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6FB0CA-7B85-45D5-AAE0-A96A66CF8DA8}">
          <x14:formula1>
            <xm:f>Sheet2!$A$1:$A$12</xm:f>
          </x14:formula1>
          <xm:sqref>H6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84985ADC-1FD5-48F9-A2C8-96BC4C446A9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Nov!AV10:AY10</xm:f>
              <xm:sqref>BF10</xm:sqref>
            </x14:sparkline>
            <x14:sparkline>
              <xm:f>Nov!AV11:AY11</xm:f>
              <xm:sqref>BF11</xm:sqref>
            </x14:sparkline>
            <x14:sparkline>
              <xm:f>Nov!AV12:AY12</xm:f>
              <xm:sqref>BF12</xm:sqref>
            </x14:sparkline>
            <x14:sparkline>
              <xm:f>Nov!AV13:AY13</xm:f>
              <xm:sqref>BF13</xm:sqref>
            </x14:sparkline>
            <x14:sparkline>
              <xm:f>Nov!AV14:AY14</xm:f>
              <xm:sqref>BF14</xm:sqref>
            </x14:sparkline>
            <x14:sparkline>
              <xm:f>Nov!AV15:AY15</xm:f>
              <xm:sqref>BF15</xm:sqref>
            </x14:sparkline>
            <x14:sparkline>
              <xm:f>Nov!AV16:AY16</xm:f>
              <xm:sqref>BF16</xm:sqref>
            </x14:sparkline>
            <x14:sparkline>
              <xm:f>Nov!AV17:AY17</xm:f>
              <xm:sqref>BF17</xm:sqref>
            </x14:sparkline>
            <x14:sparkline>
              <xm:f>Nov!AV18:AY18</xm:f>
              <xm:sqref>BF18</xm:sqref>
            </x14:sparkline>
            <x14:sparkline>
              <xm:f>Nov!AV19:AY19</xm:f>
              <xm:sqref>BF19</xm:sqref>
            </x14:sparkline>
            <x14:sparkline>
              <xm:f>Nov!AV20:AY20</xm:f>
              <xm:sqref>BF20</xm:sqref>
            </x14:sparkline>
            <x14:sparkline>
              <xm:f>Nov!AV21:AY21</xm:f>
              <xm:sqref>BF21</xm:sqref>
            </x14:sparkline>
            <x14:sparkline>
              <xm:f>Nov!AV22:AY22</xm:f>
              <xm:sqref>BF22</xm:sqref>
            </x14:sparkline>
            <x14:sparkline>
              <xm:f>Nov!AV23:AY23</xm:f>
              <xm:sqref>BF23</xm:sqref>
            </x14:sparkline>
            <x14:sparkline>
              <xm:f>Nov!AV24:AY24</xm:f>
              <xm:sqref>BF24</xm:sqref>
            </x14:sparkline>
            <x14:sparkline>
              <xm:f>Nov!AV25:AY25</xm:f>
              <xm:sqref>BF25</xm:sqref>
            </x14:sparkline>
            <x14:sparkline>
              <xm:f>Nov!AV26:AY26</xm:f>
              <xm:sqref>BF26</xm:sqref>
            </x14:sparkline>
            <x14:sparkline>
              <xm:f>Nov!AV27:AY27</xm:f>
              <xm:sqref>BF27</xm:sqref>
            </x14:sparkline>
            <x14:sparkline>
              <xm:f>Nov!AV28:AY28</xm:f>
              <xm:sqref>BF28</xm:sqref>
            </x14:sparkline>
            <x14:sparkline>
              <xm:f>Nov!AV29:AY29</xm:f>
              <xm:sqref>BF29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26812-EC71-4CF2-9886-5FA8D3CD4586}">
  <dimension ref="E1:CI247"/>
  <sheetViews>
    <sheetView zoomScale="85" zoomScaleNormal="85" workbookViewId="0"/>
  </sheetViews>
  <sheetFormatPr defaultRowHeight="15.75" x14ac:dyDescent="0.25"/>
  <cols>
    <col min="1" max="4" width="9.140625" style="3"/>
    <col min="5" max="5" width="9.140625" style="22"/>
    <col min="6" max="6" width="9.140625" style="3"/>
    <col min="7" max="7" width="9.28515625" style="3" bestFit="1" customWidth="1"/>
    <col min="8" max="8" width="26.85546875" style="3" customWidth="1"/>
    <col min="9" max="9" width="15" style="3" customWidth="1"/>
    <col min="10" max="10" width="19.28515625" style="3" customWidth="1"/>
    <col min="11" max="11" width="9.140625" style="3"/>
    <col min="12" max="12" width="9.28515625" style="3" bestFit="1" customWidth="1"/>
    <col min="13" max="13" width="13.7109375" style="3" customWidth="1"/>
    <col min="14" max="41" width="9.28515625" style="3" bestFit="1" customWidth="1"/>
    <col min="42" max="42" width="9.140625" style="3"/>
    <col min="43" max="43" width="9.140625" style="22"/>
    <col min="44" max="44" width="9.140625" style="3"/>
    <col min="45" max="46" width="15.42578125" style="3" customWidth="1"/>
    <col min="47" max="47" width="15.5703125" style="3" customWidth="1"/>
    <col min="48" max="48" width="10.7109375" style="3" customWidth="1"/>
    <col min="49" max="49" width="10.28515625" style="3" customWidth="1"/>
    <col min="50" max="50" width="9.140625" style="3"/>
    <col min="51" max="51" width="11.5703125" style="3" customWidth="1"/>
    <col min="52" max="52" width="9.140625" style="3"/>
    <col min="53" max="53" width="13.7109375" style="3" customWidth="1"/>
    <col min="54" max="54" width="13.5703125" style="3" customWidth="1"/>
    <col min="55" max="55" width="17.85546875" style="3" customWidth="1"/>
    <col min="56" max="56" width="15" style="3" customWidth="1"/>
    <col min="57" max="57" width="18.140625" style="3" customWidth="1"/>
    <col min="58" max="58" width="25.140625" style="3" customWidth="1"/>
    <col min="59" max="59" width="9.140625" style="22"/>
    <col min="60" max="16384" width="9.140625" style="3"/>
  </cols>
  <sheetData>
    <row r="1" spans="6:87" x14ac:dyDescent="0.25"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</row>
    <row r="2" spans="6:87" x14ac:dyDescent="0.25"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</row>
    <row r="3" spans="6:87" x14ac:dyDescent="0.25"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</row>
    <row r="4" spans="6:87" s="22" customFormat="1" x14ac:dyDescent="0.25"/>
    <row r="5" spans="6:87" s="22" customFormat="1" x14ac:dyDescent="0.25"/>
    <row r="6" spans="6:87" s="22" customFormat="1" x14ac:dyDescent="0.25">
      <c r="G6" s="25" t="s">
        <v>22</v>
      </c>
      <c r="H6" s="26">
        <v>45992</v>
      </c>
      <c r="I6" s="27">
        <f>(DATEDIF($H$6,$M$6,"D"))+1</f>
        <v>31</v>
      </c>
      <c r="J6" s="25" t="str">
        <f>TEXT(H6,"MMMM")</f>
        <v>December</v>
      </c>
      <c r="K6" s="25"/>
      <c r="L6" s="25" t="s">
        <v>23</v>
      </c>
      <c r="M6" s="26">
        <f>EOMONTH(H6,0)</f>
        <v>46022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6:87" x14ac:dyDescent="0.25"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</row>
    <row r="8" spans="6:87" x14ac:dyDescent="0.25">
      <c r="F8" s="21"/>
      <c r="G8" s="5"/>
      <c r="H8" s="5" t="s">
        <v>25</v>
      </c>
      <c r="I8" s="5"/>
      <c r="J8" s="5" t="s">
        <v>26</v>
      </c>
      <c r="K8" s="5" t="str">
        <f>TEXT(K9,"DDD")</f>
        <v>Mon</v>
      </c>
      <c r="L8" s="5" t="str">
        <f t="shared" ref="L8:AO8" si="0">TEXT(L9,"DDD")</f>
        <v>Tue</v>
      </c>
      <c r="M8" s="5" t="str">
        <f t="shared" si="0"/>
        <v>Wed</v>
      </c>
      <c r="N8" s="5" t="str">
        <f t="shared" si="0"/>
        <v>Thu</v>
      </c>
      <c r="O8" s="5" t="str">
        <f t="shared" si="0"/>
        <v>Fri</v>
      </c>
      <c r="P8" s="5" t="str">
        <f t="shared" si="0"/>
        <v>Sat</v>
      </c>
      <c r="Q8" s="5" t="str">
        <f t="shared" si="0"/>
        <v>Sun</v>
      </c>
      <c r="R8" s="5" t="str">
        <f t="shared" si="0"/>
        <v>Mon</v>
      </c>
      <c r="S8" s="5" t="str">
        <f t="shared" si="0"/>
        <v>Tue</v>
      </c>
      <c r="T8" s="5" t="str">
        <f t="shared" si="0"/>
        <v>Wed</v>
      </c>
      <c r="U8" s="5" t="str">
        <f t="shared" si="0"/>
        <v>Thu</v>
      </c>
      <c r="V8" s="5" t="str">
        <f t="shared" si="0"/>
        <v>Fri</v>
      </c>
      <c r="W8" s="5" t="str">
        <f t="shared" si="0"/>
        <v>Sat</v>
      </c>
      <c r="X8" s="5" t="str">
        <f t="shared" si="0"/>
        <v>Sun</v>
      </c>
      <c r="Y8" s="5" t="str">
        <f t="shared" si="0"/>
        <v>Mon</v>
      </c>
      <c r="Z8" s="5" t="str">
        <f t="shared" si="0"/>
        <v>Tue</v>
      </c>
      <c r="AA8" s="5" t="str">
        <f t="shared" si="0"/>
        <v>Wed</v>
      </c>
      <c r="AB8" s="5" t="str">
        <f t="shared" si="0"/>
        <v>Thu</v>
      </c>
      <c r="AC8" s="5" t="str">
        <f t="shared" si="0"/>
        <v>Fri</v>
      </c>
      <c r="AD8" s="5" t="str">
        <f t="shared" si="0"/>
        <v>Sat</v>
      </c>
      <c r="AE8" s="5" t="str">
        <f t="shared" si="0"/>
        <v>Sun</v>
      </c>
      <c r="AF8" s="5" t="str">
        <f t="shared" si="0"/>
        <v>Mon</v>
      </c>
      <c r="AG8" s="5" t="str">
        <f t="shared" si="0"/>
        <v>Tue</v>
      </c>
      <c r="AH8" s="5" t="str">
        <f t="shared" si="0"/>
        <v>Wed</v>
      </c>
      <c r="AI8" s="5" t="str">
        <f t="shared" si="0"/>
        <v>Thu</v>
      </c>
      <c r="AJ8" s="5" t="str">
        <f t="shared" si="0"/>
        <v>Fri</v>
      </c>
      <c r="AK8" s="5" t="str">
        <f t="shared" si="0"/>
        <v>Sat</v>
      </c>
      <c r="AL8" s="5" t="str">
        <f t="shared" si="0"/>
        <v>Sun</v>
      </c>
      <c r="AM8" s="5" t="str">
        <f t="shared" si="0"/>
        <v>Mon</v>
      </c>
      <c r="AN8" s="5" t="str">
        <f t="shared" si="0"/>
        <v>Tue</v>
      </c>
      <c r="AO8" s="5" t="str">
        <f t="shared" si="0"/>
        <v>Wed</v>
      </c>
      <c r="AP8" s="21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</row>
    <row r="9" spans="6:87" ht="16.5" thickBot="1" x14ac:dyDescent="0.3">
      <c r="F9" s="21"/>
      <c r="G9" s="13" t="s">
        <v>0</v>
      </c>
      <c r="H9" s="13" t="s">
        <v>1</v>
      </c>
      <c r="I9" s="13" t="s">
        <v>2</v>
      </c>
      <c r="J9" s="37" t="s">
        <v>21</v>
      </c>
      <c r="K9" s="38">
        <f>H6</f>
        <v>45992</v>
      </c>
      <c r="L9" s="38">
        <f>IF(K9&lt;$M$6,K9+1,"")</f>
        <v>45993</v>
      </c>
      <c r="M9" s="38">
        <f t="shared" ref="M9:AO9" si="1">IF(L9&lt;$M$6,L9+1,"")</f>
        <v>45994</v>
      </c>
      <c r="N9" s="38">
        <f t="shared" si="1"/>
        <v>45995</v>
      </c>
      <c r="O9" s="38">
        <f t="shared" si="1"/>
        <v>45996</v>
      </c>
      <c r="P9" s="38">
        <f t="shared" si="1"/>
        <v>45997</v>
      </c>
      <c r="Q9" s="38">
        <f t="shared" si="1"/>
        <v>45998</v>
      </c>
      <c r="R9" s="38">
        <f t="shared" si="1"/>
        <v>45999</v>
      </c>
      <c r="S9" s="38">
        <f t="shared" si="1"/>
        <v>46000</v>
      </c>
      <c r="T9" s="38">
        <f t="shared" si="1"/>
        <v>46001</v>
      </c>
      <c r="U9" s="38">
        <f t="shared" si="1"/>
        <v>46002</v>
      </c>
      <c r="V9" s="38">
        <f t="shared" si="1"/>
        <v>46003</v>
      </c>
      <c r="W9" s="38">
        <f t="shared" si="1"/>
        <v>46004</v>
      </c>
      <c r="X9" s="38">
        <f t="shared" si="1"/>
        <v>46005</v>
      </c>
      <c r="Y9" s="38">
        <f t="shared" si="1"/>
        <v>46006</v>
      </c>
      <c r="Z9" s="38">
        <f t="shared" si="1"/>
        <v>46007</v>
      </c>
      <c r="AA9" s="38">
        <f t="shared" si="1"/>
        <v>46008</v>
      </c>
      <c r="AB9" s="38">
        <f t="shared" si="1"/>
        <v>46009</v>
      </c>
      <c r="AC9" s="38">
        <f t="shared" si="1"/>
        <v>46010</v>
      </c>
      <c r="AD9" s="38">
        <f t="shared" si="1"/>
        <v>46011</v>
      </c>
      <c r="AE9" s="38">
        <f t="shared" si="1"/>
        <v>46012</v>
      </c>
      <c r="AF9" s="38">
        <f t="shared" si="1"/>
        <v>46013</v>
      </c>
      <c r="AG9" s="38">
        <f t="shared" si="1"/>
        <v>46014</v>
      </c>
      <c r="AH9" s="38">
        <f t="shared" si="1"/>
        <v>46015</v>
      </c>
      <c r="AI9" s="38">
        <f t="shared" si="1"/>
        <v>46016</v>
      </c>
      <c r="AJ9" s="38">
        <f t="shared" si="1"/>
        <v>46017</v>
      </c>
      <c r="AK9" s="38">
        <f t="shared" si="1"/>
        <v>46018</v>
      </c>
      <c r="AL9" s="38">
        <f t="shared" si="1"/>
        <v>46019</v>
      </c>
      <c r="AM9" s="38">
        <f t="shared" si="1"/>
        <v>46020</v>
      </c>
      <c r="AN9" s="38">
        <f t="shared" si="1"/>
        <v>46021</v>
      </c>
      <c r="AO9" s="38">
        <f t="shared" si="1"/>
        <v>46022</v>
      </c>
      <c r="AP9" s="21"/>
      <c r="AQ9" s="24"/>
      <c r="AR9" s="18" t="s">
        <v>0</v>
      </c>
      <c r="AS9" s="18" t="s">
        <v>1</v>
      </c>
      <c r="AT9" s="18" t="s">
        <v>37</v>
      </c>
      <c r="AU9" s="18" t="s">
        <v>2</v>
      </c>
      <c r="AV9" s="18" t="s">
        <v>27</v>
      </c>
      <c r="AW9" s="18" t="s">
        <v>28</v>
      </c>
      <c r="AX9" s="18" t="s">
        <v>29</v>
      </c>
      <c r="AY9" s="18" t="s">
        <v>30</v>
      </c>
      <c r="AZ9" s="18" t="s">
        <v>26</v>
      </c>
      <c r="BA9" s="18" t="s">
        <v>31</v>
      </c>
      <c r="BB9" s="18" t="s">
        <v>32</v>
      </c>
      <c r="BC9" s="18" t="s">
        <v>33</v>
      </c>
      <c r="BD9" s="18" t="s">
        <v>34</v>
      </c>
      <c r="BE9" s="18" t="s">
        <v>35</v>
      </c>
      <c r="BF9" s="18" t="s">
        <v>36</v>
      </c>
      <c r="BG9" s="24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</row>
    <row r="10" spans="6:87" x14ac:dyDescent="0.25">
      <c r="F10" s="21"/>
      <c r="G10" s="6">
        <v>1</v>
      </c>
      <c r="H10" s="7" t="s">
        <v>3</v>
      </c>
      <c r="I10" s="7">
        <v>1001</v>
      </c>
      <c r="J10" s="41">
        <f>COUNTIF($J$8:$AO$8,"SUN")</f>
        <v>4</v>
      </c>
      <c r="K10" s="10" t="s">
        <v>38</v>
      </c>
      <c r="L10" s="10" t="s">
        <v>38</v>
      </c>
      <c r="M10" s="10" t="s">
        <v>39</v>
      </c>
      <c r="N10" s="10" t="s">
        <v>38</v>
      </c>
      <c r="O10" s="10" t="s">
        <v>38</v>
      </c>
      <c r="P10" s="10" t="s">
        <v>38</v>
      </c>
      <c r="Q10" s="43" t="str">
        <f t="shared" ref="Q10:AL20" si="2">IF(Q$8="SUN","WO","")</f>
        <v>WO</v>
      </c>
      <c r="R10" s="16" t="s">
        <v>38</v>
      </c>
      <c r="S10" s="10" t="s">
        <v>38</v>
      </c>
      <c r="T10" s="10" t="s">
        <v>38</v>
      </c>
      <c r="U10" s="10" t="s">
        <v>38</v>
      </c>
      <c r="V10" s="10" t="s">
        <v>38</v>
      </c>
      <c r="W10" s="10" t="s">
        <v>39</v>
      </c>
      <c r="X10" s="43" t="str">
        <f t="shared" si="2"/>
        <v>WO</v>
      </c>
      <c r="Y10" s="16" t="s">
        <v>38</v>
      </c>
      <c r="Z10" s="10" t="s">
        <v>38</v>
      </c>
      <c r="AA10" s="10" t="s">
        <v>38</v>
      </c>
      <c r="AB10" s="10" t="s">
        <v>38</v>
      </c>
      <c r="AC10" s="10" t="s">
        <v>38</v>
      </c>
      <c r="AD10" s="10" t="s">
        <v>39</v>
      </c>
      <c r="AE10" s="43" t="str">
        <f t="shared" si="2"/>
        <v>WO</v>
      </c>
      <c r="AF10" s="16" t="s">
        <v>38</v>
      </c>
      <c r="AG10" s="16" t="s">
        <v>38</v>
      </c>
      <c r="AH10" s="16" t="s">
        <v>38</v>
      </c>
      <c r="AI10" s="16" t="s">
        <v>40</v>
      </c>
      <c r="AJ10" s="16" t="s">
        <v>38</v>
      </c>
      <c r="AK10" s="16" t="s">
        <v>38</v>
      </c>
      <c r="AL10" s="43" t="str">
        <f t="shared" si="2"/>
        <v>WO</v>
      </c>
      <c r="AM10" s="16" t="s">
        <v>39</v>
      </c>
      <c r="AN10" s="16" t="s">
        <v>38</v>
      </c>
      <c r="AO10" s="17" t="s">
        <v>38</v>
      </c>
      <c r="AP10" s="21"/>
      <c r="AQ10" s="24"/>
      <c r="AR10" s="10">
        <v>1</v>
      </c>
      <c r="AS10" s="9" t="s">
        <v>3</v>
      </c>
      <c r="AT10" s="9" t="str">
        <f t="shared" ref="AT10:AT29" si="3">$J$6</f>
        <v>December</v>
      </c>
      <c r="AU10" s="9">
        <v>1001</v>
      </c>
      <c r="AV10" s="9">
        <f t="shared" ref="AV10:AV29" si="4">COUNTIF($K10:$AO10,"P")</f>
        <v>22</v>
      </c>
      <c r="AW10" s="9">
        <f t="shared" ref="AW10:AW29" si="5">COUNTIF($K10:$AO10,"A")</f>
        <v>4</v>
      </c>
      <c r="AX10" s="9">
        <f t="shared" ref="AX10:AX29" si="6">COUNTIF($K10:$AO10,"L")</f>
        <v>1</v>
      </c>
      <c r="AY10" s="16">
        <f t="shared" ref="AY10:AY29" si="7">$J$10</f>
        <v>4</v>
      </c>
      <c r="AZ10" s="16">
        <f t="shared" ref="AZ10:AZ29" si="8">$I$6</f>
        <v>31</v>
      </c>
      <c r="BA10" s="16">
        <f>DecReport[[#This Row],[Days]]-DecReport[[#This Row],[Absent]]</f>
        <v>27</v>
      </c>
      <c r="BB10" s="19">
        <v>10000</v>
      </c>
      <c r="BC10" s="20">
        <f>DecReport[[#This Row],[Salary ]]/DecReport[[#This Row],[Days]]</f>
        <v>322.58064516129031</v>
      </c>
      <c r="BD10" s="20">
        <f>DecReport[[#This Row],[Per Day Salary ]]*DecReport[[#This Row],[Absent]]</f>
        <v>1290.3225806451612</v>
      </c>
      <c r="BE10" s="20">
        <f>DecReport[[#This Row],[Salary ]]-DecReport[[#This Row],[Deduction]]</f>
        <v>8709.677419354839</v>
      </c>
      <c r="BF10" s="20"/>
      <c r="BG10" s="24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</row>
    <row r="11" spans="6:87" x14ac:dyDescent="0.25">
      <c r="F11" s="21"/>
      <c r="G11" s="8">
        <v>2</v>
      </c>
      <c r="H11" s="9" t="s">
        <v>4</v>
      </c>
      <c r="I11" s="10">
        <v>1002</v>
      </c>
      <c r="J11" s="35">
        <f t="shared" ref="J11:J29" si="9">COUNTIF($J$8:$AO$8,"SUN")</f>
        <v>4</v>
      </c>
      <c r="K11" s="10" t="s">
        <v>38</v>
      </c>
      <c r="L11" s="10" t="s">
        <v>38</v>
      </c>
      <c r="M11" s="10" t="s">
        <v>38</v>
      </c>
      <c r="N11" s="10" t="s">
        <v>38</v>
      </c>
      <c r="O11" s="10" t="s">
        <v>39</v>
      </c>
      <c r="P11" s="10" t="s">
        <v>38</v>
      </c>
      <c r="Q11" s="44" t="str">
        <f t="shared" ref="Q11:X29" si="10">IF(Q$8="SUN","WO","")</f>
        <v>WO</v>
      </c>
      <c r="R11" s="16" t="s">
        <v>39</v>
      </c>
      <c r="S11" s="10" t="s">
        <v>38</v>
      </c>
      <c r="T11" s="10" t="s">
        <v>38</v>
      </c>
      <c r="U11" s="10" t="s">
        <v>38</v>
      </c>
      <c r="V11" s="10" t="s">
        <v>38</v>
      </c>
      <c r="W11" s="16" t="s">
        <v>38</v>
      </c>
      <c r="X11" s="44" t="str">
        <f t="shared" si="10"/>
        <v>WO</v>
      </c>
      <c r="Y11" s="16" t="s">
        <v>39</v>
      </c>
      <c r="Z11" s="10" t="s">
        <v>38</v>
      </c>
      <c r="AA11" s="10" t="s">
        <v>38</v>
      </c>
      <c r="AB11" s="10" t="s">
        <v>38</v>
      </c>
      <c r="AC11" s="10" t="s">
        <v>38</v>
      </c>
      <c r="AD11" s="16" t="s">
        <v>38</v>
      </c>
      <c r="AE11" s="44" t="str">
        <f t="shared" si="2"/>
        <v>WO</v>
      </c>
      <c r="AF11" s="16" t="s">
        <v>38</v>
      </c>
      <c r="AG11" s="16" t="s">
        <v>38</v>
      </c>
      <c r="AH11" s="16" t="s">
        <v>38</v>
      </c>
      <c r="AI11" s="16" t="s">
        <v>38</v>
      </c>
      <c r="AJ11" s="16" t="s">
        <v>38</v>
      </c>
      <c r="AK11" s="16" t="s">
        <v>38</v>
      </c>
      <c r="AL11" s="44" t="str">
        <f t="shared" si="2"/>
        <v>WO</v>
      </c>
      <c r="AM11" s="16" t="s">
        <v>38</v>
      </c>
      <c r="AN11" s="16" t="s">
        <v>38</v>
      </c>
      <c r="AO11" s="17" t="s">
        <v>38</v>
      </c>
      <c r="AP11" s="21"/>
      <c r="AQ11" s="24"/>
      <c r="AR11" s="10">
        <v>2</v>
      </c>
      <c r="AS11" s="9" t="s">
        <v>4</v>
      </c>
      <c r="AT11" s="9" t="str">
        <f t="shared" si="3"/>
        <v>December</v>
      </c>
      <c r="AU11" s="9">
        <v>1002</v>
      </c>
      <c r="AV11" s="9">
        <f t="shared" si="4"/>
        <v>24</v>
      </c>
      <c r="AW11" s="16">
        <f t="shared" si="5"/>
        <v>3</v>
      </c>
      <c r="AX11" s="16">
        <f t="shared" si="6"/>
        <v>0</v>
      </c>
      <c r="AY11" s="16">
        <f t="shared" si="7"/>
        <v>4</v>
      </c>
      <c r="AZ11" s="16">
        <f t="shared" si="8"/>
        <v>31</v>
      </c>
      <c r="BA11" s="16">
        <f>DecReport[[#This Row],[Days]]-DecReport[[#This Row],[Absent]]</f>
        <v>28</v>
      </c>
      <c r="BB11" s="19">
        <v>20000</v>
      </c>
      <c r="BC11" s="20">
        <f>DecReport[[#This Row],[Salary ]]/DecReport[[#This Row],[Days]]</f>
        <v>645.16129032258061</v>
      </c>
      <c r="BD11" s="20">
        <f>DecReport[[#This Row],[Per Day Salary ]]*DecReport[[#This Row],[Absent]]</f>
        <v>1935.483870967742</v>
      </c>
      <c r="BE11" s="20">
        <f>DecReport[[#This Row],[Salary ]]-DecReport[[#This Row],[Deduction]]</f>
        <v>18064.516129032258</v>
      </c>
      <c r="BF11" s="20"/>
      <c r="BG11" s="24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</row>
    <row r="12" spans="6:87" x14ac:dyDescent="0.25">
      <c r="F12" s="21"/>
      <c r="G12" s="8">
        <v>3</v>
      </c>
      <c r="H12" s="10" t="s">
        <v>5</v>
      </c>
      <c r="I12" s="10">
        <v>1003</v>
      </c>
      <c r="J12" s="35">
        <f t="shared" si="9"/>
        <v>4</v>
      </c>
      <c r="K12" s="10" t="s">
        <v>38</v>
      </c>
      <c r="L12" s="10" t="s">
        <v>40</v>
      </c>
      <c r="M12" s="10" t="s">
        <v>38</v>
      </c>
      <c r="N12" s="10" t="s">
        <v>38</v>
      </c>
      <c r="O12" s="10" t="s">
        <v>38</v>
      </c>
      <c r="P12" s="10" t="s">
        <v>38</v>
      </c>
      <c r="Q12" s="44" t="str">
        <f t="shared" si="2"/>
        <v>WO</v>
      </c>
      <c r="R12" s="16" t="s">
        <v>38</v>
      </c>
      <c r="S12" s="10" t="s">
        <v>38</v>
      </c>
      <c r="T12" s="10" t="s">
        <v>40</v>
      </c>
      <c r="U12" s="10" t="s">
        <v>38</v>
      </c>
      <c r="V12" s="10" t="s">
        <v>38</v>
      </c>
      <c r="W12" s="16" t="s">
        <v>38</v>
      </c>
      <c r="X12" s="44" t="str">
        <f t="shared" si="2"/>
        <v>WO</v>
      </c>
      <c r="Y12" s="16" t="s">
        <v>38</v>
      </c>
      <c r="Z12" s="10" t="s">
        <v>38</v>
      </c>
      <c r="AA12" s="10" t="s">
        <v>40</v>
      </c>
      <c r="AB12" s="10" t="s">
        <v>38</v>
      </c>
      <c r="AC12" s="10" t="s">
        <v>38</v>
      </c>
      <c r="AD12" s="16" t="s">
        <v>38</v>
      </c>
      <c r="AE12" s="44" t="str">
        <f t="shared" si="2"/>
        <v>WO</v>
      </c>
      <c r="AF12" s="16" t="s">
        <v>38</v>
      </c>
      <c r="AG12" s="16" t="s">
        <v>38</v>
      </c>
      <c r="AH12" s="16" t="s">
        <v>38</v>
      </c>
      <c r="AI12" s="16" t="s">
        <v>38</v>
      </c>
      <c r="AJ12" s="16" t="s">
        <v>40</v>
      </c>
      <c r="AK12" s="16" t="s">
        <v>38</v>
      </c>
      <c r="AL12" s="44" t="str">
        <f t="shared" si="2"/>
        <v>WO</v>
      </c>
      <c r="AM12" s="16" t="s">
        <v>38</v>
      </c>
      <c r="AN12" s="16" t="s">
        <v>38</v>
      </c>
      <c r="AO12" s="17" t="s">
        <v>38</v>
      </c>
      <c r="AP12" s="21"/>
      <c r="AQ12" s="24"/>
      <c r="AR12" s="10">
        <v>3</v>
      </c>
      <c r="AS12" s="10" t="s">
        <v>5</v>
      </c>
      <c r="AT12" s="10" t="str">
        <f t="shared" si="3"/>
        <v>December</v>
      </c>
      <c r="AU12" s="10">
        <v>1003</v>
      </c>
      <c r="AV12" s="9">
        <f t="shared" si="4"/>
        <v>23</v>
      </c>
      <c r="AW12" s="16">
        <f t="shared" si="5"/>
        <v>0</v>
      </c>
      <c r="AX12" s="16">
        <f t="shared" si="6"/>
        <v>4</v>
      </c>
      <c r="AY12" s="16">
        <f t="shared" si="7"/>
        <v>4</v>
      </c>
      <c r="AZ12" s="16">
        <f t="shared" si="8"/>
        <v>31</v>
      </c>
      <c r="BA12" s="16">
        <f>DecReport[[#This Row],[Days]]-DecReport[[#This Row],[Absent]]</f>
        <v>31</v>
      </c>
      <c r="BB12" s="19">
        <v>30000</v>
      </c>
      <c r="BC12" s="20">
        <f>DecReport[[#This Row],[Salary ]]/DecReport[[#This Row],[Days]]</f>
        <v>967.74193548387098</v>
      </c>
      <c r="BD12" s="20">
        <f>DecReport[[#This Row],[Per Day Salary ]]*DecReport[[#This Row],[Absent]]</f>
        <v>0</v>
      </c>
      <c r="BE12" s="20">
        <f>DecReport[[#This Row],[Salary ]]-DecReport[[#This Row],[Deduction]]</f>
        <v>30000</v>
      </c>
      <c r="BF12" s="20"/>
      <c r="BG12" s="24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</row>
    <row r="13" spans="6:87" x14ac:dyDescent="0.25">
      <c r="F13" s="21"/>
      <c r="G13" s="8">
        <v>4</v>
      </c>
      <c r="H13" s="10" t="s">
        <v>6</v>
      </c>
      <c r="I13" s="10">
        <v>1004</v>
      </c>
      <c r="J13" s="35">
        <f t="shared" si="9"/>
        <v>4</v>
      </c>
      <c r="K13" s="10" t="s">
        <v>38</v>
      </c>
      <c r="L13" s="10" t="s">
        <v>38</v>
      </c>
      <c r="M13" s="10" t="s">
        <v>38</v>
      </c>
      <c r="N13" s="10" t="s">
        <v>38</v>
      </c>
      <c r="O13" s="10" t="s">
        <v>38</v>
      </c>
      <c r="P13" s="10" t="s">
        <v>38</v>
      </c>
      <c r="Q13" s="44" t="str">
        <f t="shared" si="2"/>
        <v>WO</v>
      </c>
      <c r="R13" s="16" t="s">
        <v>38</v>
      </c>
      <c r="S13" s="10" t="s">
        <v>38</v>
      </c>
      <c r="T13" s="10" t="s">
        <v>38</v>
      </c>
      <c r="U13" s="10" t="s">
        <v>38</v>
      </c>
      <c r="V13" s="10" t="s">
        <v>38</v>
      </c>
      <c r="W13" s="16" t="s">
        <v>38</v>
      </c>
      <c r="X13" s="44" t="str">
        <f t="shared" si="2"/>
        <v>WO</v>
      </c>
      <c r="Y13" s="16" t="s">
        <v>38</v>
      </c>
      <c r="Z13" s="10" t="s">
        <v>38</v>
      </c>
      <c r="AA13" s="10" t="s">
        <v>38</v>
      </c>
      <c r="AB13" s="10" t="s">
        <v>38</v>
      </c>
      <c r="AC13" s="10" t="s">
        <v>38</v>
      </c>
      <c r="AD13" s="16" t="s">
        <v>38</v>
      </c>
      <c r="AE13" s="44" t="str">
        <f t="shared" si="2"/>
        <v>WO</v>
      </c>
      <c r="AF13" s="16" t="s">
        <v>38</v>
      </c>
      <c r="AG13" s="16" t="s">
        <v>38</v>
      </c>
      <c r="AH13" s="16" t="s">
        <v>38</v>
      </c>
      <c r="AI13" s="16" t="s">
        <v>38</v>
      </c>
      <c r="AJ13" s="16" t="s">
        <v>38</v>
      </c>
      <c r="AK13" s="16" t="s">
        <v>38</v>
      </c>
      <c r="AL13" s="44" t="str">
        <f t="shared" si="2"/>
        <v>WO</v>
      </c>
      <c r="AM13" s="16" t="s">
        <v>38</v>
      </c>
      <c r="AN13" s="16" t="s">
        <v>39</v>
      </c>
      <c r="AO13" s="17" t="s">
        <v>38</v>
      </c>
      <c r="AP13" s="21"/>
      <c r="AQ13" s="24"/>
      <c r="AR13" s="10">
        <v>4</v>
      </c>
      <c r="AS13" s="10" t="s">
        <v>6</v>
      </c>
      <c r="AT13" s="10" t="str">
        <f t="shared" si="3"/>
        <v>December</v>
      </c>
      <c r="AU13" s="10">
        <v>1004</v>
      </c>
      <c r="AV13" s="9">
        <f t="shared" si="4"/>
        <v>26</v>
      </c>
      <c r="AW13" s="16">
        <f t="shared" si="5"/>
        <v>1</v>
      </c>
      <c r="AX13" s="16">
        <f t="shared" si="6"/>
        <v>0</v>
      </c>
      <c r="AY13" s="16">
        <f t="shared" si="7"/>
        <v>4</v>
      </c>
      <c r="AZ13" s="16">
        <f t="shared" si="8"/>
        <v>31</v>
      </c>
      <c r="BA13" s="16">
        <f>DecReport[[#This Row],[Days]]-DecReport[[#This Row],[Absent]]</f>
        <v>30</v>
      </c>
      <c r="BB13" s="19">
        <v>45000</v>
      </c>
      <c r="BC13" s="20">
        <f>DecReport[[#This Row],[Salary ]]/DecReport[[#This Row],[Days]]</f>
        <v>1451.6129032258063</v>
      </c>
      <c r="BD13" s="20">
        <f>DecReport[[#This Row],[Per Day Salary ]]*DecReport[[#This Row],[Absent]]</f>
        <v>1451.6129032258063</v>
      </c>
      <c r="BE13" s="20">
        <f>DecReport[[#This Row],[Salary ]]-DecReport[[#This Row],[Deduction]]</f>
        <v>43548.387096774197</v>
      </c>
      <c r="BF13" s="20"/>
      <c r="BG13" s="24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</row>
    <row r="14" spans="6:87" x14ac:dyDescent="0.25">
      <c r="F14" s="21"/>
      <c r="G14" s="8">
        <v>5</v>
      </c>
      <c r="H14" s="10" t="s">
        <v>7</v>
      </c>
      <c r="I14" s="10">
        <v>1005</v>
      </c>
      <c r="J14" s="35">
        <f t="shared" si="9"/>
        <v>4</v>
      </c>
      <c r="K14" s="10" t="s">
        <v>38</v>
      </c>
      <c r="L14" s="10" t="s">
        <v>40</v>
      </c>
      <c r="M14" s="10" t="s">
        <v>38</v>
      </c>
      <c r="N14" s="10" t="s">
        <v>38</v>
      </c>
      <c r="O14" s="10" t="s">
        <v>38</v>
      </c>
      <c r="P14" s="10" t="s">
        <v>38</v>
      </c>
      <c r="Q14" s="44" t="str">
        <f t="shared" si="2"/>
        <v>WO</v>
      </c>
      <c r="R14" s="16" t="s">
        <v>38</v>
      </c>
      <c r="S14" s="10" t="s">
        <v>38</v>
      </c>
      <c r="T14" s="10" t="s">
        <v>38</v>
      </c>
      <c r="U14" s="10" t="s">
        <v>38</v>
      </c>
      <c r="V14" s="10" t="s">
        <v>39</v>
      </c>
      <c r="W14" s="16" t="s">
        <v>38</v>
      </c>
      <c r="X14" s="44" t="str">
        <f t="shared" si="2"/>
        <v>WO</v>
      </c>
      <c r="Y14" s="16" t="s">
        <v>38</v>
      </c>
      <c r="Z14" s="10" t="s">
        <v>38</v>
      </c>
      <c r="AA14" s="10" t="s">
        <v>38</v>
      </c>
      <c r="AB14" s="10" t="s">
        <v>38</v>
      </c>
      <c r="AC14" s="10" t="s">
        <v>39</v>
      </c>
      <c r="AD14" s="16" t="s">
        <v>38</v>
      </c>
      <c r="AE14" s="44" t="str">
        <f t="shared" si="2"/>
        <v>WO</v>
      </c>
      <c r="AF14" s="16" t="s">
        <v>39</v>
      </c>
      <c r="AG14" s="16" t="s">
        <v>38</v>
      </c>
      <c r="AH14" s="16" t="s">
        <v>38</v>
      </c>
      <c r="AI14" s="16" t="s">
        <v>38</v>
      </c>
      <c r="AJ14" s="16" t="s">
        <v>38</v>
      </c>
      <c r="AK14" s="16" t="s">
        <v>38</v>
      </c>
      <c r="AL14" s="44" t="str">
        <f t="shared" si="2"/>
        <v>WO</v>
      </c>
      <c r="AM14" s="16" t="s">
        <v>38</v>
      </c>
      <c r="AN14" s="16" t="s">
        <v>38</v>
      </c>
      <c r="AO14" s="17" t="s">
        <v>38</v>
      </c>
      <c r="AP14" s="21"/>
      <c r="AQ14" s="24"/>
      <c r="AR14" s="10">
        <v>5</v>
      </c>
      <c r="AS14" s="10" t="s">
        <v>7</v>
      </c>
      <c r="AT14" s="10" t="str">
        <f t="shared" si="3"/>
        <v>December</v>
      </c>
      <c r="AU14" s="10">
        <v>1005</v>
      </c>
      <c r="AV14" s="9">
        <f t="shared" si="4"/>
        <v>23</v>
      </c>
      <c r="AW14" s="16">
        <f t="shared" si="5"/>
        <v>3</v>
      </c>
      <c r="AX14" s="16">
        <f t="shared" si="6"/>
        <v>1</v>
      </c>
      <c r="AY14" s="16">
        <f t="shared" si="7"/>
        <v>4</v>
      </c>
      <c r="AZ14" s="16">
        <f t="shared" si="8"/>
        <v>31</v>
      </c>
      <c r="BA14" s="16">
        <f>DecReport[[#This Row],[Days]]-DecReport[[#This Row],[Absent]]</f>
        <v>28</v>
      </c>
      <c r="BB14" s="19">
        <v>62000</v>
      </c>
      <c r="BC14" s="20">
        <f>DecReport[[#This Row],[Salary ]]/DecReport[[#This Row],[Days]]</f>
        <v>2000</v>
      </c>
      <c r="BD14" s="20">
        <f>DecReport[[#This Row],[Per Day Salary ]]*DecReport[[#This Row],[Absent]]</f>
        <v>6000</v>
      </c>
      <c r="BE14" s="20">
        <f>DecReport[[#This Row],[Salary ]]-DecReport[[#This Row],[Deduction]]</f>
        <v>56000</v>
      </c>
      <c r="BF14" s="20"/>
      <c r="BG14" s="24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</row>
    <row r="15" spans="6:87" x14ac:dyDescent="0.25">
      <c r="F15" s="21"/>
      <c r="G15" s="8">
        <v>6</v>
      </c>
      <c r="H15" s="10" t="s">
        <v>8</v>
      </c>
      <c r="I15" s="10">
        <v>1006</v>
      </c>
      <c r="J15" s="35">
        <f t="shared" si="9"/>
        <v>4</v>
      </c>
      <c r="K15" s="10" t="s">
        <v>38</v>
      </c>
      <c r="L15" s="10" t="s">
        <v>38</v>
      </c>
      <c r="M15" s="10" t="s">
        <v>38</v>
      </c>
      <c r="N15" s="10" t="s">
        <v>38</v>
      </c>
      <c r="O15" s="10" t="s">
        <v>38</v>
      </c>
      <c r="P15" s="10" t="s">
        <v>39</v>
      </c>
      <c r="Q15" s="44" t="str">
        <f t="shared" si="2"/>
        <v>WO</v>
      </c>
      <c r="R15" s="16" t="s">
        <v>38</v>
      </c>
      <c r="S15" s="10" t="s">
        <v>38</v>
      </c>
      <c r="T15" s="10" t="s">
        <v>38</v>
      </c>
      <c r="U15" s="10" t="s">
        <v>38</v>
      </c>
      <c r="V15" s="10" t="s">
        <v>38</v>
      </c>
      <c r="W15" s="16" t="s">
        <v>38</v>
      </c>
      <c r="X15" s="44" t="str">
        <f t="shared" si="2"/>
        <v>WO</v>
      </c>
      <c r="Y15" s="16" t="s">
        <v>38</v>
      </c>
      <c r="Z15" s="10" t="s">
        <v>38</v>
      </c>
      <c r="AA15" s="10" t="s">
        <v>38</v>
      </c>
      <c r="AB15" s="10" t="s">
        <v>38</v>
      </c>
      <c r="AC15" s="10" t="s">
        <v>38</v>
      </c>
      <c r="AD15" s="16" t="s">
        <v>38</v>
      </c>
      <c r="AE15" s="44" t="str">
        <f t="shared" si="2"/>
        <v>WO</v>
      </c>
      <c r="AF15" s="16" t="s">
        <v>38</v>
      </c>
      <c r="AG15" s="16" t="s">
        <v>38</v>
      </c>
      <c r="AH15" s="16" t="s">
        <v>38</v>
      </c>
      <c r="AI15" s="16" t="s">
        <v>38</v>
      </c>
      <c r="AJ15" s="16" t="s">
        <v>38</v>
      </c>
      <c r="AK15" s="16" t="s">
        <v>38</v>
      </c>
      <c r="AL15" s="44" t="str">
        <f>IF(AL$8="SUN","WO","")</f>
        <v>WO</v>
      </c>
      <c r="AM15" s="16" t="s">
        <v>38</v>
      </c>
      <c r="AN15" s="16" t="s">
        <v>38</v>
      </c>
      <c r="AO15" s="17" t="s">
        <v>38</v>
      </c>
      <c r="AP15" s="21"/>
      <c r="AQ15" s="24"/>
      <c r="AR15" s="10">
        <v>6</v>
      </c>
      <c r="AS15" s="10" t="s">
        <v>8</v>
      </c>
      <c r="AT15" s="10" t="str">
        <f t="shared" si="3"/>
        <v>December</v>
      </c>
      <c r="AU15" s="10">
        <v>1006</v>
      </c>
      <c r="AV15" s="9">
        <f t="shared" si="4"/>
        <v>26</v>
      </c>
      <c r="AW15" s="16">
        <f t="shared" si="5"/>
        <v>1</v>
      </c>
      <c r="AX15" s="16">
        <f t="shared" si="6"/>
        <v>0</v>
      </c>
      <c r="AY15" s="16">
        <f t="shared" si="7"/>
        <v>4</v>
      </c>
      <c r="AZ15" s="16">
        <f t="shared" si="8"/>
        <v>31</v>
      </c>
      <c r="BA15" s="16">
        <f>DecReport[[#This Row],[Days]]-DecReport[[#This Row],[Absent]]</f>
        <v>30</v>
      </c>
      <c r="BB15" s="19">
        <v>13000</v>
      </c>
      <c r="BC15" s="20">
        <f>DecReport[[#This Row],[Salary ]]/DecReport[[#This Row],[Days]]</f>
        <v>419.35483870967744</v>
      </c>
      <c r="BD15" s="20">
        <f>DecReport[[#This Row],[Per Day Salary ]]*DecReport[[#This Row],[Absent]]</f>
        <v>419.35483870967744</v>
      </c>
      <c r="BE15" s="20">
        <f>DecReport[[#This Row],[Salary ]]-DecReport[[#This Row],[Deduction]]</f>
        <v>12580.645161290322</v>
      </c>
      <c r="BF15" s="20"/>
      <c r="BG15" s="24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</row>
    <row r="16" spans="6:87" x14ac:dyDescent="0.25">
      <c r="F16" s="21"/>
      <c r="G16" s="8">
        <v>7</v>
      </c>
      <c r="H16" s="10" t="s">
        <v>9</v>
      </c>
      <c r="I16" s="10">
        <v>1007</v>
      </c>
      <c r="J16" s="35">
        <f t="shared" si="9"/>
        <v>4</v>
      </c>
      <c r="K16" s="10" t="s">
        <v>38</v>
      </c>
      <c r="L16" s="10" t="s">
        <v>39</v>
      </c>
      <c r="M16" s="10" t="s">
        <v>38</v>
      </c>
      <c r="N16" s="10" t="s">
        <v>38</v>
      </c>
      <c r="O16" s="10" t="s">
        <v>38</v>
      </c>
      <c r="P16" s="10" t="s">
        <v>38</v>
      </c>
      <c r="Q16" s="44" t="str">
        <f t="shared" si="2"/>
        <v>WO</v>
      </c>
      <c r="R16" s="16" t="s">
        <v>38</v>
      </c>
      <c r="S16" s="10" t="s">
        <v>39</v>
      </c>
      <c r="T16" s="10" t="s">
        <v>38</v>
      </c>
      <c r="U16" s="10" t="s">
        <v>38</v>
      </c>
      <c r="V16" s="10" t="s">
        <v>38</v>
      </c>
      <c r="W16" s="16" t="s">
        <v>38</v>
      </c>
      <c r="X16" s="44" t="str">
        <f t="shared" si="2"/>
        <v>WO</v>
      </c>
      <c r="Y16" s="16" t="s">
        <v>38</v>
      </c>
      <c r="Z16" s="10" t="s">
        <v>39</v>
      </c>
      <c r="AA16" s="10" t="s">
        <v>38</v>
      </c>
      <c r="AB16" s="10" t="s">
        <v>38</v>
      </c>
      <c r="AC16" s="10" t="s">
        <v>38</v>
      </c>
      <c r="AD16" s="16" t="s">
        <v>38</v>
      </c>
      <c r="AE16" s="44" t="str">
        <f t="shared" si="2"/>
        <v>WO</v>
      </c>
      <c r="AF16" s="16" t="s">
        <v>38</v>
      </c>
      <c r="AG16" s="16" t="s">
        <v>38</v>
      </c>
      <c r="AH16" s="16" t="s">
        <v>38</v>
      </c>
      <c r="AI16" s="16" t="s">
        <v>38</v>
      </c>
      <c r="AJ16" s="16" t="s">
        <v>38</v>
      </c>
      <c r="AK16" s="16" t="s">
        <v>38</v>
      </c>
      <c r="AL16" s="44" t="str">
        <f t="shared" si="2"/>
        <v>WO</v>
      </c>
      <c r="AM16" s="16" t="s">
        <v>38</v>
      </c>
      <c r="AN16" s="16" t="s">
        <v>38</v>
      </c>
      <c r="AO16" s="17" t="s">
        <v>39</v>
      </c>
      <c r="AP16" s="21"/>
      <c r="AQ16" s="24"/>
      <c r="AR16" s="10">
        <v>7</v>
      </c>
      <c r="AS16" s="10" t="s">
        <v>9</v>
      </c>
      <c r="AT16" s="10" t="str">
        <f t="shared" si="3"/>
        <v>December</v>
      </c>
      <c r="AU16" s="10">
        <v>1007</v>
      </c>
      <c r="AV16" s="9">
        <f t="shared" si="4"/>
        <v>23</v>
      </c>
      <c r="AW16" s="16">
        <f t="shared" si="5"/>
        <v>4</v>
      </c>
      <c r="AX16" s="16">
        <f t="shared" si="6"/>
        <v>0</v>
      </c>
      <c r="AY16" s="16">
        <f t="shared" si="7"/>
        <v>4</v>
      </c>
      <c r="AZ16" s="16">
        <f t="shared" si="8"/>
        <v>31</v>
      </c>
      <c r="BA16" s="16">
        <f>DecReport[[#This Row],[Days]]-DecReport[[#This Row],[Absent]]</f>
        <v>27</v>
      </c>
      <c r="BB16" s="19">
        <v>48000</v>
      </c>
      <c r="BC16" s="20">
        <f>DecReport[[#This Row],[Salary ]]/DecReport[[#This Row],[Days]]</f>
        <v>1548.3870967741937</v>
      </c>
      <c r="BD16" s="20">
        <f>DecReport[[#This Row],[Per Day Salary ]]*DecReport[[#This Row],[Absent]]</f>
        <v>6193.5483870967746</v>
      </c>
      <c r="BE16" s="20">
        <f>DecReport[[#This Row],[Salary ]]-DecReport[[#This Row],[Deduction]]</f>
        <v>41806.451612903227</v>
      </c>
      <c r="BF16" s="20"/>
      <c r="BG16" s="24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</row>
    <row r="17" spans="6:87" x14ac:dyDescent="0.25">
      <c r="F17" s="21"/>
      <c r="G17" s="8">
        <v>8</v>
      </c>
      <c r="H17" s="10" t="s">
        <v>10</v>
      </c>
      <c r="I17" s="10">
        <v>1008</v>
      </c>
      <c r="J17" s="35">
        <f t="shared" si="9"/>
        <v>4</v>
      </c>
      <c r="K17" s="10" t="s">
        <v>38</v>
      </c>
      <c r="L17" s="10" t="s">
        <v>38</v>
      </c>
      <c r="M17" s="10" t="s">
        <v>38</v>
      </c>
      <c r="N17" s="10" t="s">
        <v>38</v>
      </c>
      <c r="O17" s="10" t="s">
        <v>39</v>
      </c>
      <c r="P17" s="10" t="s">
        <v>38</v>
      </c>
      <c r="Q17" s="44" t="str">
        <f t="shared" si="2"/>
        <v>WO</v>
      </c>
      <c r="R17" s="16" t="s">
        <v>38</v>
      </c>
      <c r="S17" s="10" t="s">
        <v>38</v>
      </c>
      <c r="T17" s="10" t="s">
        <v>38</v>
      </c>
      <c r="U17" s="10" t="s">
        <v>38</v>
      </c>
      <c r="V17" s="10" t="s">
        <v>38</v>
      </c>
      <c r="W17" s="16" t="s">
        <v>38</v>
      </c>
      <c r="X17" s="44" t="str">
        <f t="shared" si="2"/>
        <v>WO</v>
      </c>
      <c r="Y17" s="16" t="s">
        <v>38</v>
      </c>
      <c r="Z17" s="10" t="s">
        <v>38</v>
      </c>
      <c r="AA17" s="10" t="s">
        <v>38</v>
      </c>
      <c r="AB17" s="10" t="s">
        <v>38</v>
      </c>
      <c r="AC17" s="10" t="s">
        <v>38</v>
      </c>
      <c r="AD17" s="16" t="s">
        <v>38</v>
      </c>
      <c r="AE17" s="44" t="str">
        <f t="shared" si="2"/>
        <v>WO</v>
      </c>
      <c r="AF17" s="16" t="s">
        <v>38</v>
      </c>
      <c r="AG17" s="16" t="s">
        <v>38</v>
      </c>
      <c r="AH17" s="16" t="s">
        <v>40</v>
      </c>
      <c r="AI17" s="16" t="s">
        <v>38</v>
      </c>
      <c r="AJ17" s="16" t="s">
        <v>38</v>
      </c>
      <c r="AK17" s="16" t="s">
        <v>38</v>
      </c>
      <c r="AL17" s="44" t="str">
        <f>IF(AL$8="SUN","WO","")</f>
        <v>WO</v>
      </c>
      <c r="AM17" s="16" t="s">
        <v>38</v>
      </c>
      <c r="AN17" s="16" t="s">
        <v>38</v>
      </c>
      <c r="AO17" s="17" t="s">
        <v>38</v>
      </c>
      <c r="AP17" s="21"/>
      <c r="AQ17" s="24"/>
      <c r="AR17" s="10">
        <v>8</v>
      </c>
      <c r="AS17" s="10" t="s">
        <v>10</v>
      </c>
      <c r="AT17" s="10" t="str">
        <f t="shared" si="3"/>
        <v>December</v>
      </c>
      <c r="AU17" s="10">
        <v>1008</v>
      </c>
      <c r="AV17" s="9">
        <f t="shared" si="4"/>
        <v>25</v>
      </c>
      <c r="AW17" s="16">
        <f t="shared" si="5"/>
        <v>1</v>
      </c>
      <c r="AX17" s="16">
        <f t="shared" si="6"/>
        <v>1</v>
      </c>
      <c r="AY17" s="16">
        <f t="shared" si="7"/>
        <v>4</v>
      </c>
      <c r="AZ17" s="16">
        <f t="shared" si="8"/>
        <v>31</v>
      </c>
      <c r="BA17" s="16">
        <f>DecReport[[#This Row],[Days]]-DecReport[[#This Row],[Absent]]</f>
        <v>30</v>
      </c>
      <c r="BB17" s="19">
        <v>17000</v>
      </c>
      <c r="BC17" s="20">
        <f>DecReport[[#This Row],[Salary ]]/DecReport[[#This Row],[Days]]</f>
        <v>548.38709677419354</v>
      </c>
      <c r="BD17" s="20">
        <f>DecReport[[#This Row],[Per Day Salary ]]*DecReport[[#This Row],[Absent]]</f>
        <v>548.38709677419354</v>
      </c>
      <c r="BE17" s="20">
        <f>DecReport[[#This Row],[Salary ]]-DecReport[[#This Row],[Deduction]]</f>
        <v>16451.612903225807</v>
      </c>
      <c r="BF17" s="20"/>
      <c r="BG17" s="24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</row>
    <row r="18" spans="6:87" x14ac:dyDescent="0.25">
      <c r="F18" s="21"/>
      <c r="G18" s="8">
        <v>9</v>
      </c>
      <c r="H18" s="10" t="s">
        <v>11</v>
      </c>
      <c r="I18" s="10">
        <v>1009</v>
      </c>
      <c r="J18" s="35">
        <f t="shared" si="9"/>
        <v>4</v>
      </c>
      <c r="K18" s="10" t="s">
        <v>38</v>
      </c>
      <c r="L18" s="10" t="s">
        <v>38</v>
      </c>
      <c r="M18" s="10" t="s">
        <v>38</v>
      </c>
      <c r="N18" s="10" t="s">
        <v>38</v>
      </c>
      <c r="O18" s="10" t="s">
        <v>38</v>
      </c>
      <c r="P18" s="10" t="s">
        <v>38</v>
      </c>
      <c r="Q18" s="44" t="str">
        <f t="shared" si="2"/>
        <v>WO</v>
      </c>
      <c r="R18" s="16" t="s">
        <v>38</v>
      </c>
      <c r="S18" s="10" t="s">
        <v>38</v>
      </c>
      <c r="T18" s="10" t="s">
        <v>38</v>
      </c>
      <c r="U18" s="10" t="s">
        <v>40</v>
      </c>
      <c r="V18" s="10" t="s">
        <v>38</v>
      </c>
      <c r="W18" s="16" t="s">
        <v>38</v>
      </c>
      <c r="X18" s="44" t="str">
        <f t="shared" si="2"/>
        <v>WO</v>
      </c>
      <c r="Y18" s="16" t="s">
        <v>38</v>
      </c>
      <c r="Z18" s="10" t="s">
        <v>38</v>
      </c>
      <c r="AA18" s="10" t="s">
        <v>38</v>
      </c>
      <c r="AB18" s="10" t="s">
        <v>40</v>
      </c>
      <c r="AC18" s="10" t="s">
        <v>38</v>
      </c>
      <c r="AD18" s="16" t="s">
        <v>38</v>
      </c>
      <c r="AE18" s="44" t="str">
        <f t="shared" si="2"/>
        <v>WO</v>
      </c>
      <c r="AF18" s="16" t="s">
        <v>38</v>
      </c>
      <c r="AG18" s="16" t="s">
        <v>38</v>
      </c>
      <c r="AH18" s="16" t="s">
        <v>38</v>
      </c>
      <c r="AI18" s="16" t="s">
        <v>38</v>
      </c>
      <c r="AJ18" s="16" t="s">
        <v>39</v>
      </c>
      <c r="AK18" s="16" t="s">
        <v>38</v>
      </c>
      <c r="AL18" s="44" t="str">
        <f t="shared" si="2"/>
        <v>WO</v>
      </c>
      <c r="AM18" s="16" t="s">
        <v>38</v>
      </c>
      <c r="AN18" s="16" t="s">
        <v>38</v>
      </c>
      <c r="AO18" s="17" t="s">
        <v>38</v>
      </c>
      <c r="AP18" s="21"/>
      <c r="AQ18" s="24"/>
      <c r="AR18" s="10">
        <v>9</v>
      </c>
      <c r="AS18" s="10" t="s">
        <v>11</v>
      </c>
      <c r="AT18" s="10" t="str">
        <f t="shared" si="3"/>
        <v>December</v>
      </c>
      <c r="AU18" s="10">
        <v>1009</v>
      </c>
      <c r="AV18" s="9">
        <f t="shared" si="4"/>
        <v>24</v>
      </c>
      <c r="AW18" s="16">
        <f t="shared" si="5"/>
        <v>1</v>
      </c>
      <c r="AX18" s="16">
        <f t="shared" si="6"/>
        <v>2</v>
      </c>
      <c r="AY18" s="16">
        <f t="shared" si="7"/>
        <v>4</v>
      </c>
      <c r="AZ18" s="16">
        <f t="shared" si="8"/>
        <v>31</v>
      </c>
      <c r="BA18" s="16">
        <f>DecReport[[#This Row],[Days]]-DecReport[[#This Row],[Absent]]</f>
        <v>30</v>
      </c>
      <c r="BB18" s="19">
        <v>39000</v>
      </c>
      <c r="BC18" s="20">
        <f>DecReport[[#This Row],[Salary ]]/DecReport[[#This Row],[Days]]</f>
        <v>1258.0645161290322</v>
      </c>
      <c r="BD18" s="20">
        <f>DecReport[[#This Row],[Per Day Salary ]]*DecReport[[#This Row],[Absent]]</f>
        <v>1258.0645161290322</v>
      </c>
      <c r="BE18" s="20">
        <f>DecReport[[#This Row],[Salary ]]-DecReport[[#This Row],[Deduction]]</f>
        <v>37741.93548387097</v>
      </c>
      <c r="BF18" s="20"/>
      <c r="BG18" s="24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</row>
    <row r="19" spans="6:87" x14ac:dyDescent="0.25">
      <c r="F19" s="21"/>
      <c r="G19" s="8">
        <v>10</v>
      </c>
      <c r="H19" s="10" t="s">
        <v>3</v>
      </c>
      <c r="I19" s="10">
        <v>1010</v>
      </c>
      <c r="J19" s="35">
        <f t="shared" si="9"/>
        <v>4</v>
      </c>
      <c r="K19" s="10" t="s">
        <v>39</v>
      </c>
      <c r="L19" s="10" t="s">
        <v>38</v>
      </c>
      <c r="M19" s="10" t="s">
        <v>38</v>
      </c>
      <c r="N19" s="10" t="s">
        <v>38</v>
      </c>
      <c r="O19" s="10" t="s">
        <v>38</v>
      </c>
      <c r="P19" s="10" t="s">
        <v>38</v>
      </c>
      <c r="Q19" s="44" t="str">
        <f t="shared" si="2"/>
        <v>WO</v>
      </c>
      <c r="R19" s="16" t="s">
        <v>38</v>
      </c>
      <c r="S19" s="10" t="s">
        <v>38</v>
      </c>
      <c r="T19" s="10" t="s">
        <v>38</v>
      </c>
      <c r="U19" s="10" t="s">
        <v>38</v>
      </c>
      <c r="V19" s="10" t="s">
        <v>38</v>
      </c>
      <c r="W19" s="16" t="s">
        <v>38</v>
      </c>
      <c r="X19" s="44" t="str">
        <f t="shared" si="2"/>
        <v>WO</v>
      </c>
      <c r="Y19" s="16" t="s">
        <v>38</v>
      </c>
      <c r="Z19" s="10" t="s">
        <v>38</v>
      </c>
      <c r="AA19" s="10" t="s">
        <v>38</v>
      </c>
      <c r="AB19" s="10" t="s">
        <v>38</v>
      </c>
      <c r="AC19" s="10" t="s">
        <v>38</v>
      </c>
      <c r="AD19" s="16" t="s">
        <v>38</v>
      </c>
      <c r="AE19" s="44" t="str">
        <f t="shared" si="2"/>
        <v>WO</v>
      </c>
      <c r="AF19" s="16" t="s">
        <v>38</v>
      </c>
      <c r="AG19" s="16" t="s">
        <v>38</v>
      </c>
      <c r="AH19" s="16" t="s">
        <v>38</v>
      </c>
      <c r="AI19" s="16" t="s">
        <v>38</v>
      </c>
      <c r="AJ19" s="16" t="s">
        <v>38</v>
      </c>
      <c r="AK19" s="16" t="s">
        <v>38</v>
      </c>
      <c r="AL19" s="44" t="str">
        <f t="shared" si="2"/>
        <v>WO</v>
      </c>
      <c r="AM19" s="16" t="s">
        <v>38</v>
      </c>
      <c r="AN19" s="16" t="s">
        <v>38</v>
      </c>
      <c r="AO19" s="17" t="s">
        <v>38</v>
      </c>
      <c r="AP19" s="21"/>
      <c r="AQ19" s="24"/>
      <c r="AR19" s="10">
        <v>10</v>
      </c>
      <c r="AS19" s="10" t="s">
        <v>3</v>
      </c>
      <c r="AT19" s="10" t="str">
        <f t="shared" si="3"/>
        <v>December</v>
      </c>
      <c r="AU19" s="10">
        <v>1010</v>
      </c>
      <c r="AV19" s="9">
        <f t="shared" si="4"/>
        <v>26</v>
      </c>
      <c r="AW19" s="16">
        <f t="shared" si="5"/>
        <v>1</v>
      </c>
      <c r="AX19" s="16">
        <f t="shared" si="6"/>
        <v>0</v>
      </c>
      <c r="AY19" s="16">
        <f t="shared" si="7"/>
        <v>4</v>
      </c>
      <c r="AZ19" s="16">
        <f t="shared" si="8"/>
        <v>31</v>
      </c>
      <c r="BA19" s="16">
        <f>DecReport[[#This Row],[Days]]-DecReport[[#This Row],[Absent]]</f>
        <v>30</v>
      </c>
      <c r="BB19" s="19">
        <v>72000</v>
      </c>
      <c r="BC19" s="20">
        <f>DecReport[[#This Row],[Salary ]]/DecReport[[#This Row],[Days]]</f>
        <v>2322.5806451612902</v>
      </c>
      <c r="BD19" s="20">
        <f>DecReport[[#This Row],[Per Day Salary ]]*DecReport[[#This Row],[Absent]]</f>
        <v>2322.5806451612902</v>
      </c>
      <c r="BE19" s="20">
        <f>DecReport[[#This Row],[Salary ]]-DecReport[[#This Row],[Deduction]]</f>
        <v>69677.419354838712</v>
      </c>
      <c r="BF19" s="20"/>
      <c r="BG19" s="24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</row>
    <row r="20" spans="6:87" x14ac:dyDescent="0.25">
      <c r="F20" s="21"/>
      <c r="G20" s="8">
        <v>11</v>
      </c>
      <c r="H20" s="9" t="s">
        <v>12</v>
      </c>
      <c r="I20" s="10">
        <v>1011</v>
      </c>
      <c r="J20" s="35">
        <f t="shared" si="9"/>
        <v>4</v>
      </c>
      <c r="K20" s="10" t="s">
        <v>38</v>
      </c>
      <c r="L20" s="10" t="s">
        <v>38</v>
      </c>
      <c r="M20" s="10" t="s">
        <v>38</v>
      </c>
      <c r="N20" s="10" t="s">
        <v>38</v>
      </c>
      <c r="O20" s="10" t="s">
        <v>38</v>
      </c>
      <c r="P20" s="10" t="s">
        <v>38</v>
      </c>
      <c r="Q20" s="44" t="str">
        <f t="shared" si="2"/>
        <v>WO</v>
      </c>
      <c r="R20" s="16" t="s">
        <v>38</v>
      </c>
      <c r="S20" s="10" t="s">
        <v>38</v>
      </c>
      <c r="T20" s="10" t="s">
        <v>38</v>
      </c>
      <c r="U20" s="10" t="s">
        <v>40</v>
      </c>
      <c r="V20" s="10" t="s">
        <v>38</v>
      </c>
      <c r="W20" s="16" t="s">
        <v>38</v>
      </c>
      <c r="X20" s="44" t="str">
        <f t="shared" si="2"/>
        <v>WO</v>
      </c>
      <c r="Y20" s="16" t="s">
        <v>38</v>
      </c>
      <c r="Z20" s="10" t="s">
        <v>38</v>
      </c>
      <c r="AA20" s="10" t="s">
        <v>38</v>
      </c>
      <c r="AB20" s="10" t="s">
        <v>40</v>
      </c>
      <c r="AC20" s="10" t="s">
        <v>38</v>
      </c>
      <c r="AD20" s="16" t="s">
        <v>38</v>
      </c>
      <c r="AE20" s="44" t="str">
        <f t="shared" ref="AE20:AL20" si="11">IF(AE$8="SUN","WO","")</f>
        <v>WO</v>
      </c>
      <c r="AF20" s="16" t="s">
        <v>38</v>
      </c>
      <c r="AG20" s="16" t="s">
        <v>38</v>
      </c>
      <c r="AH20" s="16" t="s">
        <v>38</v>
      </c>
      <c r="AI20" s="16" t="s">
        <v>38</v>
      </c>
      <c r="AJ20" s="16" t="s">
        <v>38</v>
      </c>
      <c r="AK20" s="16" t="s">
        <v>38</v>
      </c>
      <c r="AL20" s="44" t="str">
        <f t="shared" si="11"/>
        <v>WO</v>
      </c>
      <c r="AM20" s="16" t="s">
        <v>39</v>
      </c>
      <c r="AN20" s="16" t="s">
        <v>38</v>
      </c>
      <c r="AO20" s="17" t="s">
        <v>38</v>
      </c>
      <c r="AP20" s="21"/>
      <c r="AQ20" s="24"/>
      <c r="AR20" s="10">
        <v>11</v>
      </c>
      <c r="AS20" s="9" t="s">
        <v>12</v>
      </c>
      <c r="AT20" s="9" t="str">
        <f t="shared" si="3"/>
        <v>December</v>
      </c>
      <c r="AU20" s="10">
        <v>1011</v>
      </c>
      <c r="AV20" s="9">
        <f t="shared" si="4"/>
        <v>24</v>
      </c>
      <c r="AW20" s="16">
        <f t="shared" si="5"/>
        <v>1</v>
      </c>
      <c r="AX20" s="16">
        <f t="shared" si="6"/>
        <v>2</v>
      </c>
      <c r="AY20" s="16">
        <f t="shared" si="7"/>
        <v>4</v>
      </c>
      <c r="AZ20" s="16">
        <f t="shared" si="8"/>
        <v>31</v>
      </c>
      <c r="BA20" s="16">
        <f>DecReport[[#This Row],[Days]]-DecReport[[#This Row],[Absent]]</f>
        <v>30</v>
      </c>
      <c r="BB20" s="19">
        <v>13000</v>
      </c>
      <c r="BC20" s="20">
        <f>DecReport[[#This Row],[Salary ]]/DecReport[[#This Row],[Days]]</f>
        <v>419.35483870967744</v>
      </c>
      <c r="BD20" s="20">
        <f>DecReport[[#This Row],[Per Day Salary ]]*DecReport[[#This Row],[Absent]]</f>
        <v>419.35483870967744</v>
      </c>
      <c r="BE20" s="20">
        <f>DecReport[[#This Row],[Salary ]]-DecReport[[#This Row],[Deduction]]</f>
        <v>12580.645161290322</v>
      </c>
      <c r="BF20" s="20"/>
      <c r="BG20" s="24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</row>
    <row r="21" spans="6:87" x14ac:dyDescent="0.25">
      <c r="F21" s="21"/>
      <c r="G21" s="8">
        <v>12</v>
      </c>
      <c r="H21" s="10" t="s">
        <v>13</v>
      </c>
      <c r="I21" s="10">
        <v>1012</v>
      </c>
      <c r="J21" s="35">
        <f t="shared" si="9"/>
        <v>4</v>
      </c>
      <c r="K21" s="10" t="s">
        <v>38</v>
      </c>
      <c r="L21" s="10" t="s">
        <v>38</v>
      </c>
      <c r="M21" s="10" t="s">
        <v>38</v>
      </c>
      <c r="N21" s="10" t="s">
        <v>38</v>
      </c>
      <c r="O21" s="10" t="s">
        <v>38</v>
      </c>
      <c r="P21" s="10" t="s">
        <v>38</v>
      </c>
      <c r="Q21" s="44" t="str">
        <f t="shared" si="10"/>
        <v>WO</v>
      </c>
      <c r="R21" s="16" t="s">
        <v>38</v>
      </c>
      <c r="S21" s="10" t="s">
        <v>38</v>
      </c>
      <c r="T21" s="10" t="s">
        <v>38</v>
      </c>
      <c r="U21" s="10" t="s">
        <v>38</v>
      </c>
      <c r="V21" s="10" t="s">
        <v>38</v>
      </c>
      <c r="W21" s="16" t="s">
        <v>38</v>
      </c>
      <c r="X21" s="44" t="str">
        <f t="shared" si="10"/>
        <v>WO</v>
      </c>
      <c r="Y21" s="16" t="s">
        <v>38</v>
      </c>
      <c r="Z21" s="10" t="s">
        <v>38</v>
      </c>
      <c r="AA21" s="10" t="s">
        <v>38</v>
      </c>
      <c r="AB21" s="10" t="s">
        <v>38</v>
      </c>
      <c r="AC21" s="10" t="s">
        <v>38</v>
      </c>
      <c r="AD21" s="16" t="s">
        <v>38</v>
      </c>
      <c r="AE21" s="44" t="str">
        <f t="shared" ref="AE21:AL29" si="12">IF(AE$8="SUN","WO","")</f>
        <v>WO</v>
      </c>
      <c r="AF21" s="16" t="s">
        <v>38</v>
      </c>
      <c r="AG21" s="16" t="s">
        <v>38</v>
      </c>
      <c r="AH21" s="16" t="s">
        <v>38</v>
      </c>
      <c r="AI21" s="16" t="s">
        <v>38</v>
      </c>
      <c r="AJ21" s="16" t="s">
        <v>38</v>
      </c>
      <c r="AK21" s="16" t="s">
        <v>38</v>
      </c>
      <c r="AL21" s="44" t="str">
        <f t="shared" si="12"/>
        <v>WO</v>
      </c>
      <c r="AM21" s="16" t="s">
        <v>38</v>
      </c>
      <c r="AN21" s="16" t="s">
        <v>38</v>
      </c>
      <c r="AO21" s="17" t="s">
        <v>38</v>
      </c>
      <c r="AP21" s="21"/>
      <c r="AQ21" s="24"/>
      <c r="AR21" s="10">
        <v>12</v>
      </c>
      <c r="AS21" s="10" t="s">
        <v>13</v>
      </c>
      <c r="AT21" s="10" t="str">
        <f t="shared" si="3"/>
        <v>December</v>
      </c>
      <c r="AU21" s="10">
        <v>1012</v>
      </c>
      <c r="AV21" s="9">
        <f t="shared" si="4"/>
        <v>27</v>
      </c>
      <c r="AW21" s="16">
        <f t="shared" si="5"/>
        <v>0</v>
      </c>
      <c r="AX21" s="16">
        <f t="shared" si="6"/>
        <v>0</v>
      </c>
      <c r="AY21" s="16">
        <f t="shared" si="7"/>
        <v>4</v>
      </c>
      <c r="AZ21" s="16">
        <f t="shared" si="8"/>
        <v>31</v>
      </c>
      <c r="BA21" s="16">
        <f>DecReport[[#This Row],[Days]]-DecReport[[#This Row],[Absent]]</f>
        <v>31</v>
      </c>
      <c r="BB21" s="19">
        <v>22000</v>
      </c>
      <c r="BC21" s="20">
        <f>DecReport[[#This Row],[Salary ]]/DecReport[[#This Row],[Days]]</f>
        <v>709.67741935483866</v>
      </c>
      <c r="BD21" s="20">
        <f>DecReport[[#This Row],[Per Day Salary ]]*DecReport[[#This Row],[Absent]]</f>
        <v>0</v>
      </c>
      <c r="BE21" s="20">
        <f>DecReport[[#This Row],[Salary ]]-DecReport[[#This Row],[Deduction]]</f>
        <v>22000</v>
      </c>
      <c r="BF21" s="20"/>
      <c r="BG21" s="24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</row>
    <row r="22" spans="6:87" x14ac:dyDescent="0.25">
      <c r="F22" s="21"/>
      <c r="G22" s="8">
        <v>13</v>
      </c>
      <c r="H22" s="10" t="s">
        <v>14</v>
      </c>
      <c r="I22" s="10">
        <v>1013</v>
      </c>
      <c r="J22" s="35">
        <f t="shared" si="9"/>
        <v>4</v>
      </c>
      <c r="K22" s="10" t="s">
        <v>38</v>
      </c>
      <c r="L22" s="10" t="s">
        <v>38</v>
      </c>
      <c r="M22" s="10" t="s">
        <v>38</v>
      </c>
      <c r="N22" s="10" t="s">
        <v>38</v>
      </c>
      <c r="O22" s="10" t="s">
        <v>38</v>
      </c>
      <c r="P22" s="10" t="s">
        <v>38</v>
      </c>
      <c r="Q22" s="44" t="str">
        <f t="shared" si="10"/>
        <v>WO</v>
      </c>
      <c r="R22" s="16" t="s">
        <v>40</v>
      </c>
      <c r="S22" s="10" t="s">
        <v>38</v>
      </c>
      <c r="T22" s="10" t="s">
        <v>38</v>
      </c>
      <c r="U22" s="10" t="s">
        <v>38</v>
      </c>
      <c r="V22" s="10" t="s">
        <v>38</v>
      </c>
      <c r="W22" s="16" t="s">
        <v>38</v>
      </c>
      <c r="X22" s="44" t="str">
        <f t="shared" si="10"/>
        <v>WO</v>
      </c>
      <c r="Y22" s="16" t="s">
        <v>40</v>
      </c>
      <c r="Z22" s="10" t="s">
        <v>38</v>
      </c>
      <c r="AA22" s="10" t="s">
        <v>38</v>
      </c>
      <c r="AB22" s="10" t="s">
        <v>38</v>
      </c>
      <c r="AC22" s="10" t="s">
        <v>38</v>
      </c>
      <c r="AD22" s="16" t="s">
        <v>38</v>
      </c>
      <c r="AE22" s="44" t="str">
        <f t="shared" si="12"/>
        <v>WO</v>
      </c>
      <c r="AF22" s="16" t="s">
        <v>38</v>
      </c>
      <c r="AG22" s="16" t="s">
        <v>38</v>
      </c>
      <c r="AH22" s="16" t="s">
        <v>38</v>
      </c>
      <c r="AI22" s="16" t="s">
        <v>38</v>
      </c>
      <c r="AJ22" s="16" t="s">
        <v>38</v>
      </c>
      <c r="AK22" s="16" t="s">
        <v>38</v>
      </c>
      <c r="AL22" s="44" t="str">
        <f t="shared" si="12"/>
        <v>WO</v>
      </c>
      <c r="AM22" s="16" t="s">
        <v>38</v>
      </c>
      <c r="AN22" s="16" t="s">
        <v>38</v>
      </c>
      <c r="AO22" s="17" t="s">
        <v>38</v>
      </c>
      <c r="AP22" s="21"/>
      <c r="AQ22" s="24"/>
      <c r="AR22" s="10">
        <v>13</v>
      </c>
      <c r="AS22" s="10" t="s">
        <v>14</v>
      </c>
      <c r="AT22" s="10" t="str">
        <f t="shared" si="3"/>
        <v>December</v>
      </c>
      <c r="AU22" s="10">
        <v>1013</v>
      </c>
      <c r="AV22" s="9">
        <f t="shared" si="4"/>
        <v>25</v>
      </c>
      <c r="AW22" s="16">
        <f t="shared" si="5"/>
        <v>0</v>
      </c>
      <c r="AX22" s="16">
        <f t="shared" si="6"/>
        <v>2</v>
      </c>
      <c r="AY22" s="16">
        <f t="shared" si="7"/>
        <v>4</v>
      </c>
      <c r="AZ22" s="16">
        <f t="shared" si="8"/>
        <v>31</v>
      </c>
      <c r="BA22" s="16">
        <f>DecReport[[#This Row],[Days]]-DecReport[[#This Row],[Absent]]</f>
        <v>31</v>
      </c>
      <c r="BB22" s="19">
        <v>35000</v>
      </c>
      <c r="BC22" s="20">
        <f>DecReport[[#This Row],[Salary ]]/DecReport[[#This Row],[Days]]</f>
        <v>1129.0322580645161</v>
      </c>
      <c r="BD22" s="20">
        <f>DecReport[[#This Row],[Per Day Salary ]]*DecReport[[#This Row],[Absent]]</f>
        <v>0</v>
      </c>
      <c r="BE22" s="20">
        <f>DecReport[[#This Row],[Salary ]]-DecReport[[#This Row],[Deduction]]</f>
        <v>35000</v>
      </c>
      <c r="BF22" s="20"/>
      <c r="BG22" s="24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</row>
    <row r="23" spans="6:87" x14ac:dyDescent="0.25">
      <c r="F23" s="21"/>
      <c r="G23" s="8">
        <v>14</v>
      </c>
      <c r="H23" s="10" t="s">
        <v>15</v>
      </c>
      <c r="I23" s="10">
        <v>1014</v>
      </c>
      <c r="J23" s="35">
        <f t="shared" si="9"/>
        <v>4</v>
      </c>
      <c r="K23" s="10" t="s">
        <v>40</v>
      </c>
      <c r="L23" s="10" t="s">
        <v>38</v>
      </c>
      <c r="M23" s="10" t="s">
        <v>38</v>
      </c>
      <c r="N23" s="10" t="s">
        <v>39</v>
      </c>
      <c r="O23" s="10" t="s">
        <v>38</v>
      </c>
      <c r="P23" s="10" t="s">
        <v>38</v>
      </c>
      <c r="Q23" s="44" t="str">
        <f t="shared" si="10"/>
        <v>WO</v>
      </c>
      <c r="R23" s="16" t="s">
        <v>38</v>
      </c>
      <c r="S23" s="10" t="s">
        <v>38</v>
      </c>
      <c r="T23" s="10" t="s">
        <v>38</v>
      </c>
      <c r="U23" s="10" t="s">
        <v>38</v>
      </c>
      <c r="V23" s="10" t="s">
        <v>38</v>
      </c>
      <c r="W23" s="16" t="s">
        <v>38</v>
      </c>
      <c r="X23" s="44" t="str">
        <f t="shared" si="10"/>
        <v>WO</v>
      </c>
      <c r="Y23" s="16" t="s">
        <v>38</v>
      </c>
      <c r="Z23" s="10" t="s">
        <v>38</v>
      </c>
      <c r="AA23" s="10" t="s">
        <v>38</v>
      </c>
      <c r="AB23" s="10" t="s">
        <v>38</v>
      </c>
      <c r="AC23" s="10" t="s">
        <v>38</v>
      </c>
      <c r="AD23" s="16" t="s">
        <v>38</v>
      </c>
      <c r="AE23" s="44" t="str">
        <f t="shared" si="12"/>
        <v>WO</v>
      </c>
      <c r="AF23" s="16" t="s">
        <v>38</v>
      </c>
      <c r="AG23" s="16" t="s">
        <v>38</v>
      </c>
      <c r="AH23" s="16" t="s">
        <v>38</v>
      </c>
      <c r="AI23" s="16" t="s">
        <v>38</v>
      </c>
      <c r="AJ23" s="16" t="s">
        <v>38</v>
      </c>
      <c r="AK23" s="16" t="s">
        <v>38</v>
      </c>
      <c r="AL23" s="44" t="str">
        <f t="shared" si="12"/>
        <v>WO</v>
      </c>
      <c r="AM23" s="16" t="s">
        <v>38</v>
      </c>
      <c r="AN23" s="16" t="s">
        <v>39</v>
      </c>
      <c r="AO23" s="17" t="s">
        <v>38</v>
      </c>
      <c r="AP23" s="21"/>
      <c r="AQ23" s="24"/>
      <c r="AR23" s="10">
        <v>14</v>
      </c>
      <c r="AS23" s="10" t="s">
        <v>15</v>
      </c>
      <c r="AT23" s="10" t="str">
        <f t="shared" si="3"/>
        <v>December</v>
      </c>
      <c r="AU23" s="10">
        <v>1014</v>
      </c>
      <c r="AV23" s="9">
        <f t="shared" si="4"/>
        <v>24</v>
      </c>
      <c r="AW23" s="16">
        <f t="shared" si="5"/>
        <v>2</v>
      </c>
      <c r="AX23" s="16">
        <f t="shared" si="6"/>
        <v>1</v>
      </c>
      <c r="AY23" s="16">
        <f t="shared" si="7"/>
        <v>4</v>
      </c>
      <c r="AZ23" s="16">
        <f t="shared" si="8"/>
        <v>31</v>
      </c>
      <c r="BA23" s="16">
        <f>DecReport[[#This Row],[Days]]-DecReport[[#This Row],[Absent]]</f>
        <v>29</v>
      </c>
      <c r="BB23" s="19">
        <v>14000</v>
      </c>
      <c r="BC23" s="20">
        <f>DecReport[[#This Row],[Salary ]]/DecReport[[#This Row],[Days]]</f>
        <v>451.61290322580646</v>
      </c>
      <c r="BD23" s="20">
        <f>DecReport[[#This Row],[Per Day Salary ]]*DecReport[[#This Row],[Absent]]</f>
        <v>903.22580645161293</v>
      </c>
      <c r="BE23" s="20">
        <f>DecReport[[#This Row],[Salary ]]-DecReport[[#This Row],[Deduction]]</f>
        <v>13096.774193548386</v>
      </c>
      <c r="BF23" s="20"/>
      <c r="BG23" s="24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</row>
    <row r="24" spans="6:87" x14ac:dyDescent="0.25">
      <c r="F24" s="21"/>
      <c r="G24" s="8">
        <v>15</v>
      </c>
      <c r="H24" s="10" t="s">
        <v>16</v>
      </c>
      <c r="I24" s="10">
        <v>1015</v>
      </c>
      <c r="J24" s="35">
        <f t="shared" si="9"/>
        <v>4</v>
      </c>
      <c r="K24" s="10" t="s">
        <v>38</v>
      </c>
      <c r="L24" s="10" t="s">
        <v>38</v>
      </c>
      <c r="M24" s="10" t="s">
        <v>38</v>
      </c>
      <c r="N24" s="10" t="s">
        <v>38</v>
      </c>
      <c r="O24" s="10" t="s">
        <v>38</v>
      </c>
      <c r="P24" s="10" t="s">
        <v>38</v>
      </c>
      <c r="Q24" s="44" t="str">
        <f t="shared" si="10"/>
        <v>WO</v>
      </c>
      <c r="R24" s="16" t="s">
        <v>38</v>
      </c>
      <c r="S24" s="10" t="s">
        <v>39</v>
      </c>
      <c r="T24" s="10" t="s">
        <v>38</v>
      </c>
      <c r="U24" s="10" t="s">
        <v>38</v>
      </c>
      <c r="V24" s="10" t="s">
        <v>38</v>
      </c>
      <c r="W24" s="16" t="s">
        <v>40</v>
      </c>
      <c r="X24" s="44" t="str">
        <f t="shared" si="10"/>
        <v>WO</v>
      </c>
      <c r="Y24" s="16" t="s">
        <v>38</v>
      </c>
      <c r="Z24" s="10" t="s">
        <v>39</v>
      </c>
      <c r="AA24" s="10" t="s">
        <v>38</v>
      </c>
      <c r="AB24" s="10" t="s">
        <v>38</v>
      </c>
      <c r="AC24" s="10" t="s">
        <v>38</v>
      </c>
      <c r="AD24" s="16" t="s">
        <v>40</v>
      </c>
      <c r="AE24" s="44" t="str">
        <f t="shared" si="12"/>
        <v>WO</v>
      </c>
      <c r="AF24" s="16" t="s">
        <v>38</v>
      </c>
      <c r="AG24" s="16" t="s">
        <v>40</v>
      </c>
      <c r="AH24" s="16" t="s">
        <v>38</v>
      </c>
      <c r="AI24" s="16" t="s">
        <v>38</v>
      </c>
      <c r="AJ24" s="16" t="s">
        <v>38</v>
      </c>
      <c r="AK24" s="16" t="s">
        <v>38</v>
      </c>
      <c r="AL24" s="44" t="str">
        <f t="shared" si="12"/>
        <v>WO</v>
      </c>
      <c r="AM24" s="16" t="s">
        <v>38</v>
      </c>
      <c r="AN24" s="16" t="s">
        <v>38</v>
      </c>
      <c r="AO24" s="17" t="s">
        <v>38</v>
      </c>
      <c r="AP24" s="21"/>
      <c r="AQ24" s="24"/>
      <c r="AR24" s="10">
        <v>15</v>
      </c>
      <c r="AS24" s="10" t="s">
        <v>16</v>
      </c>
      <c r="AT24" s="10" t="str">
        <f t="shared" si="3"/>
        <v>December</v>
      </c>
      <c r="AU24" s="10">
        <v>1015</v>
      </c>
      <c r="AV24" s="9">
        <f t="shared" si="4"/>
        <v>22</v>
      </c>
      <c r="AW24" s="16">
        <f t="shared" si="5"/>
        <v>2</v>
      </c>
      <c r="AX24" s="16">
        <f t="shared" si="6"/>
        <v>3</v>
      </c>
      <c r="AY24" s="16">
        <f t="shared" si="7"/>
        <v>4</v>
      </c>
      <c r="AZ24" s="16">
        <f t="shared" si="8"/>
        <v>31</v>
      </c>
      <c r="BA24" s="16">
        <f>DecReport[[#This Row],[Days]]-DecReport[[#This Row],[Absent]]</f>
        <v>29</v>
      </c>
      <c r="BB24" s="19">
        <v>72000</v>
      </c>
      <c r="BC24" s="20">
        <f>DecReport[[#This Row],[Salary ]]/DecReport[[#This Row],[Days]]</f>
        <v>2322.5806451612902</v>
      </c>
      <c r="BD24" s="20">
        <f>DecReport[[#This Row],[Per Day Salary ]]*DecReport[[#This Row],[Absent]]</f>
        <v>4645.1612903225805</v>
      </c>
      <c r="BE24" s="20">
        <f>DecReport[[#This Row],[Salary ]]-DecReport[[#This Row],[Deduction]]</f>
        <v>67354.838709677424</v>
      </c>
      <c r="BF24" s="20"/>
      <c r="BG24" s="24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</row>
    <row r="25" spans="6:87" x14ac:dyDescent="0.25">
      <c r="F25" s="21"/>
      <c r="G25" s="8">
        <v>16</v>
      </c>
      <c r="H25" s="10" t="s">
        <v>17</v>
      </c>
      <c r="I25" s="10">
        <v>1016</v>
      </c>
      <c r="J25" s="35">
        <f t="shared" si="9"/>
        <v>4</v>
      </c>
      <c r="K25" s="10" t="s">
        <v>38</v>
      </c>
      <c r="L25" s="10" t="s">
        <v>38</v>
      </c>
      <c r="M25" s="10" t="s">
        <v>38</v>
      </c>
      <c r="N25" s="10" t="s">
        <v>38</v>
      </c>
      <c r="O25" s="10" t="s">
        <v>38</v>
      </c>
      <c r="P25" s="10" t="s">
        <v>38</v>
      </c>
      <c r="Q25" s="44" t="str">
        <f t="shared" si="10"/>
        <v>WO</v>
      </c>
      <c r="R25" s="16" t="s">
        <v>38</v>
      </c>
      <c r="S25" s="10" t="s">
        <v>38</v>
      </c>
      <c r="T25" s="10" t="s">
        <v>38</v>
      </c>
      <c r="U25" s="10" t="s">
        <v>38</v>
      </c>
      <c r="V25" s="10" t="s">
        <v>38</v>
      </c>
      <c r="W25" s="16" t="s">
        <v>38</v>
      </c>
      <c r="X25" s="44" t="str">
        <f t="shared" si="10"/>
        <v>WO</v>
      </c>
      <c r="Y25" s="16" t="s">
        <v>38</v>
      </c>
      <c r="Z25" s="10" t="s">
        <v>38</v>
      </c>
      <c r="AA25" s="10" t="s">
        <v>38</v>
      </c>
      <c r="AB25" s="10" t="s">
        <v>38</v>
      </c>
      <c r="AC25" s="10" t="s">
        <v>38</v>
      </c>
      <c r="AD25" s="16" t="s">
        <v>38</v>
      </c>
      <c r="AE25" s="44" t="str">
        <f t="shared" si="12"/>
        <v>WO</v>
      </c>
      <c r="AF25" s="16" t="s">
        <v>38</v>
      </c>
      <c r="AG25" s="16" t="s">
        <v>38</v>
      </c>
      <c r="AH25" s="16" t="s">
        <v>38</v>
      </c>
      <c r="AI25" s="16" t="s">
        <v>38</v>
      </c>
      <c r="AJ25" s="16" t="s">
        <v>38</v>
      </c>
      <c r="AK25" s="16" t="s">
        <v>38</v>
      </c>
      <c r="AL25" s="44" t="str">
        <f t="shared" si="12"/>
        <v>WO</v>
      </c>
      <c r="AM25" s="16" t="s">
        <v>38</v>
      </c>
      <c r="AN25" s="16" t="s">
        <v>38</v>
      </c>
      <c r="AO25" s="17" t="s">
        <v>38</v>
      </c>
      <c r="AP25" s="21"/>
      <c r="AQ25" s="24"/>
      <c r="AR25" s="10">
        <v>16</v>
      </c>
      <c r="AS25" s="10" t="s">
        <v>17</v>
      </c>
      <c r="AT25" s="10" t="str">
        <f t="shared" si="3"/>
        <v>December</v>
      </c>
      <c r="AU25" s="10">
        <v>1016</v>
      </c>
      <c r="AV25" s="9">
        <f t="shared" si="4"/>
        <v>27</v>
      </c>
      <c r="AW25" s="16">
        <f t="shared" si="5"/>
        <v>0</v>
      </c>
      <c r="AX25" s="16">
        <f t="shared" si="6"/>
        <v>0</v>
      </c>
      <c r="AY25" s="16">
        <f t="shared" si="7"/>
        <v>4</v>
      </c>
      <c r="AZ25" s="16">
        <f t="shared" si="8"/>
        <v>31</v>
      </c>
      <c r="BA25" s="16">
        <f>DecReport[[#This Row],[Days]]-DecReport[[#This Row],[Absent]]</f>
        <v>31</v>
      </c>
      <c r="BB25" s="19">
        <v>79000</v>
      </c>
      <c r="BC25" s="20">
        <f>DecReport[[#This Row],[Salary ]]/DecReport[[#This Row],[Days]]</f>
        <v>2548.3870967741937</v>
      </c>
      <c r="BD25" s="20">
        <f>DecReport[[#This Row],[Per Day Salary ]]*DecReport[[#This Row],[Absent]]</f>
        <v>0</v>
      </c>
      <c r="BE25" s="20">
        <f>DecReport[[#This Row],[Salary ]]-DecReport[[#This Row],[Deduction]]</f>
        <v>79000</v>
      </c>
      <c r="BF25" s="20"/>
      <c r="BG25" s="24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</row>
    <row r="26" spans="6:87" x14ac:dyDescent="0.25">
      <c r="F26" s="21"/>
      <c r="G26" s="8">
        <v>17</v>
      </c>
      <c r="H26" s="10" t="s">
        <v>18</v>
      </c>
      <c r="I26" s="10">
        <v>1017</v>
      </c>
      <c r="J26" s="35">
        <f t="shared" si="9"/>
        <v>4</v>
      </c>
      <c r="K26" s="10" t="s">
        <v>38</v>
      </c>
      <c r="L26" s="10" t="s">
        <v>38</v>
      </c>
      <c r="M26" s="10" t="s">
        <v>38</v>
      </c>
      <c r="N26" s="10" t="s">
        <v>38</v>
      </c>
      <c r="O26" s="10" t="s">
        <v>38</v>
      </c>
      <c r="P26" s="10" t="s">
        <v>38</v>
      </c>
      <c r="Q26" s="44" t="str">
        <f t="shared" si="10"/>
        <v>WO</v>
      </c>
      <c r="R26" s="16" t="s">
        <v>38</v>
      </c>
      <c r="S26" s="10" t="s">
        <v>38</v>
      </c>
      <c r="T26" s="10" t="s">
        <v>38</v>
      </c>
      <c r="U26" s="10" t="s">
        <v>38</v>
      </c>
      <c r="V26" s="10" t="s">
        <v>38</v>
      </c>
      <c r="W26" s="16" t="s">
        <v>38</v>
      </c>
      <c r="X26" s="44" t="str">
        <f t="shared" si="10"/>
        <v>WO</v>
      </c>
      <c r="Y26" s="16" t="s">
        <v>38</v>
      </c>
      <c r="Z26" s="10" t="s">
        <v>38</v>
      </c>
      <c r="AA26" s="10" t="s">
        <v>38</v>
      </c>
      <c r="AB26" s="10" t="s">
        <v>38</v>
      </c>
      <c r="AC26" s="10" t="s">
        <v>38</v>
      </c>
      <c r="AD26" s="16" t="s">
        <v>38</v>
      </c>
      <c r="AE26" s="44" t="str">
        <f t="shared" si="12"/>
        <v>WO</v>
      </c>
      <c r="AF26" s="16" t="s">
        <v>38</v>
      </c>
      <c r="AG26" s="16" t="s">
        <v>38</v>
      </c>
      <c r="AH26" s="16" t="s">
        <v>38</v>
      </c>
      <c r="AI26" s="16" t="s">
        <v>38</v>
      </c>
      <c r="AJ26" s="16" t="s">
        <v>38</v>
      </c>
      <c r="AK26" s="16" t="s">
        <v>38</v>
      </c>
      <c r="AL26" s="44" t="str">
        <f>IF(AL$8="SUN","WO","")</f>
        <v>WO</v>
      </c>
      <c r="AM26" s="16" t="s">
        <v>38</v>
      </c>
      <c r="AN26" s="16" t="s">
        <v>38</v>
      </c>
      <c r="AO26" s="17" t="s">
        <v>38</v>
      </c>
      <c r="AP26" s="21"/>
      <c r="AQ26" s="24"/>
      <c r="AR26" s="10">
        <v>17</v>
      </c>
      <c r="AS26" s="10" t="s">
        <v>18</v>
      </c>
      <c r="AT26" s="10" t="str">
        <f t="shared" si="3"/>
        <v>December</v>
      </c>
      <c r="AU26" s="10">
        <v>1017</v>
      </c>
      <c r="AV26" s="9">
        <f t="shared" si="4"/>
        <v>27</v>
      </c>
      <c r="AW26" s="16">
        <f t="shared" si="5"/>
        <v>0</v>
      </c>
      <c r="AX26" s="16">
        <f t="shared" si="6"/>
        <v>0</v>
      </c>
      <c r="AY26" s="16">
        <f t="shared" si="7"/>
        <v>4</v>
      </c>
      <c r="AZ26" s="16">
        <f t="shared" si="8"/>
        <v>31</v>
      </c>
      <c r="BA26" s="16">
        <f>DecReport[[#This Row],[Days]]-DecReport[[#This Row],[Absent]]</f>
        <v>31</v>
      </c>
      <c r="BB26" s="19">
        <v>33000</v>
      </c>
      <c r="BC26" s="20">
        <f>DecReport[[#This Row],[Salary ]]/DecReport[[#This Row],[Days]]</f>
        <v>1064.516129032258</v>
      </c>
      <c r="BD26" s="20">
        <f>DecReport[[#This Row],[Per Day Salary ]]*DecReport[[#This Row],[Absent]]</f>
        <v>0</v>
      </c>
      <c r="BE26" s="20">
        <f>DecReport[[#This Row],[Salary ]]-DecReport[[#This Row],[Deduction]]</f>
        <v>33000</v>
      </c>
      <c r="BF26" s="20"/>
      <c r="BG26" s="24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</row>
    <row r="27" spans="6:87" x14ac:dyDescent="0.25">
      <c r="F27" s="21"/>
      <c r="G27" s="8">
        <v>18</v>
      </c>
      <c r="H27" s="10" t="s">
        <v>41</v>
      </c>
      <c r="I27" s="10">
        <v>1018</v>
      </c>
      <c r="J27" s="35">
        <f t="shared" si="9"/>
        <v>4</v>
      </c>
      <c r="K27" s="10" t="s">
        <v>38</v>
      </c>
      <c r="L27" s="10" t="s">
        <v>38</v>
      </c>
      <c r="M27" s="10" t="s">
        <v>40</v>
      </c>
      <c r="N27" s="10" t="s">
        <v>38</v>
      </c>
      <c r="O27" s="10" t="s">
        <v>38</v>
      </c>
      <c r="P27" s="10" t="s">
        <v>40</v>
      </c>
      <c r="Q27" s="44" t="str">
        <f t="shared" si="10"/>
        <v>WO</v>
      </c>
      <c r="R27" s="16" t="s">
        <v>38</v>
      </c>
      <c r="S27" s="10" t="s">
        <v>38</v>
      </c>
      <c r="T27" s="10" t="s">
        <v>38</v>
      </c>
      <c r="U27" s="10" t="s">
        <v>38</v>
      </c>
      <c r="V27" s="10" t="s">
        <v>38</v>
      </c>
      <c r="W27" s="16" t="s">
        <v>38</v>
      </c>
      <c r="X27" s="44" t="str">
        <f t="shared" si="10"/>
        <v>WO</v>
      </c>
      <c r="Y27" s="16" t="s">
        <v>38</v>
      </c>
      <c r="Z27" s="10" t="s">
        <v>38</v>
      </c>
      <c r="AA27" s="10" t="s">
        <v>38</v>
      </c>
      <c r="AB27" s="10" t="s">
        <v>38</v>
      </c>
      <c r="AC27" s="10" t="s">
        <v>38</v>
      </c>
      <c r="AD27" s="16" t="s">
        <v>38</v>
      </c>
      <c r="AE27" s="44" t="str">
        <f t="shared" si="12"/>
        <v>WO</v>
      </c>
      <c r="AF27" s="16" t="s">
        <v>38</v>
      </c>
      <c r="AG27" s="16" t="s">
        <v>38</v>
      </c>
      <c r="AH27" s="16" t="s">
        <v>38</v>
      </c>
      <c r="AI27" s="16" t="s">
        <v>38</v>
      </c>
      <c r="AJ27" s="16" t="s">
        <v>38</v>
      </c>
      <c r="AK27" s="16" t="s">
        <v>39</v>
      </c>
      <c r="AL27" s="44" t="str">
        <f t="shared" si="12"/>
        <v>WO</v>
      </c>
      <c r="AM27" s="16" t="s">
        <v>38</v>
      </c>
      <c r="AN27" s="16" t="s">
        <v>38</v>
      </c>
      <c r="AO27" s="17" t="s">
        <v>39</v>
      </c>
      <c r="AP27" s="21"/>
      <c r="AQ27" s="24"/>
      <c r="AR27" s="10">
        <v>18</v>
      </c>
      <c r="AS27" s="10" t="s">
        <v>41</v>
      </c>
      <c r="AT27" s="10" t="str">
        <f t="shared" si="3"/>
        <v>December</v>
      </c>
      <c r="AU27" s="10">
        <v>1018</v>
      </c>
      <c r="AV27" s="9">
        <f t="shared" si="4"/>
        <v>23</v>
      </c>
      <c r="AW27" s="16">
        <f t="shared" si="5"/>
        <v>2</v>
      </c>
      <c r="AX27" s="16">
        <f t="shared" si="6"/>
        <v>2</v>
      </c>
      <c r="AY27" s="16">
        <f t="shared" si="7"/>
        <v>4</v>
      </c>
      <c r="AZ27" s="16">
        <f t="shared" si="8"/>
        <v>31</v>
      </c>
      <c r="BA27" s="16">
        <f>DecReport[[#This Row],[Days]]-DecReport[[#This Row],[Absent]]</f>
        <v>29</v>
      </c>
      <c r="BB27" s="19">
        <v>12000</v>
      </c>
      <c r="BC27" s="20">
        <f>DecReport[[#This Row],[Salary ]]/DecReport[[#This Row],[Days]]</f>
        <v>387.09677419354841</v>
      </c>
      <c r="BD27" s="20">
        <f>DecReport[[#This Row],[Per Day Salary ]]*DecReport[[#This Row],[Absent]]</f>
        <v>774.19354838709683</v>
      </c>
      <c r="BE27" s="20">
        <f>DecReport[[#This Row],[Salary ]]-DecReport[[#This Row],[Deduction]]</f>
        <v>11225.806451612903</v>
      </c>
      <c r="BF27" s="20"/>
      <c r="BG27" s="24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</row>
    <row r="28" spans="6:87" x14ac:dyDescent="0.25">
      <c r="F28" s="21"/>
      <c r="G28" s="8">
        <v>19</v>
      </c>
      <c r="H28" s="10" t="s">
        <v>19</v>
      </c>
      <c r="I28" s="10">
        <v>1019</v>
      </c>
      <c r="J28" s="35">
        <f t="shared" si="9"/>
        <v>4</v>
      </c>
      <c r="K28" s="10" t="s">
        <v>38</v>
      </c>
      <c r="L28" s="10" t="s">
        <v>38</v>
      </c>
      <c r="M28" s="10" t="s">
        <v>38</v>
      </c>
      <c r="N28" s="10" t="s">
        <v>38</v>
      </c>
      <c r="O28" s="10" t="s">
        <v>40</v>
      </c>
      <c r="P28" s="10" t="s">
        <v>38</v>
      </c>
      <c r="Q28" s="44" t="str">
        <f t="shared" si="10"/>
        <v>WO</v>
      </c>
      <c r="R28" s="16" t="s">
        <v>38</v>
      </c>
      <c r="S28" s="10" t="s">
        <v>38</v>
      </c>
      <c r="T28" s="10" t="s">
        <v>38</v>
      </c>
      <c r="U28" s="10" t="s">
        <v>38</v>
      </c>
      <c r="V28" s="10" t="s">
        <v>38</v>
      </c>
      <c r="W28" s="16" t="s">
        <v>38</v>
      </c>
      <c r="X28" s="44" t="str">
        <f t="shared" si="10"/>
        <v>WO</v>
      </c>
      <c r="Y28" s="16" t="s">
        <v>38</v>
      </c>
      <c r="Z28" s="10" t="s">
        <v>38</v>
      </c>
      <c r="AA28" s="10" t="s">
        <v>38</v>
      </c>
      <c r="AB28" s="10" t="s">
        <v>38</v>
      </c>
      <c r="AC28" s="10" t="s">
        <v>38</v>
      </c>
      <c r="AD28" s="16" t="s">
        <v>38</v>
      </c>
      <c r="AE28" s="44" t="str">
        <f t="shared" si="12"/>
        <v>WO</v>
      </c>
      <c r="AF28" s="16" t="s">
        <v>38</v>
      </c>
      <c r="AG28" s="16" t="s">
        <v>38</v>
      </c>
      <c r="AH28" s="16" t="s">
        <v>39</v>
      </c>
      <c r="AI28" s="16" t="s">
        <v>38</v>
      </c>
      <c r="AJ28" s="16" t="s">
        <v>38</v>
      </c>
      <c r="AK28" s="16" t="s">
        <v>38</v>
      </c>
      <c r="AL28" s="44" t="str">
        <f t="shared" si="12"/>
        <v>WO</v>
      </c>
      <c r="AM28" s="16" t="s">
        <v>38</v>
      </c>
      <c r="AN28" s="16" t="s">
        <v>38</v>
      </c>
      <c r="AO28" s="17" t="s">
        <v>38</v>
      </c>
      <c r="AP28" s="21"/>
      <c r="AQ28" s="24"/>
      <c r="AR28" s="10">
        <v>19</v>
      </c>
      <c r="AS28" s="10" t="s">
        <v>19</v>
      </c>
      <c r="AT28" s="10" t="str">
        <f t="shared" si="3"/>
        <v>December</v>
      </c>
      <c r="AU28" s="10">
        <v>1019</v>
      </c>
      <c r="AV28" s="9">
        <f t="shared" si="4"/>
        <v>25</v>
      </c>
      <c r="AW28" s="16">
        <f t="shared" si="5"/>
        <v>1</v>
      </c>
      <c r="AX28" s="16">
        <f t="shared" si="6"/>
        <v>1</v>
      </c>
      <c r="AY28" s="16">
        <f t="shared" si="7"/>
        <v>4</v>
      </c>
      <c r="AZ28" s="16">
        <f t="shared" si="8"/>
        <v>31</v>
      </c>
      <c r="BA28" s="16">
        <f>DecReport[[#This Row],[Days]]-DecReport[[#This Row],[Absent]]</f>
        <v>30</v>
      </c>
      <c r="BB28" s="19">
        <v>19000</v>
      </c>
      <c r="BC28" s="20">
        <f>DecReport[[#This Row],[Salary ]]/DecReport[[#This Row],[Days]]</f>
        <v>612.90322580645159</v>
      </c>
      <c r="BD28" s="20">
        <f>DecReport[[#This Row],[Per Day Salary ]]*DecReport[[#This Row],[Absent]]</f>
        <v>612.90322580645159</v>
      </c>
      <c r="BE28" s="20">
        <f>DecReport[[#This Row],[Salary ]]-DecReport[[#This Row],[Deduction]]</f>
        <v>18387.096774193549</v>
      </c>
      <c r="BF28" s="20"/>
      <c r="BG28" s="24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</row>
    <row r="29" spans="6:87" ht="16.5" thickBot="1" x14ac:dyDescent="0.3">
      <c r="F29" s="21"/>
      <c r="G29" s="11">
        <v>20</v>
      </c>
      <c r="H29" s="12" t="s">
        <v>24</v>
      </c>
      <c r="I29" s="12">
        <v>1020</v>
      </c>
      <c r="J29" s="42">
        <f t="shared" si="9"/>
        <v>4</v>
      </c>
      <c r="K29" s="39" t="s">
        <v>39</v>
      </c>
      <c r="L29" s="39" t="s">
        <v>38</v>
      </c>
      <c r="M29" s="39" t="s">
        <v>38</v>
      </c>
      <c r="N29" s="39" t="s">
        <v>38</v>
      </c>
      <c r="O29" s="39" t="s">
        <v>38</v>
      </c>
      <c r="P29" s="39" t="s">
        <v>38</v>
      </c>
      <c r="Q29" s="45" t="str">
        <f t="shared" si="10"/>
        <v>WO</v>
      </c>
      <c r="R29" s="34" t="s">
        <v>38</v>
      </c>
      <c r="S29" s="39" t="s">
        <v>38</v>
      </c>
      <c r="T29" s="39" t="s">
        <v>38</v>
      </c>
      <c r="U29" s="39" t="s">
        <v>39</v>
      </c>
      <c r="V29" s="39" t="s">
        <v>38</v>
      </c>
      <c r="W29" s="34" t="s">
        <v>38</v>
      </c>
      <c r="X29" s="45" t="str">
        <f t="shared" si="10"/>
        <v>WO</v>
      </c>
      <c r="Y29" s="34" t="s">
        <v>38</v>
      </c>
      <c r="Z29" s="39" t="s">
        <v>38</v>
      </c>
      <c r="AA29" s="39" t="s">
        <v>38</v>
      </c>
      <c r="AB29" s="39" t="s">
        <v>39</v>
      </c>
      <c r="AC29" s="39" t="s">
        <v>38</v>
      </c>
      <c r="AD29" s="34" t="s">
        <v>38</v>
      </c>
      <c r="AE29" s="45" t="str">
        <f t="shared" si="12"/>
        <v>WO</v>
      </c>
      <c r="AF29" s="34" t="s">
        <v>40</v>
      </c>
      <c r="AG29" s="34" t="s">
        <v>38</v>
      </c>
      <c r="AH29" s="34" t="s">
        <v>38</v>
      </c>
      <c r="AI29" s="34" t="s">
        <v>38</v>
      </c>
      <c r="AJ29" s="34" t="s">
        <v>38</v>
      </c>
      <c r="AK29" s="34" t="s">
        <v>38</v>
      </c>
      <c r="AL29" s="45" t="str">
        <f t="shared" si="12"/>
        <v>WO</v>
      </c>
      <c r="AM29" s="34" t="s">
        <v>40</v>
      </c>
      <c r="AN29" s="34" t="s">
        <v>38</v>
      </c>
      <c r="AO29" s="40" t="s">
        <v>38</v>
      </c>
      <c r="AP29" s="21"/>
      <c r="AQ29" s="24"/>
      <c r="AR29" s="10">
        <v>20</v>
      </c>
      <c r="AS29" s="10" t="s">
        <v>24</v>
      </c>
      <c r="AT29" s="10" t="str">
        <f t="shared" si="3"/>
        <v>December</v>
      </c>
      <c r="AU29" s="10">
        <v>1020</v>
      </c>
      <c r="AV29" s="9">
        <f t="shared" si="4"/>
        <v>22</v>
      </c>
      <c r="AW29" s="16">
        <f t="shared" si="5"/>
        <v>3</v>
      </c>
      <c r="AX29" s="16">
        <f t="shared" si="6"/>
        <v>2</v>
      </c>
      <c r="AY29" s="16">
        <f t="shared" si="7"/>
        <v>4</v>
      </c>
      <c r="AZ29" s="16">
        <f t="shared" si="8"/>
        <v>31</v>
      </c>
      <c r="BA29" s="16">
        <f>DecReport[[#This Row],[Days]]-DecReport[[#This Row],[Absent]]</f>
        <v>28</v>
      </c>
      <c r="BB29" s="19">
        <v>17000</v>
      </c>
      <c r="BC29" s="20">
        <f>DecReport[[#This Row],[Salary ]]/DecReport[[#This Row],[Days]]</f>
        <v>548.38709677419354</v>
      </c>
      <c r="BD29" s="20">
        <f>DecReport[[#This Row],[Per Day Salary ]]*DecReport[[#This Row],[Absent]]</f>
        <v>1645.1612903225805</v>
      </c>
      <c r="BE29" s="20">
        <f>DecReport[[#This Row],[Salary ]]-DecReport[[#This Row],[Deduction]]</f>
        <v>15354.83870967742</v>
      </c>
      <c r="BF29" s="20"/>
      <c r="BG29" s="24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</row>
    <row r="30" spans="6:87" x14ac:dyDescent="0.25"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</row>
    <row r="31" spans="6:87" s="22" customFormat="1" x14ac:dyDescent="0.25"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</row>
    <row r="32" spans="6:87" s="22" customFormat="1" x14ac:dyDescent="0.25"/>
    <row r="33" spans="6:87" x14ac:dyDescent="0.25"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</row>
    <row r="34" spans="6:87" x14ac:dyDescent="0.25"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</row>
    <row r="35" spans="6:87" x14ac:dyDescent="0.25"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</row>
    <row r="36" spans="6:87" x14ac:dyDescent="0.25"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</row>
    <row r="37" spans="6:87" x14ac:dyDescent="0.25"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</row>
    <row r="38" spans="6:87" x14ac:dyDescent="0.25"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</row>
    <row r="39" spans="6:87" x14ac:dyDescent="0.25"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</row>
    <row r="40" spans="6:87" x14ac:dyDescent="0.25"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</row>
    <row r="41" spans="6:87" x14ac:dyDescent="0.25"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</row>
    <row r="42" spans="6:87" x14ac:dyDescent="0.25"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</row>
    <row r="43" spans="6:87" x14ac:dyDescent="0.25"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</row>
    <row r="44" spans="6:87" x14ac:dyDescent="0.25"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</row>
    <row r="45" spans="6:87" x14ac:dyDescent="0.25"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</row>
    <row r="46" spans="6:87" x14ac:dyDescent="0.25"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</row>
    <row r="47" spans="6:87" x14ac:dyDescent="0.25"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</row>
    <row r="48" spans="6:87" x14ac:dyDescent="0.25"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</row>
    <row r="49" spans="6:87" x14ac:dyDescent="0.25"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</row>
    <row r="50" spans="6:87" x14ac:dyDescent="0.25"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</row>
    <row r="51" spans="6:87" x14ac:dyDescent="0.25"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</row>
    <row r="52" spans="6:87" x14ac:dyDescent="0.25"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</row>
    <row r="53" spans="6:87" x14ac:dyDescent="0.25"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</row>
    <row r="54" spans="6:87" x14ac:dyDescent="0.25"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</row>
    <row r="55" spans="6:87" x14ac:dyDescent="0.25"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</row>
    <row r="56" spans="6:87" x14ac:dyDescent="0.25"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</row>
    <row r="57" spans="6:87" x14ac:dyDescent="0.25"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</row>
    <row r="58" spans="6:87" x14ac:dyDescent="0.25"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</row>
    <row r="59" spans="6:87" x14ac:dyDescent="0.25"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</row>
    <row r="60" spans="6:87" x14ac:dyDescent="0.25"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</row>
    <row r="61" spans="6:87" x14ac:dyDescent="0.25"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</row>
    <row r="62" spans="6:87" x14ac:dyDescent="0.25"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</row>
    <row r="63" spans="6:87" x14ac:dyDescent="0.25"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</row>
    <row r="64" spans="6:87" x14ac:dyDescent="0.25"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</row>
    <row r="65" spans="6:87" x14ac:dyDescent="0.25"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</row>
    <row r="66" spans="6:87" x14ac:dyDescent="0.25"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</row>
    <row r="67" spans="6:87" x14ac:dyDescent="0.25"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</row>
    <row r="68" spans="6:87" x14ac:dyDescent="0.25"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</row>
    <row r="69" spans="6:87" x14ac:dyDescent="0.25"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</row>
    <row r="70" spans="6:87" x14ac:dyDescent="0.25"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</row>
    <row r="71" spans="6:87" x14ac:dyDescent="0.25"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</row>
    <row r="72" spans="6:87" x14ac:dyDescent="0.25"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</row>
    <row r="73" spans="6:87" x14ac:dyDescent="0.25"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</row>
    <row r="74" spans="6:87" x14ac:dyDescent="0.25"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</row>
    <row r="75" spans="6:87" x14ac:dyDescent="0.25"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</row>
    <row r="76" spans="6:87" x14ac:dyDescent="0.25"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</row>
    <row r="77" spans="6:87" x14ac:dyDescent="0.25"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</row>
    <row r="78" spans="6:87" x14ac:dyDescent="0.25"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</row>
    <row r="79" spans="6:87" x14ac:dyDescent="0.25"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</row>
    <row r="80" spans="6:87" x14ac:dyDescent="0.25"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</row>
    <row r="81" spans="6:66" x14ac:dyDescent="0.25"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H81" s="22"/>
      <c r="BI81" s="22"/>
      <c r="BJ81" s="22"/>
      <c r="BK81" s="22"/>
      <c r="BL81" s="22"/>
      <c r="BM81" s="22"/>
      <c r="BN81" s="22"/>
    </row>
    <row r="82" spans="6:66" x14ac:dyDescent="0.25"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H82" s="22"/>
      <c r="BI82" s="22"/>
      <c r="BJ82" s="22"/>
      <c r="BK82" s="22"/>
      <c r="BL82" s="22"/>
      <c r="BM82" s="22"/>
      <c r="BN82" s="22"/>
    </row>
    <row r="83" spans="6:66" x14ac:dyDescent="0.25"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H83" s="22"/>
      <c r="BI83" s="22"/>
      <c r="BJ83" s="22"/>
      <c r="BK83" s="22"/>
      <c r="BL83" s="22"/>
      <c r="BM83" s="22"/>
      <c r="BN83" s="22"/>
    </row>
    <row r="84" spans="6:66" x14ac:dyDescent="0.25"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H84" s="22"/>
      <c r="BI84" s="22"/>
      <c r="BJ84" s="22"/>
      <c r="BK84" s="22"/>
      <c r="BL84" s="22"/>
      <c r="BM84" s="22"/>
      <c r="BN84" s="22"/>
    </row>
    <row r="85" spans="6:66" x14ac:dyDescent="0.25"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H85" s="22"/>
      <c r="BI85" s="22"/>
      <c r="BJ85" s="22"/>
      <c r="BK85" s="22"/>
      <c r="BL85" s="22"/>
      <c r="BM85" s="22"/>
      <c r="BN85" s="22"/>
    </row>
    <row r="86" spans="6:66" x14ac:dyDescent="0.25"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H86" s="22"/>
      <c r="BI86" s="22"/>
      <c r="BJ86" s="22"/>
      <c r="BK86" s="22"/>
      <c r="BL86" s="22"/>
      <c r="BM86" s="22"/>
      <c r="BN86" s="22"/>
    </row>
    <row r="87" spans="6:66" x14ac:dyDescent="0.25"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H87" s="22"/>
      <c r="BI87" s="22"/>
      <c r="BJ87" s="22"/>
      <c r="BK87" s="22"/>
      <c r="BL87" s="22"/>
      <c r="BM87" s="22"/>
      <c r="BN87" s="22"/>
    </row>
    <row r="88" spans="6:66" x14ac:dyDescent="0.25"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H88" s="22"/>
      <c r="BI88" s="22"/>
      <c r="BJ88" s="22"/>
      <c r="BK88" s="22"/>
      <c r="BL88" s="22"/>
      <c r="BM88" s="22"/>
      <c r="BN88" s="22"/>
    </row>
    <row r="89" spans="6:66" x14ac:dyDescent="0.25"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H89" s="22"/>
      <c r="BI89" s="22"/>
      <c r="BJ89" s="22"/>
      <c r="BK89" s="22"/>
      <c r="BL89" s="22"/>
      <c r="BM89" s="22"/>
      <c r="BN89" s="22"/>
    </row>
    <row r="90" spans="6:66" x14ac:dyDescent="0.25"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H90" s="22"/>
      <c r="BI90" s="22"/>
      <c r="BJ90" s="22"/>
      <c r="BK90" s="22"/>
      <c r="BL90" s="22"/>
      <c r="BM90" s="22"/>
      <c r="BN90" s="22"/>
    </row>
    <row r="91" spans="6:66" x14ac:dyDescent="0.25"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H91" s="22"/>
      <c r="BI91" s="22"/>
      <c r="BJ91" s="22"/>
      <c r="BK91" s="22"/>
      <c r="BL91" s="22"/>
      <c r="BM91" s="22"/>
      <c r="BN91" s="22"/>
    </row>
    <row r="92" spans="6:66" x14ac:dyDescent="0.25"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H92" s="22"/>
      <c r="BI92" s="22"/>
      <c r="BJ92" s="22"/>
      <c r="BK92" s="22"/>
      <c r="BL92" s="22"/>
      <c r="BM92" s="22"/>
      <c r="BN92" s="22"/>
    </row>
    <row r="93" spans="6:66" x14ac:dyDescent="0.25"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H93" s="22"/>
      <c r="BI93" s="22"/>
      <c r="BJ93" s="22"/>
      <c r="BK93" s="22"/>
      <c r="BL93" s="22"/>
      <c r="BM93" s="22"/>
      <c r="BN93" s="22"/>
    </row>
    <row r="94" spans="6:66" x14ac:dyDescent="0.25"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H94" s="22"/>
      <c r="BI94" s="22"/>
      <c r="BJ94" s="22"/>
      <c r="BK94" s="22"/>
      <c r="BL94" s="22"/>
      <c r="BM94" s="22"/>
      <c r="BN94" s="22"/>
    </row>
    <row r="95" spans="6:66" x14ac:dyDescent="0.25"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H95" s="22"/>
      <c r="BI95" s="22"/>
      <c r="BJ95" s="22"/>
      <c r="BK95" s="22"/>
      <c r="BL95" s="22"/>
      <c r="BM95" s="22"/>
      <c r="BN95" s="22"/>
    </row>
    <row r="96" spans="6:66" x14ac:dyDescent="0.25"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H96" s="22"/>
      <c r="BI96" s="22"/>
      <c r="BJ96" s="22"/>
      <c r="BK96" s="22"/>
      <c r="BL96" s="22"/>
      <c r="BM96" s="22"/>
      <c r="BN96" s="22"/>
    </row>
    <row r="97" spans="6:66" x14ac:dyDescent="0.25"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H97" s="22"/>
      <c r="BI97" s="22"/>
      <c r="BJ97" s="22"/>
      <c r="BK97" s="22"/>
      <c r="BL97" s="22"/>
      <c r="BM97" s="22"/>
      <c r="BN97" s="22"/>
    </row>
    <row r="98" spans="6:66" x14ac:dyDescent="0.25"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H98" s="22"/>
      <c r="BI98" s="22"/>
      <c r="BJ98" s="22"/>
      <c r="BK98" s="22"/>
      <c r="BL98" s="22"/>
      <c r="BM98" s="22"/>
      <c r="BN98" s="22"/>
    </row>
    <row r="99" spans="6:66" x14ac:dyDescent="0.25"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H99" s="22"/>
      <c r="BI99" s="22"/>
      <c r="BJ99" s="22"/>
      <c r="BK99" s="22"/>
      <c r="BL99" s="22"/>
      <c r="BM99" s="22"/>
      <c r="BN99" s="22"/>
    </row>
    <row r="100" spans="6:66" x14ac:dyDescent="0.25"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H100" s="22"/>
      <c r="BI100" s="22"/>
      <c r="BJ100" s="22"/>
      <c r="BK100" s="22"/>
      <c r="BL100" s="22"/>
      <c r="BM100" s="22"/>
      <c r="BN100" s="22"/>
    </row>
    <row r="101" spans="6:66" x14ac:dyDescent="0.25"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H101" s="22"/>
      <c r="BI101" s="22"/>
      <c r="BJ101" s="22"/>
      <c r="BK101" s="22"/>
      <c r="BL101" s="22"/>
      <c r="BM101" s="22"/>
      <c r="BN101" s="22"/>
    </row>
    <row r="102" spans="6:66" x14ac:dyDescent="0.25"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H102" s="22"/>
      <c r="BI102" s="22"/>
      <c r="BJ102" s="22"/>
      <c r="BK102" s="22"/>
      <c r="BL102" s="22"/>
      <c r="BM102" s="22"/>
      <c r="BN102" s="22"/>
    </row>
    <row r="103" spans="6:66" x14ac:dyDescent="0.25"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H103" s="22"/>
      <c r="BI103" s="22"/>
      <c r="BJ103" s="22"/>
      <c r="BK103" s="22"/>
      <c r="BL103" s="22"/>
      <c r="BM103" s="22"/>
      <c r="BN103" s="22"/>
    </row>
    <row r="104" spans="6:66" x14ac:dyDescent="0.25"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H104" s="22"/>
      <c r="BI104" s="22"/>
      <c r="BJ104" s="22"/>
      <c r="BK104" s="22"/>
      <c r="BL104" s="22"/>
      <c r="BM104" s="22"/>
      <c r="BN104" s="22"/>
    </row>
    <row r="105" spans="6:66" x14ac:dyDescent="0.25"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H105" s="22"/>
      <c r="BI105" s="22"/>
      <c r="BJ105" s="22"/>
      <c r="BK105" s="22"/>
      <c r="BL105" s="22"/>
      <c r="BM105" s="22"/>
      <c r="BN105" s="22"/>
    </row>
    <row r="106" spans="6:66" x14ac:dyDescent="0.25"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H106" s="22"/>
      <c r="BI106" s="22"/>
      <c r="BJ106" s="22"/>
      <c r="BK106" s="22"/>
      <c r="BL106" s="22"/>
      <c r="BM106" s="22"/>
      <c r="BN106" s="22"/>
    </row>
    <row r="107" spans="6:66" x14ac:dyDescent="0.25"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H107" s="22"/>
      <c r="BI107" s="22"/>
      <c r="BJ107" s="22"/>
      <c r="BK107" s="22"/>
      <c r="BL107" s="22"/>
      <c r="BM107" s="22"/>
      <c r="BN107" s="22"/>
    </row>
    <row r="108" spans="6:66" x14ac:dyDescent="0.25"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H108" s="22"/>
      <c r="BI108" s="22"/>
      <c r="BJ108" s="22"/>
      <c r="BK108" s="22"/>
      <c r="BL108" s="22"/>
      <c r="BM108" s="22"/>
      <c r="BN108" s="22"/>
    </row>
    <row r="109" spans="6:66" x14ac:dyDescent="0.25"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H109" s="22"/>
      <c r="BI109" s="22"/>
      <c r="BJ109" s="22"/>
      <c r="BK109" s="22"/>
      <c r="BL109" s="22"/>
      <c r="BM109" s="22"/>
      <c r="BN109" s="22"/>
    </row>
    <row r="110" spans="6:66" x14ac:dyDescent="0.25"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H110" s="22"/>
      <c r="BI110" s="22"/>
      <c r="BJ110" s="22"/>
      <c r="BK110" s="22"/>
      <c r="BL110" s="22"/>
      <c r="BM110" s="22"/>
      <c r="BN110" s="22"/>
    </row>
    <row r="111" spans="6:66" x14ac:dyDescent="0.25"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H111" s="22"/>
      <c r="BI111" s="22"/>
      <c r="BJ111" s="22"/>
      <c r="BK111" s="22"/>
      <c r="BL111" s="22"/>
      <c r="BM111" s="22"/>
      <c r="BN111" s="22"/>
    </row>
    <row r="112" spans="6:66" x14ac:dyDescent="0.25"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H112" s="22"/>
      <c r="BI112" s="22"/>
      <c r="BJ112" s="22"/>
      <c r="BK112" s="22"/>
      <c r="BL112" s="22"/>
      <c r="BM112" s="22"/>
      <c r="BN112" s="22"/>
    </row>
    <row r="113" spans="6:66" x14ac:dyDescent="0.25"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H113" s="22"/>
      <c r="BI113" s="22"/>
      <c r="BJ113" s="22"/>
      <c r="BK113" s="22"/>
      <c r="BL113" s="22"/>
      <c r="BM113" s="22"/>
      <c r="BN113" s="22"/>
    </row>
    <row r="114" spans="6:66" x14ac:dyDescent="0.25"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H114" s="22"/>
      <c r="BI114" s="22"/>
      <c r="BJ114" s="22"/>
      <c r="BK114" s="22"/>
      <c r="BL114" s="22"/>
      <c r="BM114" s="22"/>
      <c r="BN114" s="22"/>
    </row>
    <row r="115" spans="6:66" x14ac:dyDescent="0.25"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H115" s="22"/>
      <c r="BI115" s="22"/>
      <c r="BJ115" s="22"/>
      <c r="BK115" s="22"/>
      <c r="BL115" s="22"/>
      <c r="BM115" s="22"/>
      <c r="BN115" s="22"/>
    </row>
    <row r="116" spans="6:66" x14ac:dyDescent="0.25"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H116" s="22"/>
      <c r="BI116" s="22"/>
      <c r="BJ116" s="22"/>
      <c r="BK116" s="22"/>
      <c r="BL116" s="22"/>
      <c r="BM116" s="22"/>
      <c r="BN116" s="22"/>
    </row>
    <row r="117" spans="6:66" x14ac:dyDescent="0.25"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H117" s="22"/>
      <c r="BI117" s="22"/>
      <c r="BJ117" s="22"/>
      <c r="BK117" s="22"/>
      <c r="BL117" s="22"/>
      <c r="BM117" s="22"/>
      <c r="BN117" s="22"/>
    </row>
    <row r="118" spans="6:66" x14ac:dyDescent="0.25"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H118" s="22"/>
      <c r="BI118" s="22"/>
      <c r="BJ118" s="22"/>
      <c r="BK118" s="22"/>
      <c r="BL118" s="22"/>
      <c r="BM118" s="22"/>
      <c r="BN118" s="22"/>
    </row>
    <row r="119" spans="6:66" x14ac:dyDescent="0.25"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H119" s="22"/>
      <c r="BI119" s="22"/>
      <c r="BJ119" s="22"/>
      <c r="BK119" s="22"/>
      <c r="BL119" s="22"/>
      <c r="BM119" s="22"/>
      <c r="BN119" s="22"/>
    </row>
    <row r="120" spans="6:66" x14ac:dyDescent="0.25"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H120" s="22"/>
      <c r="BI120" s="22"/>
      <c r="BJ120" s="22"/>
      <c r="BK120" s="22"/>
      <c r="BL120" s="22"/>
      <c r="BM120" s="22"/>
      <c r="BN120" s="22"/>
    </row>
    <row r="121" spans="6:66" x14ac:dyDescent="0.25"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H121" s="22"/>
      <c r="BI121" s="22"/>
      <c r="BJ121" s="22"/>
      <c r="BK121" s="22"/>
      <c r="BL121" s="22"/>
      <c r="BM121" s="22"/>
      <c r="BN121" s="22"/>
    </row>
    <row r="122" spans="6:66" x14ac:dyDescent="0.25"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H122" s="22"/>
      <c r="BI122" s="22"/>
      <c r="BJ122" s="22"/>
      <c r="BK122" s="22"/>
      <c r="BL122" s="22"/>
      <c r="BM122" s="22"/>
      <c r="BN122" s="22"/>
    </row>
    <row r="123" spans="6:66" x14ac:dyDescent="0.25"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H123" s="22"/>
      <c r="BI123" s="22"/>
      <c r="BJ123" s="22"/>
      <c r="BK123" s="22"/>
      <c r="BL123" s="22"/>
      <c r="BM123" s="22"/>
      <c r="BN123" s="22"/>
    </row>
    <row r="124" spans="6:66" x14ac:dyDescent="0.25"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H124" s="22"/>
      <c r="BI124" s="22"/>
      <c r="BJ124" s="22"/>
      <c r="BK124" s="22"/>
      <c r="BL124" s="22"/>
      <c r="BM124" s="22"/>
      <c r="BN124" s="22"/>
    </row>
    <row r="125" spans="6:66" x14ac:dyDescent="0.25"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H125" s="22"/>
      <c r="BI125" s="22"/>
      <c r="BJ125" s="22"/>
      <c r="BK125" s="22"/>
      <c r="BL125" s="22"/>
      <c r="BM125" s="22"/>
      <c r="BN125" s="22"/>
    </row>
    <row r="126" spans="6:66" x14ac:dyDescent="0.25"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H126" s="22"/>
      <c r="BI126" s="22"/>
      <c r="BJ126" s="22"/>
      <c r="BK126" s="22"/>
      <c r="BL126" s="22"/>
      <c r="BM126" s="22"/>
      <c r="BN126" s="22"/>
    </row>
    <row r="127" spans="6:66" x14ac:dyDescent="0.25"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H127" s="22"/>
      <c r="BI127" s="22"/>
      <c r="BJ127" s="22"/>
      <c r="BK127" s="22"/>
      <c r="BL127" s="22"/>
      <c r="BM127" s="22"/>
      <c r="BN127" s="22"/>
    </row>
    <row r="128" spans="6:66" x14ac:dyDescent="0.25"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H128" s="22"/>
      <c r="BI128" s="22"/>
      <c r="BJ128" s="22"/>
      <c r="BK128" s="22"/>
      <c r="BL128" s="22"/>
      <c r="BM128" s="22"/>
      <c r="BN128" s="22"/>
    </row>
    <row r="129" spans="6:66" x14ac:dyDescent="0.25"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H129" s="22"/>
      <c r="BI129" s="22"/>
      <c r="BJ129" s="22"/>
      <c r="BK129" s="22"/>
      <c r="BL129" s="22"/>
      <c r="BM129" s="22"/>
      <c r="BN129" s="22"/>
    </row>
    <row r="130" spans="6:66" x14ac:dyDescent="0.25"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H130" s="22"/>
      <c r="BI130" s="22"/>
      <c r="BJ130" s="22"/>
      <c r="BK130" s="22"/>
      <c r="BL130" s="22"/>
      <c r="BM130" s="22"/>
      <c r="BN130" s="22"/>
    </row>
    <row r="131" spans="6:66" x14ac:dyDescent="0.25"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H131" s="22"/>
      <c r="BI131" s="22"/>
      <c r="BJ131" s="22"/>
      <c r="BK131" s="22"/>
      <c r="BL131" s="22"/>
      <c r="BM131" s="22"/>
      <c r="BN131" s="22"/>
    </row>
    <row r="132" spans="6:66" x14ac:dyDescent="0.25"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H132" s="22"/>
      <c r="BI132" s="22"/>
      <c r="BJ132" s="22"/>
      <c r="BK132" s="22"/>
      <c r="BL132" s="22"/>
      <c r="BM132" s="22"/>
      <c r="BN132" s="22"/>
    </row>
    <row r="133" spans="6:66" x14ac:dyDescent="0.25"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H133" s="22"/>
      <c r="BI133" s="22"/>
      <c r="BJ133" s="22"/>
      <c r="BK133" s="22"/>
      <c r="BL133" s="22"/>
      <c r="BM133" s="22"/>
      <c r="BN133" s="22"/>
    </row>
    <row r="134" spans="6:66" x14ac:dyDescent="0.25"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H134" s="22"/>
      <c r="BI134" s="22"/>
      <c r="BJ134" s="22"/>
      <c r="BK134" s="22"/>
      <c r="BL134" s="22"/>
      <c r="BM134" s="22"/>
      <c r="BN134" s="22"/>
    </row>
    <row r="135" spans="6:66" x14ac:dyDescent="0.25"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H135" s="22"/>
      <c r="BI135" s="22"/>
      <c r="BJ135" s="22"/>
      <c r="BK135" s="22"/>
      <c r="BL135" s="22"/>
      <c r="BM135" s="22"/>
      <c r="BN135" s="22"/>
    </row>
    <row r="136" spans="6:66" x14ac:dyDescent="0.25"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H136" s="22"/>
      <c r="BI136" s="22"/>
      <c r="BJ136" s="22"/>
      <c r="BK136" s="22"/>
      <c r="BL136" s="22"/>
      <c r="BM136" s="22"/>
      <c r="BN136" s="22"/>
    </row>
    <row r="137" spans="6:66" x14ac:dyDescent="0.25"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H137" s="22"/>
      <c r="BI137" s="22"/>
      <c r="BJ137" s="22"/>
      <c r="BK137" s="22"/>
      <c r="BL137" s="22"/>
      <c r="BM137" s="22"/>
      <c r="BN137" s="22"/>
    </row>
    <row r="138" spans="6:66" x14ac:dyDescent="0.25"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H138" s="22"/>
      <c r="BI138" s="22"/>
      <c r="BJ138" s="22"/>
      <c r="BK138" s="22"/>
      <c r="BL138" s="22"/>
      <c r="BM138" s="22"/>
      <c r="BN138" s="22"/>
    </row>
    <row r="139" spans="6:66" x14ac:dyDescent="0.25"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H139" s="22"/>
      <c r="BI139" s="22"/>
      <c r="BJ139" s="22"/>
      <c r="BK139" s="22"/>
      <c r="BL139" s="22"/>
      <c r="BM139" s="22"/>
      <c r="BN139" s="22"/>
    </row>
    <row r="140" spans="6:66" x14ac:dyDescent="0.25"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H140" s="22"/>
      <c r="BI140" s="22"/>
      <c r="BJ140" s="22"/>
      <c r="BK140" s="22"/>
      <c r="BL140" s="22"/>
      <c r="BM140" s="22"/>
      <c r="BN140" s="22"/>
    </row>
    <row r="141" spans="6:66" x14ac:dyDescent="0.25"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H141" s="22"/>
      <c r="BI141" s="22"/>
      <c r="BJ141" s="22"/>
      <c r="BK141" s="22"/>
      <c r="BL141" s="22"/>
      <c r="BM141" s="22"/>
      <c r="BN141" s="22"/>
    </row>
    <row r="142" spans="6:66" x14ac:dyDescent="0.25"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H142" s="22"/>
      <c r="BI142" s="22"/>
      <c r="BJ142" s="22"/>
      <c r="BK142" s="22"/>
      <c r="BL142" s="22"/>
      <c r="BM142" s="22"/>
      <c r="BN142" s="22"/>
    </row>
    <row r="143" spans="6:66" x14ac:dyDescent="0.25"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H143" s="22"/>
      <c r="BI143" s="22"/>
      <c r="BJ143" s="22"/>
      <c r="BK143" s="22"/>
      <c r="BL143" s="22"/>
      <c r="BM143" s="22"/>
      <c r="BN143" s="22"/>
    </row>
    <row r="144" spans="6:66" x14ac:dyDescent="0.25"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H144" s="22"/>
      <c r="BI144" s="22"/>
      <c r="BJ144" s="22"/>
      <c r="BK144" s="22"/>
      <c r="BL144" s="22"/>
      <c r="BM144" s="22"/>
      <c r="BN144" s="22"/>
    </row>
    <row r="145" spans="6:66" x14ac:dyDescent="0.25"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H145" s="22"/>
      <c r="BI145" s="22"/>
      <c r="BJ145" s="22"/>
      <c r="BK145" s="22"/>
      <c r="BL145" s="22"/>
      <c r="BM145" s="22"/>
      <c r="BN145" s="22"/>
    </row>
    <row r="146" spans="6:66" x14ac:dyDescent="0.25"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H146" s="22"/>
      <c r="BI146" s="22"/>
      <c r="BJ146" s="22"/>
      <c r="BK146" s="22"/>
      <c r="BL146" s="22"/>
      <c r="BM146" s="22"/>
      <c r="BN146" s="22"/>
    </row>
    <row r="147" spans="6:66" x14ac:dyDescent="0.25"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H147" s="22"/>
      <c r="BI147" s="22"/>
      <c r="BJ147" s="22"/>
      <c r="BK147" s="22"/>
      <c r="BL147" s="22"/>
      <c r="BM147" s="22"/>
      <c r="BN147" s="22"/>
    </row>
    <row r="148" spans="6:66" x14ac:dyDescent="0.25"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H148" s="22"/>
      <c r="BI148" s="22"/>
      <c r="BJ148" s="22"/>
      <c r="BK148" s="22"/>
      <c r="BL148" s="22"/>
      <c r="BM148" s="22"/>
      <c r="BN148" s="22"/>
    </row>
    <row r="149" spans="6:66" x14ac:dyDescent="0.25"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H149" s="22"/>
      <c r="BI149" s="22"/>
      <c r="BJ149" s="22"/>
      <c r="BK149" s="22"/>
      <c r="BL149" s="22"/>
      <c r="BM149" s="22"/>
      <c r="BN149" s="22"/>
    </row>
    <row r="150" spans="6:66" x14ac:dyDescent="0.25"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H150" s="22"/>
      <c r="BI150" s="22"/>
      <c r="BJ150" s="22"/>
      <c r="BK150" s="22"/>
      <c r="BL150" s="22"/>
      <c r="BM150" s="22"/>
      <c r="BN150" s="22"/>
    </row>
    <row r="151" spans="6:66" x14ac:dyDescent="0.25"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H151" s="22"/>
      <c r="BI151" s="22"/>
      <c r="BJ151" s="22"/>
      <c r="BK151" s="22"/>
      <c r="BL151" s="22"/>
      <c r="BM151" s="22"/>
      <c r="BN151" s="22"/>
    </row>
    <row r="152" spans="6:66" x14ac:dyDescent="0.25"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H152" s="22"/>
      <c r="BI152" s="22"/>
      <c r="BJ152" s="22"/>
      <c r="BK152" s="22"/>
      <c r="BL152" s="22"/>
      <c r="BM152" s="22"/>
      <c r="BN152" s="22"/>
    </row>
    <row r="153" spans="6:66" x14ac:dyDescent="0.25"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H153" s="22"/>
      <c r="BI153" s="22"/>
      <c r="BJ153" s="22"/>
      <c r="BK153" s="22"/>
      <c r="BL153" s="22"/>
      <c r="BM153" s="22"/>
      <c r="BN153" s="22"/>
    </row>
    <row r="154" spans="6:66" x14ac:dyDescent="0.25"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H154" s="22"/>
      <c r="BI154" s="22"/>
      <c r="BJ154" s="22"/>
      <c r="BK154" s="22"/>
      <c r="BL154" s="22"/>
      <c r="BM154" s="22"/>
      <c r="BN154" s="22"/>
    </row>
    <row r="155" spans="6:66" x14ac:dyDescent="0.25"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H155" s="22"/>
      <c r="BI155" s="22"/>
      <c r="BJ155" s="22"/>
      <c r="BK155" s="22"/>
      <c r="BL155" s="22"/>
      <c r="BM155" s="22"/>
      <c r="BN155" s="22"/>
    </row>
    <row r="156" spans="6:66" x14ac:dyDescent="0.25"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H156" s="22"/>
      <c r="BI156" s="22"/>
      <c r="BJ156" s="22"/>
      <c r="BK156" s="22"/>
      <c r="BL156" s="22"/>
      <c r="BM156" s="22"/>
      <c r="BN156" s="22"/>
    </row>
    <row r="157" spans="6:66" x14ac:dyDescent="0.25"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H157" s="22"/>
      <c r="BI157" s="22"/>
      <c r="BJ157" s="22"/>
      <c r="BK157" s="22"/>
      <c r="BL157" s="22"/>
      <c r="BM157" s="22"/>
      <c r="BN157" s="22"/>
    </row>
    <row r="158" spans="6:66" x14ac:dyDescent="0.25"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H158" s="22"/>
      <c r="BI158" s="22"/>
      <c r="BJ158" s="22"/>
      <c r="BK158" s="22"/>
      <c r="BL158" s="22"/>
      <c r="BM158" s="22"/>
      <c r="BN158" s="22"/>
    </row>
    <row r="159" spans="6:66" x14ac:dyDescent="0.25"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H159" s="22"/>
      <c r="BI159" s="22"/>
      <c r="BJ159" s="22"/>
      <c r="BK159" s="22"/>
      <c r="BL159" s="22"/>
      <c r="BM159" s="22"/>
      <c r="BN159" s="22"/>
    </row>
    <row r="160" spans="6:66" x14ac:dyDescent="0.25"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H160" s="22"/>
      <c r="BI160" s="22"/>
      <c r="BJ160" s="22"/>
      <c r="BK160" s="22"/>
      <c r="BL160" s="22"/>
      <c r="BM160" s="22"/>
      <c r="BN160" s="22"/>
    </row>
    <row r="161" spans="6:66" x14ac:dyDescent="0.25"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H161" s="22"/>
      <c r="BI161" s="22"/>
      <c r="BJ161" s="22"/>
      <c r="BK161" s="22"/>
      <c r="BL161" s="22"/>
      <c r="BM161" s="22"/>
      <c r="BN161" s="22"/>
    </row>
    <row r="162" spans="6:66" x14ac:dyDescent="0.25"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H162" s="22"/>
      <c r="BI162" s="22"/>
      <c r="BJ162" s="22"/>
      <c r="BK162" s="22"/>
      <c r="BL162" s="22"/>
      <c r="BM162" s="22"/>
      <c r="BN162" s="22"/>
    </row>
    <row r="163" spans="6:66" x14ac:dyDescent="0.25"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H163" s="22"/>
      <c r="BI163" s="22"/>
      <c r="BJ163" s="22"/>
      <c r="BK163" s="22"/>
      <c r="BL163" s="22"/>
      <c r="BM163" s="22"/>
      <c r="BN163" s="22"/>
    </row>
    <row r="164" spans="6:66" x14ac:dyDescent="0.25"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H164" s="22"/>
      <c r="BI164" s="22"/>
      <c r="BJ164" s="22"/>
      <c r="BK164" s="22"/>
      <c r="BL164" s="22"/>
      <c r="BM164" s="22"/>
      <c r="BN164" s="22"/>
    </row>
    <row r="165" spans="6:66" x14ac:dyDescent="0.25"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H165" s="22"/>
      <c r="BI165" s="22"/>
      <c r="BJ165" s="22"/>
      <c r="BK165" s="22"/>
      <c r="BL165" s="22"/>
      <c r="BM165" s="22"/>
      <c r="BN165" s="22"/>
    </row>
    <row r="166" spans="6:66" x14ac:dyDescent="0.25"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H166" s="22"/>
      <c r="BI166" s="22"/>
      <c r="BJ166" s="22"/>
      <c r="BK166" s="22"/>
      <c r="BL166" s="22"/>
      <c r="BM166" s="22"/>
      <c r="BN166" s="22"/>
    </row>
    <row r="167" spans="6:66" x14ac:dyDescent="0.25"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H167" s="22"/>
      <c r="BI167" s="22"/>
      <c r="BJ167" s="22"/>
      <c r="BK167" s="22"/>
      <c r="BL167" s="22"/>
      <c r="BM167" s="22"/>
      <c r="BN167" s="22"/>
    </row>
    <row r="168" spans="6:66" x14ac:dyDescent="0.25"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H168" s="22"/>
      <c r="BI168" s="22"/>
      <c r="BJ168" s="22"/>
      <c r="BK168" s="22"/>
      <c r="BL168" s="22"/>
      <c r="BM168" s="22"/>
      <c r="BN168" s="22"/>
    </row>
    <row r="169" spans="6:66" x14ac:dyDescent="0.25"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H169" s="22"/>
      <c r="BI169" s="22"/>
      <c r="BJ169" s="22"/>
      <c r="BK169" s="22"/>
      <c r="BL169" s="22"/>
      <c r="BM169" s="22"/>
      <c r="BN169" s="22"/>
    </row>
    <row r="170" spans="6:66" x14ac:dyDescent="0.25"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H170" s="22"/>
      <c r="BI170" s="22"/>
      <c r="BJ170" s="22"/>
      <c r="BK170" s="22"/>
      <c r="BL170" s="22"/>
      <c r="BM170" s="22"/>
      <c r="BN170" s="22"/>
    </row>
    <row r="171" spans="6:66" x14ac:dyDescent="0.25"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H171" s="22"/>
      <c r="BI171" s="22"/>
      <c r="BJ171" s="22"/>
      <c r="BK171" s="22"/>
      <c r="BL171" s="22"/>
      <c r="BM171" s="22"/>
      <c r="BN171" s="22"/>
    </row>
    <row r="172" spans="6:66" x14ac:dyDescent="0.25"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H172" s="22"/>
      <c r="BI172" s="22"/>
      <c r="BJ172" s="22"/>
      <c r="BK172" s="22"/>
      <c r="BL172" s="22"/>
      <c r="BM172" s="22"/>
      <c r="BN172" s="22"/>
    </row>
    <row r="173" spans="6:66" x14ac:dyDescent="0.25"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H173" s="22"/>
      <c r="BI173" s="22"/>
      <c r="BJ173" s="22"/>
      <c r="BK173" s="22"/>
      <c r="BL173" s="22"/>
      <c r="BM173" s="22"/>
      <c r="BN173" s="22"/>
    </row>
    <row r="174" spans="6:66" x14ac:dyDescent="0.25"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H174" s="22"/>
      <c r="BI174" s="22"/>
      <c r="BJ174" s="22"/>
      <c r="BK174" s="22"/>
      <c r="BL174" s="22"/>
      <c r="BM174" s="22"/>
      <c r="BN174" s="22"/>
    </row>
    <row r="175" spans="6:66" x14ac:dyDescent="0.25"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H175" s="22"/>
      <c r="BI175" s="22"/>
      <c r="BJ175" s="22"/>
      <c r="BK175" s="22"/>
      <c r="BL175" s="22"/>
      <c r="BM175" s="22"/>
      <c r="BN175" s="22"/>
    </row>
    <row r="176" spans="6:66" x14ac:dyDescent="0.25"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H176" s="22"/>
      <c r="BI176" s="22"/>
      <c r="BJ176" s="22"/>
      <c r="BK176" s="22"/>
      <c r="BL176" s="22"/>
      <c r="BM176" s="22"/>
      <c r="BN176" s="22"/>
    </row>
    <row r="177" spans="6:66" x14ac:dyDescent="0.25"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H177" s="22"/>
      <c r="BI177" s="22"/>
      <c r="BJ177" s="22"/>
      <c r="BK177" s="22"/>
      <c r="BL177" s="22"/>
      <c r="BM177" s="22"/>
      <c r="BN177" s="22"/>
    </row>
    <row r="178" spans="6:66" x14ac:dyDescent="0.25"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H178" s="22"/>
      <c r="BI178" s="22"/>
      <c r="BJ178" s="22"/>
      <c r="BK178" s="22"/>
      <c r="BL178" s="22"/>
      <c r="BM178" s="22"/>
      <c r="BN178" s="22"/>
    </row>
    <row r="179" spans="6:66" x14ac:dyDescent="0.25"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H179" s="22"/>
      <c r="BI179" s="22"/>
      <c r="BJ179" s="22"/>
      <c r="BK179" s="22"/>
      <c r="BL179" s="22"/>
      <c r="BM179" s="22"/>
      <c r="BN179" s="22"/>
    </row>
    <row r="180" spans="6:66" x14ac:dyDescent="0.25"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H180" s="22"/>
      <c r="BI180" s="22"/>
      <c r="BJ180" s="22"/>
      <c r="BK180" s="22"/>
      <c r="BL180" s="22"/>
      <c r="BM180" s="22"/>
      <c r="BN180" s="22"/>
    </row>
    <row r="181" spans="6:66" x14ac:dyDescent="0.25"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H181" s="22"/>
      <c r="BI181" s="22"/>
      <c r="BJ181" s="22"/>
      <c r="BK181" s="22"/>
      <c r="BL181" s="22"/>
      <c r="BM181" s="22"/>
      <c r="BN181" s="22"/>
    </row>
    <row r="182" spans="6:66" x14ac:dyDescent="0.25"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H182" s="22"/>
      <c r="BI182" s="22"/>
      <c r="BJ182" s="22"/>
      <c r="BK182" s="22"/>
      <c r="BL182" s="22"/>
      <c r="BM182" s="22"/>
      <c r="BN182" s="22"/>
    </row>
    <row r="183" spans="6:66" x14ac:dyDescent="0.25"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H183" s="22"/>
      <c r="BI183" s="22"/>
      <c r="BJ183" s="22"/>
      <c r="BK183" s="22"/>
      <c r="BL183" s="22"/>
      <c r="BM183" s="22"/>
      <c r="BN183" s="22"/>
    </row>
    <row r="184" spans="6:66" x14ac:dyDescent="0.25"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H184" s="22"/>
      <c r="BI184" s="22"/>
      <c r="BJ184" s="22"/>
      <c r="BK184" s="22"/>
      <c r="BL184" s="22"/>
      <c r="BM184" s="22"/>
      <c r="BN184" s="22"/>
    </row>
    <row r="185" spans="6:66" x14ac:dyDescent="0.25"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H185" s="22"/>
      <c r="BI185" s="22"/>
      <c r="BJ185" s="22"/>
      <c r="BK185" s="22"/>
      <c r="BL185" s="22"/>
      <c r="BM185" s="22"/>
      <c r="BN185" s="22"/>
    </row>
    <row r="186" spans="6:66" x14ac:dyDescent="0.25"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H186" s="22"/>
      <c r="BI186" s="22"/>
      <c r="BJ186" s="22"/>
      <c r="BK186" s="22"/>
      <c r="BL186" s="22"/>
      <c r="BM186" s="22"/>
      <c r="BN186" s="22"/>
    </row>
    <row r="187" spans="6:66" x14ac:dyDescent="0.25"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H187" s="22"/>
      <c r="BI187" s="22"/>
      <c r="BJ187" s="22"/>
      <c r="BK187" s="22"/>
      <c r="BL187" s="22"/>
      <c r="BM187" s="22"/>
      <c r="BN187" s="22"/>
    </row>
    <row r="188" spans="6:66" x14ac:dyDescent="0.25"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H188" s="22"/>
      <c r="BI188" s="22"/>
      <c r="BJ188" s="22"/>
      <c r="BK188" s="22"/>
      <c r="BL188" s="22"/>
      <c r="BM188" s="22"/>
      <c r="BN188" s="22"/>
    </row>
    <row r="189" spans="6:66" x14ac:dyDescent="0.25"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H189" s="22"/>
      <c r="BI189" s="22"/>
      <c r="BJ189" s="22"/>
      <c r="BK189" s="22"/>
      <c r="BL189" s="22"/>
      <c r="BM189" s="22"/>
      <c r="BN189" s="22"/>
    </row>
    <row r="190" spans="6:66" x14ac:dyDescent="0.25"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H190" s="22"/>
      <c r="BI190" s="22"/>
      <c r="BJ190" s="22"/>
      <c r="BK190" s="22"/>
      <c r="BL190" s="22"/>
      <c r="BM190" s="22"/>
      <c r="BN190" s="22"/>
    </row>
    <row r="191" spans="6:66" x14ac:dyDescent="0.25"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H191" s="22"/>
      <c r="BI191" s="22"/>
      <c r="BJ191" s="22"/>
      <c r="BK191" s="22"/>
      <c r="BL191" s="22"/>
      <c r="BM191" s="22"/>
      <c r="BN191" s="22"/>
    </row>
    <row r="192" spans="6:66" x14ac:dyDescent="0.25"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H192" s="22"/>
      <c r="BI192" s="22"/>
      <c r="BJ192" s="22"/>
      <c r="BK192" s="22"/>
      <c r="BL192" s="22"/>
      <c r="BM192" s="22"/>
      <c r="BN192" s="22"/>
    </row>
    <row r="193" spans="6:66" x14ac:dyDescent="0.25"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H193" s="22"/>
      <c r="BI193" s="22"/>
      <c r="BJ193" s="22"/>
      <c r="BK193" s="22"/>
      <c r="BL193" s="22"/>
      <c r="BM193" s="22"/>
      <c r="BN193" s="22"/>
    </row>
    <row r="194" spans="6:66" x14ac:dyDescent="0.25"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H194" s="22"/>
      <c r="BI194" s="22"/>
      <c r="BJ194" s="22"/>
      <c r="BK194" s="22"/>
      <c r="BL194" s="22"/>
      <c r="BM194" s="22"/>
      <c r="BN194" s="22"/>
    </row>
    <row r="195" spans="6:66" x14ac:dyDescent="0.25">
      <c r="BH195" s="22"/>
      <c r="BI195" s="22"/>
      <c r="BJ195" s="22"/>
      <c r="BK195" s="22"/>
      <c r="BL195" s="22"/>
      <c r="BM195" s="22"/>
      <c r="BN195" s="22"/>
    </row>
    <row r="196" spans="6:66" x14ac:dyDescent="0.25">
      <c r="BH196" s="22"/>
      <c r="BI196" s="22"/>
      <c r="BJ196" s="22"/>
      <c r="BK196" s="22"/>
      <c r="BL196" s="22"/>
      <c r="BM196" s="22"/>
      <c r="BN196" s="22"/>
    </row>
    <row r="197" spans="6:66" x14ac:dyDescent="0.25">
      <c r="BH197" s="22"/>
      <c r="BI197" s="22"/>
      <c r="BJ197" s="22"/>
      <c r="BK197" s="22"/>
      <c r="BL197" s="22"/>
      <c r="BM197" s="22"/>
      <c r="BN197" s="22"/>
    </row>
    <row r="198" spans="6:66" x14ac:dyDescent="0.25">
      <c r="BH198" s="22"/>
      <c r="BI198" s="22"/>
      <c r="BJ198" s="22"/>
      <c r="BK198" s="22"/>
      <c r="BL198" s="22"/>
      <c r="BM198" s="22"/>
      <c r="BN198" s="22"/>
    </row>
    <row r="199" spans="6:66" x14ac:dyDescent="0.25">
      <c r="BH199" s="22"/>
      <c r="BI199" s="22"/>
      <c r="BJ199" s="22"/>
      <c r="BK199" s="22"/>
      <c r="BL199" s="22"/>
      <c r="BM199" s="22"/>
      <c r="BN199" s="22"/>
    </row>
    <row r="200" spans="6:66" x14ac:dyDescent="0.25">
      <c r="BH200" s="22"/>
      <c r="BI200" s="22"/>
      <c r="BJ200" s="22"/>
      <c r="BK200" s="22"/>
      <c r="BL200" s="22"/>
      <c r="BM200" s="22"/>
      <c r="BN200" s="22"/>
    </row>
    <row r="201" spans="6:66" x14ac:dyDescent="0.25">
      <c r="BH201" s="22"/>
      <c r="BI201" s="22"/>
      <c r="BJ201" s="22"/>
      <c r="BK201" s="22"/>
      <c r="BL201" s="22"/>
      <c r="BM201" s="22"/>
      <c r="BN201" s="22"/>
    </row>
    <row r="202" spans="6:66" x14ac:dyDescent="0.25">
      <c r="BH202" s="22"/>
      <c r="BI202" s="22"/>
      <c r="BJ202" s="22"/>
      <c r="BK202" s="22"/>
      <c r="BL202" s="22"/>
      <c r="BM202" s="22"/>
      <c r="BN202" s="22"/>
    </row>
    <row r="203" spans="6:66" x14ac:dyDescent="0.25">
      <c r="BH203" s="22"/>
      <c r="BI203" s="22"/>
      <c r="BJ203" s="22"/>
      <c r="BK203" s="22"/>
      <c r="BL203" s="22"/>
      <c r="BM203" s="22"/>
      <c r="BN203" s="22"/>
    </row>
    <row r="204" spans="6:66" x14ac:dyDescent="0.25">
      <c r="BH204" s="22"/>
      <c r="BI204" s="22"/>
      <c r="BJ204" s="22"/>
      <c r="BK204" s="22"/>
      <c r="BL204" s="22"/>
      <c r="BM204" s="22"/>
      <c r="BN204" s="22"/>
    </row>
    <row r="205" spans="6:66" x14ac:dyDescent="0.25">
      <c r="BH205" s="22"/>
      <c r="BI205" s="22"/>
      <c r="BJ205" s="22"/>
      <c r="BK205" s="22"/>
      <c r="BL205" s="22"/>
      <c r="BM205" s="22"/>
      <c r="BN205" s="22"/>
    </row>
    <row r="206" spans="6:66" x14ac:dyDescent="0.25">
      <c r="BH206" s="22"/>
      <c r="BI206" s="22"/>
      <c r="BJ206" s="22"/>
      <c r="BK206" s="22"/>
      <c r="BL206" s="22"/>
      <c r="BM206" s="22"/>
      <c r="BN206" s="22"/>
    </row>
    <row r="207" spans="6:66" x14ac:dyDescent="0.25">
      <c r="BH207" s="22"/>
      <c r="BI207" s="22"/>
      <c r="BJ207" s="22"/>
      <c r="BK207" s="22"/>
      <c r="BL207" s="22"/>
      <c r="BM207" s="22"/>
      <c r="BN207" s="22"/>
    </row>
    <row r="208" spans="6:66" x14ac:dyDescent="0.25">
      <c r="BH208" s="22"/>
      <c r="BI208" s="22"/>
      <c r="BJ208" s="22"/>
      <c r="BK208" s="22"/>
      <c r="BL208" s="22"/>
      <c r="BM208" s="22"/>
      <c r="BN208" s="22"/>
    </row>
    <row r="209" spans="60:66" x14ac:dyDescent="0.25">
      <c r="BH209" s="22"/>
      <c r="BI209" s="22"/>
      <c r="BJ209" s="22"/>
      <c r="BK209" s="22"/>
      <c r="BL209" s="22"/>
      <c r="BM209" s="22"/>
      <c r="BN209" s="22"/>
    </row>
    <row r="210" spans="60:66" x14ac:dyDescent="0.25">
      <c r="BH210" s="22"/>
      <c r="BI210" s="22"/>
      <c r="BJ210" s="22"/>
      <c r="BK210" s="22"/>
      <c r="BL210" s="22"/>
      <c r="BM210" s="22"/>
      <c r="BN210" s="22"/>
    </row>
    <row r="211" spans="60:66" x14ac:dyDescent="0.25">
      <c r="BH211" s="22"/>
      <c r="BI211" s="22"/>
      <c r="BJ211" s="22"/>
      <c r="BK211" s="22"/>
      <c r="BL211" s="22"/>
      <c r="BM211" s="22"/>
      <c r="BN211" s="22"/>
    </row>
    <row r="212" spans="60:66" x14ac:dyDescent="0.25">
      <c r="BH212" s="22"/>
      <c r="BI212" s="22"/>
      <c r="BJ212" s="22"/>
      <c r="BK212" s="22"/>
      <c r="BL212" s="22"/>
      <c r="BM212" s="22"/>
      <c r="BN212" s="22"/>
    </row>
    <row r="213" spans="60:66" x14ac:dyDescent="0.25">
      <c r="BH213" s="22"/>
      <c r="BI213" s="22"/>
      <c r="BJ213" s="22"/>
      <c r="BK213" s="22"/>
      <c r="BL213" s="22"/>
      <c r="BM213" s="22"/>
      <c r="BN213" s="22"/>
    </row>
    <row r="214" spans="60:66" x14ac:dyDescent="0.25">
      <c r="BH214" s="22"/>
      <c r="BI214" s="22"/>
      <c r="BJ214" s="22"/>
      <c r="BK214" s="22"/>
      <c r="BL214" s="22"/>
      <c r="BM214" s="22"/>
      <c r="BN214" s="22"/>
    </row>
    <row r="215" spans="60:66" x14ac:dyDescent="0.25">
      <c r="BH215" s="22"/>
      <c r="BI215" s="22"/>
      <c r="BJ215" s="22"/>
      <c r="BK215" s="22"/>
      <c r="BL215" s="22"/>
      <c r="BM215" s="22"/>
      <c r="BN215" s="22"/>
    </row>
    <row r="216" spans="60:66" x14ac:dyDescent="0.25">
      <c r="BH216" s="22"/>
      <c r="BI216" s="22"/>
      <c r="BJ216" s="22"/>
      <c r="BK216" s="22"/>
      <c r="BL216" s="22"/>
      <c r="BM216" s="22"/>
      <c r="BN216" s="22"/>
    </row>
    <row r="217" spans="60:66" x14ac:dyDescent="0.25">
      <c r="BH217" s="22"/>
      <c r="BI217" s="22"/>
      <c r="BJ217" s="22"/>
      <c r="BK217" s="22"/>
      <c r="BL217" s="22"/>
      <c r="BM217" s="22"/>
      <c r="BN217" s="22"/>
    </row>
    <row r="218" spans="60:66" x14ac:dyDescent="0.25">
      <c r="BH218" s="22"/>
      <c r="BI218" s="22"/>
      <c r="BJ218" s="22"/>
      <c r="BK218" s="22"/>
      <c r="BL218" s="22"/>
      <c r="BM218" s="22"/>
      <c r="BN218" s="22"/>
    </row>
    <row r="219" spans="60:66" x14ac:dyDescent="0.25">
      <c r="BH219" s="22"/>
      <c r="BI219" s="22"/>
      <c r="BJ219" s="22"/>
      <c r="BK219" s="22"/>
      <c r="BL219" s="22"/>
      <c r="BM219" s="22"/>
      <c r="BN219" s="22"/>
    </row>
    <row r="220" spans="60:66" x14ac:dyDescent="0.25">
      <c r="BH220" s="22"/>
      <c r="BI220" s="22"/>
      <c r="BJ220" s="22"/>
      <c r="BK220" s="22"/>
      <c r="BL220" s="22"/>
      <c r="BM220" s="22"/>
      <c r="BN220" s="22"/>
    </row>
    <row r="221" spans="60:66" x14ac:dyDescent="0.25">
      <c r="BH221" s="22"/>
      <c r="BI221" s="22"/>
      <c r="BJ221" s="22"/>
      <c r="BK221" s="22"/>
      <c r="BL221" s="22"/>
      <c r="BM221" s="22"/>
      <c r="BN221" s="22"/>
    </row>
    <row r="222" spans="60:66" x14ac:dyDescent="0.25">
      <c r="BH222" s="22"/>
      <c r="BI222" s="22"/>
      <c r="BJ222" s="22"/>
      <c r="BK222" s="22"/>
      <c r="BL222" s="22"/>
      <c r="BM222" s="22"/>
      <c r="BN222" s="22"/>
    </row>
    <row r="223" spans="60:66" x14ac:dyDescent="0.25">
      <c r="BH223" s="22"/>
      <c r="BI223" s="22"/>
      <c r="BJ223" s="22"/>
      <c r="BK223" s="22"/>
      <c r="BL223" s="22"/>
      <c r="BM223" s="22"/>
      <c r="BN223" s="22"/>
    </row>
    <row r="224" spans="60:66" x14ac:dyDescent="0.25">
      <c r="BH224" s="22"/>
      <c r="BI224" s="22"/>
      <c r="BJ224" s="22"/>
      <c r="BK224" s="22"/>
      <c r="BL224" s="22"/>
      <c r="BM224" s="22"/>
      <c r="BN224" s="22"/>
    </row>
    <row r="225" spans="60:66" x14ac:dyDescent="0.25">
      <c r="BH225" s="22"/>
      <c r="BI225" s="22"/>
      <c r="BJ225" s="22"/>
      <c r="BK225" s="22"/>
      <c r="BL225" s="22"/>
      <c r="BM225" s="22"/>
      <c r="BN225" s="22"/>
    </row>
    <row r="226" spans="60:66" x14ac:dyDescent="0.25">
      <c r="BH226" s="22"/>
      <c r="BI226" s="22"/>
      <c r="BJ226" s="22"/>
      <c r="BK226" s="22"/>
      <c r="BL226" s="22"/>
      <c r="BM226" s="22"/>
      <c r="BN226" s="22"/>
    </row>
    <row r="227" spans="60:66" x14ac:dyDescent="0.25">
      <c r="BH227" s="22"/>
      <c r="BI227" s="22"/>
      <c r="BJ227" s="22"/>
      <c r="BK227" s="22"/>
      <c r="BL227" s="22"/>
      <c r="BM227" s="22"/>
      <c r="BN227" s="22"/>
    </row>
    <row r="228" spans="60:66" x14ac:dyDescent="0.25">
      <c r="BH228" s="22"/>
      <c r="BI228" s="22"/>
      <c r="BJ228" s="22"/>
      <c r="BK228" s="22"/>
      <c r="BL228" s="22"/>
      <c r="BM228" s="22"/>
      <c r="BN228" s="22"/>
    </row>
    <row r="229" spans="60:66" x14ac:dyDescent="0.25">
      <c r="BH229" s="22"/>
      <c r="BI229" s="22"/>
      <c r="BJ229" s="22"/>
      <c r="BK229" s="22"/>
      <c r="BL229" s="22"/>
      <c r="BM229" s="22"/>
      <c r="BN229" s="22"/>
    </row>
    <row r="230" spans="60:66" x14ac:dyDescent="0.25">
      <c r="BH230" s="22"/>
      <c r="BI230" s="22"/>
      <c r="BJ230" s="22"/>
      <c r="BK230" s="22"/>
      <c r="BL230" s="22"/>
      <c r="BM230" s="22"/>
      <c r="BN230" s="22"/>
    </row>
    <row r="231" spans="60:66" x14ac:dyDescent="0.25">
      <c r="BH231" s="22"/>
      <c r="BI231" s="22"/>
      <c r="BJ231" s="22"/>
      <c r="BK231" s="22"/>
      <c r="BL231" s="22"/>
      <c r="BM231" s="22"/>
      <c r="BN231" s="22"/>
    </row>
    <row r="232" spans="60:66" x14ac:dyDescent="0.25">
      <c r="BH232" s="22"/>
      <c r="BI232" s="22"/>
      <c r="BJ232" s="22"/>
      <c r="BK232" s="22"/>
      <c r="BL232" s="22"/>
      <c r="BM232" s="22"/>
      <c r="BN232" s="22"/>
    </row>
    <row r="233" spans="60:66" x14ac:dyDescent="0.25">
      <c r="BH233" s="22"/>
      <c r="BI233" s="22"/>
      <c r="BJ233" s="22"/>
      <c r="BK233" s="22"/>
      <c r="BL233" s="22"/>
      <c r="BM233" s="22"/>
      <c r="BN233" s="22"/>
    </row>
    <row r="234" spans="60:66" x14ac:dyDescent="0.25">
      <c r="BH234" s="22"/>
      <c r="BI234" s="22"/>
      <c r="BJ234" s="22"/>
      <c r="BK234" s="22"/>
      <c r="BL234" s="22"/>
      <c r="BM234" s="22"/>
      <c r="BN234" s="22"/>
    </row>
    <row r="235" spans="60:66" x14ac:dyDescent="0.25">
      <c r="BH235" s="22"/>
      <c r="BI235" s="22"/>
      <c r="BJ235" s="22"/>
      <c r="BK235" s="22"/>
      <c r="BL235" s="22"/>
      <c r="BM235" s="22"/>
      <c r="BN235" s="22"/>
    </row>
    <row r="236" spans="60:66" x14ac:dyDescent="0.25">
      <c r="BH236" s="22"/>
      <c r="BI236" s="22"/>
      <c r="BJ236" s="22"/>
      <c r="BK236" s="22"/>
      <c r="BL236" s="22"/>
      <c r="BM236" s="22"/>
      <c r="BN236" s="22"/>
    </row>
    <row r="237" spans="60:66" x14ac:dyDescent="0.25">
      <c r="BH237" s="22"/>
      <c r="BI237" s="22"/>
      <c r="BJ237" s="22"/>
      <c r="BK237" s="22"/>
      <c r="BL237" s="22"/>
      <c r="BM237" s="22"/>
      <c r="BN237" s="22"/>
    </row>
    <row r="238" spans="60:66" x14ac:dyDescent="0.25">
      <c r="BH238" s="22"/>
      <c r="BI238" s="22"/>
      <c r="BJ238" s="22"/>
      <c r="BK238" s="22"/>
      <c r="BL238" s="22"/>
      <c r="BM238" s="22"/>
      <c r="BN238" s="22"/>
    </row>
    <row r="239" spans="60:66" x14ac:dyDescent="0.25">
      <c r="BH239" s="22"/>
      <c r="BI239" s="22"/>
      <c r="BJ239" s="22"/>
      <c r="BK239" s="22"/>
      <c r="BL239" s="22"/>
      <c r="BM239" s="22"/>
      <c r="BN239" s="22"/>
    </row>
    <row r="240" spans="60:66" x14ac:dyDescent="0.25">
      <c r="BH240" s="22"/>
      <c r="BI240" s="22"/>
      <c r="BJ240" s="22"/>
      <c r="BK240" s="22"/>
      <c r="BL240" s="22"/>
      <c r="BM240" s="22"/>
      <c r="BN240" s="22"/>
    </row>
    <row r="241" spans="60:66" x14ac:dyDescent="0.25">
      <c r="BH241" s="22"/>
      <c r="BI241" s="22"/>
      <c r="BJ241" s="22"/>
      <c r="BK241" s="22"/>
      <c r="BL241" s="22"/>
      <c r="BM241" s="22"/>
      <c r="BN241" s="22"/>
    </row>
    <row r="242" spans="60:66" x14ac:dyDescent="0.25">
      <c r="BH242" s="22"/>
      <c r="BI242" s="22"/>
      <c r="BJ242" s="22"/>
      <c r="BK242" s="22"/>
      <c r="BL242" s="22"/>
      <c r="BM242" s="22"/>
      <c r="BN242" s="22"/>
    </row>
    <row r="243" spans="60:66" x14ac:dyDescent="0.25">
      <c r="BH243" s="22"/>
      <c r="BI243" s="22"/>
      <c r="BJ243" s="22"/>
      <c r="BK243" s="22"/>
      <c r="BL243" s="22"/>
      <c r="BM243" s="22"/>
      <c r="BN243" s="22"/>
    </row>
    <row r="244" spans="60:66" x14ac:dyDescent="0.25">
      <c r="BH244" s="22"/>
      <c r="BI244" s="22"/>
      <c r="BJ244" s="22"/>
      <c r="BK244" s="22"/>
      <c r="BL244" s="22"/>
      <c r="BM244" s="22"/>
      <c r="BN244" s="22"/>
    </row>
    <row r="245" spans="60:66" x14ac:dyDescent="0.25">
      <c r="BH245" s="22"/>
      <c r="BI245" s="22"/>
      <c r="BJ245" s="22"/>
      <c r="BK245" s="22"/>
      <c r="BL245" s="22"/>
      <c r="BM245" s="22"/>
      <c r="BN245" s="22"/>
    </row>
    <row r="246" spans="60:66" x14ac:dyDescent="0.25">
      <c r="BH246" s="22"/>
      <c r="BI246" s="22"/>
      <c r="BJ246" s="22"/>
      <c r="BK246" s="22"/>
      <c r="BL246" s="22"/>
      <c r="BM246" s="22"/>
      <c r="BN246" s="22"/>
    </row>
    <row r="247" spans="60:66" x14ac:dyDescent="0.25">
      <c r="BH247" s="22"/>
      <c r="BI247" s="22"/>
      <c r="BJ247" s="22"/>
      <c r="BK247" s="22"/>
      <c r="BL247" s="22"/>
      <c r="BM247" s="22"/>
      <c r="BN247" s="22"/>
    </row>
  </sheetData>
  <conditionalFormatting sqref="J10:J29">
    <cfRule type="containsText" dxfId="9" priority="23" operator="containsText" text="WO">
      <formula>NOT(ISERROR(SEARCH("WO",J10)))</formula>
    </cfRule>
  </conditionalFormatting>
  <conditionalFormatting sqref="K10:AO29">
    <cfRule type="containsText" dxfId="8" priority="1" operator="containsText" text="L">
      <formula>NOT(ISERROR(SEARCH("L",K10)))</formula>
    </cfRule>
    <cfRule type="containsText" dxfId="7" priority="2" operator="containsText" text="A">
      <formula>NOT(ISERROR(SEARCH("A",K10)))</formula>
    </cfRule>
    <cfRule type="containsText" dxfId="6" priority="3" operator="containsText" text="P">
      <formula>NOT(ISERROR(SEARCH("P",K10)))</formula>
    </cfRule>
  </conditionalFormatting>
  <conditionalFormatting sqref="L10:M29 K11:K29">
    <cfRule type="containsText" dxfId="5" priority="4" operator="containsText" text="WO">
      <formula>NOT(ISERROR(SEARCH("WO",K10)))</formula>
    </cfRule>
  </conditionalFormatting>
  <conditionalFormatting sqref="Q10:R29">
    <cfRule type="containsText" dxfId="4" priority="14" operator="containsText" text="WO">
      <formula>NOT(ISERROR(SEARCH("WO",Q10)))</formula>
    </cfRule>
  </conditionalFormatting>
  <conditionalFormatting sqref="W11:W29">
    <cfRule type="containsText" dxfId="3" priority="13" operator="containsText" text="WO">
      <formula>NOT(ISERROR(SEARCH("WO",W11)))</formula>
    </cfRule>
  </conditionalFormatting>
  <conditionalFormatting sqref="X10:Y29">
    <cfRule type="containsText" dxfId="2" priority="9" operator="containsText" text="WO">
      <formula>NOT(ISERROR(SEARCH("WO",X10)))</formula>
    </cfRule>
  </conditionalFormatting>
  <conditionalFormatting sqref="AD11:AD29">
    <cfRule type="containsText" dxfId="1" priority="8" operator="containsText" text="WO">
      <formula>NOT(ISERROR(SEARCH("WO",AD11)))</formula>
    </cfRule>
  </conditionalFormatting>
  <conditionalFormatting sqref="AE10:AO29">
    <cfRule type="containsText" dxfId="0" priority="18" operator="containsText" text="WO">
      <formula>NOT(ISERROR(SEARCH("WO",AE10)))</formula>
    </cfRule>
  </conditionalFormatting>
  <dataValidations count="1">
    <dataValidation type="list" allowBlank="1" showInputMessage="1" showErrorMessage="1" sqref="Y10:AD29 AF10:AK29 R10:W29 AM10:AO29 K10:P29" xr:uid="{571B49B4-8D6A-484B-A237-0789E7906659}">
      <formula1>"P, A, 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E39F514-200E-4F72-87F0-253E753A9E83}">
          <x14:formula1>
            <xm:f>Sheet2!$A$1:$A$12</xm:f>
          </x14:formula1>
          <xm:sqref>H6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C804C160-030B-4CD7-AADD-330A25A401E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Dec!AV10:AY10</xm:f>
              <xm:sqref>BF10</xm:sqref>
            </x14:sparkline>
            <x14:sparkline>
              <xm:f>Dec!AV11:AY11</xm:f>
              <xm:sqref>BF11</xm:sqref>
            </x14:sparkline>
            <x14:sparkline>
              <xm:f>Dec!AV12:AY12</xm:f>
              <xm:sqref>BF12</xm:sqref>
            </x14:sparkline>
            <x14:sparkline>
              <xm:f>Dec!AV13:AY13</xm:f>
              <xm:sqref>BF13</xm:sqref>
            </x14:sparkline>
            <x14:sparkline>
              <xm:f>Dec!AV14:AY14</xm:f>
              <xm:sqref>BF14</xm:sqref>
            </x14:sparkline>
            <x14:sparkline>
              <xm:f>Dec!AV15:AY15</xm:f>
              <xm:sqref>BF15</xm:sqref>
            </x14:sparkline>
            <x14:sparkline>
              <xm:f>Dec!AV16:AY16</xm:f>
              <xm:sqref>BF16</xm:sqref>
            </x14:sparkline>
            <x14:sparkline>
              <xm:f>Dec!AV17:AY17</xm:f>
              <xm:sqref>BF17</xm:sqref>
            </x14:sparkline>
            <x14:sparkline>
              <xm:f>Dec!AV18:AY18</xm:f>
              <xm:sqref>BF18</xm:sqref>
            </x14:sparkline>
            <x14:sparkline>
              <xm:f>Dec!AV19:AY19</xm:f>
              <xm:sqref>BF19</xm:sqref>
            </x14:sparkline>
            <x14:sparkline>
              <xm:f>Dec!AV20:AY20</xm:f>
              <xm:sqref>BF20</xm:sqref>
            </x14:sparkline>
            <x14:sparkline>
              <xm:f>Dec!AV21:AY21</xm:f>
              <xm:sqref>BF21</xm:sqref>
            </x14:sparkline>
            <x14:sparkline>
              <xm:f>Dec!AV22:AY22</xm:f>
              <xm:sqref>BF22</xm:sqref>
            </x14:sparkline>
            <x14:sparkline>
              <xm:f>Dec!AV23:AY23</xm:f>
              <xm:sqref>BF23</xm:sqref>
            </x14:sparkline>
            <x14:sparkline>
              <xm:f>Dec!AV24:AY24</xm:f>
              <xm:sqref>BF24</xm:sqref>
            </x14:sparkline>
            <x14:sparkline>
              <xm:f>Dec!AV25:AY25</xm:f>
              <xm:sqref>BF25</xm:sqref>
            </x14:sparkline>
            <x14:sparkline>
              <xm:f>Dec!AV26:AY26</xm:f>
              <xm:sqref>BF26</xm:sqref>
            </x14:sparkline>
            <x14:sparkline>
              <xm:f>Dec!AV27:AY27</xm:f>
              <xm:sqref>BF27</xm:sqref>
            </x14:sparkline>
            <x14:sparkline>
              <xm:f>Dec!AV28:AY28</xm:f>
              <xm:sqref>BF28</xm:sqref>
            </x14:sparkline>
            <x14:sparkline>
              <xm:f>Dec!AV29:AY29</xm:f>
              <xm:sqref>BF29</xm:sqref>
            </x14:sparkline>
          </x14:sparklines>
        </x14:sparklineGroup>
      </x14:sparklineGroup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33A3-F13C-41F1-9FA5-E3C996F2F5C9}">
  <dimension ref="A1:A20"/>
  <sheetViews>
    <sheetView workbookViewId="0">
      <selection activeCell="I16" sqref="I16"/>
    </sheetView>
  </sheetViews>
  <sheetFormatPr defaultRowHeight="15" x14ac:dyDescent="0.25"/>
  <cols>
    <col min="1" max="1" width="10.140625" bestFit="1" customWidth="1"/>
  </cols>
  <sheetData>
    <row r="1" spans="1:1" x14ac:dyDescent="0.25">
      <c r="A1" s="4">
        <v>45658</v>
      </c>
    </row>
    <row r="2" spans="1:1" x14ac:dyDescent="0.25">
      <c r="A2" s="4">
        <v>45689</v>
      </c>
    </row>
    <row r="3" spans="1:1" x14ac:dyDescent="0.25">
      <c r="A3" s="4">
        <v>45717</v>
      </c>
    </row>
    <row r="4" spans="1:1" x14ac:dyDescent="0.25">
      <c r="A4" s="4">
        <v>45748</v>
      </c>
    </row>
    <row r="5" spans="1:1" x14ac:dyDescent="0.25">
      <c r="A5" s="4">
        <v>45778</v>
      </c>
    </row>
    <row r="6" spans="1:1" x14ac:dyDescent="0.25">
      <c r="A6" s="4">
        <v>45809</v>
      </c>
    </row>
    <row r="7" spans="1:1" x14ac:dyDescent="0.25">
      <c r="A7" s="4">
        <v>45839</v>
      </c>
    </row>
    <row r="8" spans="1:1" x14ac:dyDescent="0.25">
      <c r="A8" s="4">
        <v>45870</v>
      </c>
    </row>
    <row r="9" spans="1:1" x14ac:dyDescent="0.25">
      <c r="A9" s="4">
        <v>45901</v>
      </c>
    </row>
    <row r="10" spans="1:1" x14ac:dyDescent="0.25">
      <c r="A10" s="4">
        <v>45931</v>
      </c>
    </row>
    <row r="11" spans="1:1" x14ac:dyDescent="0.25">
      <c r="A11" s="4">
        <v>45962</v>
      </c>
    </row>
    <row r="12" spans="1:1" x14ac:dyDescent="0.25">
      <c r="A12" s="4">
        <v>45992</v>
      </c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2015-06-05T18:17:20Z</dcterms:created>
  <dcterms:modified xsi:type="dcterms:W3CDTF">2026-08-15T10:11:08Z</dcterms:modified>
</cp:coreProperties>
</file>